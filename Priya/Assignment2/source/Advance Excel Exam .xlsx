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78B7BB06-87B4-4727-BA22-AD3C21B98A37}" xr6:coauthVersionLast="47" xr6:coauthVersionMax="47" xr10:uidLastSave="{00000000-0000-0000-0000-000000000000}"/>
  <bookViews>
    <workbookView xWindow="-110" yWindow="-110" windowWidth="19420" windowHeight="10420" firstSheet="4" activeTab="18" xr2:uid="{00000000-000D-0000-FFFF-FFFF00000000}"/>
  </bookViews>
  <sheets>
    <sheet name="Q1" sheetId="5" r:id="rId1"/>
    <sheet name="Q2" sheetId="6" r:id="rId2"/>
    <sheet name="Q3" sheetId="7" r:id="rId3"/>
    <sheet name="Q4" sheetId="8" r:id="rId4"/>
    <sheet name="Q5" sheetId="9" r:id="rId5"/>
    <sheet name="Q6" sheetId="10" r:id="rId6"/>
    <sheet name="Q7" sheetId="13" r:id="rId7"/>
    <sheet name="Q8" sheetId="14" r:id="rId8"/>
    <sheet name="Q9" sheetId="1" r:id="rId9"/>
    <sheet name="Q10" sheetId="2" r:id="rId10"/>
    <sheet name="Q11" sheetId="3" r:id="rId11"/>
    <sheet name="Q12" sheetId="4" r:id="rId12"/>
    <sheet name="Q13" sheetId="11" r:id="rId13"/>
    <sheet name="Q14" sheetId="12" r:id="rId14"/>
    <sheet name="Q15" sheetId="15" r:id="rId15"/>
    <sheet name="Q16" sheetId="16" r:id="rId16"/>
    <sheet name="Q17" sheetId="17" r:id="rId17"/>
    <sheet name="Q18" sheetId="18" r:id="rId18"/>
    <sheet name="Q19" sheetId="19" r:id="rId19"/>
    <sheet name="Q20" sheetId="20" r:id="rId20"/>
    <sheet name="Q21" sheetId="21" r:id="rId21"/>
    <sheet name="Q22" sheetId="22" r:id="rId22"/>
    <sheet name="Q23" sheetId="23" r:id="rId23"/>
    <sheet name="Q24" sheetId="24" r:id="rId24"/>
    <sheet name="Q25" sheetId="25" r:id="rId25"/>
  </sheets>
  <definedNames>
    <definedName name="_xlnm._FilterDatabase" localSheetId="11" hidden="1">'Q12'!$P$1:$P$341</definedName>
    <definedName name="_xlnm._FilterDatabase" localSheetId="23" hidden="1">'Q24'!$A$3:$D$21</definedName>
    <definedName name="_xlnm.Criteria" localSheetId="23">'Q24'!$G$4:$G$5</definedName>
    <definedName name="_xlnm.Extract" localSheetId="23">'Q24'!$F$8:$I$8</definedName>
  </definedNames>
  <calcPr calcId="191029"/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12" i="5"/>
  <c r="G13" i="5"/>
  <c r="G14" i="5"/>
  <c r="G15" i="5"/>
  <c r="G16" i="5"/>
  <c r="G5" i="5"/>
  <c r="C17" i="15"/>
  <c r="C16" i="15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6" i="12"/>
  <c r="K6" i="12" s="1"/>
  <c r="L6" i="12" s="1"/>
  <c r="K8" i="12"/>
  <c r="L8" i="12" s="1"/>
  <c r="K7" i="12"/>
  <c r="L7" i="12" s="1"/>
  <c r="K9" i="12"/>
  <c r="L9" i="12" s="1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 s="1"/>
  <c r="K17" i="12"/>
  <c r="L17" i="12" s="1"/>
  <c r="K18" i="12"/>
  <c r="L18" i="12" s="1"/>
  <c r="K19" i="12"/>
  <c r="L19" i="12" s="1"/>
  <c r="K20" i="12"/>
  <c r="L20" i="12" s="1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6" i="12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12" i="11"/>
  <c r="P8" i="4"/>
  <c r="P9" i="4"/>
  <c r="P10" i="4"/>
  <c r="P11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7" i="4"/>
  <c r="O8" i="4"/>
  <c r="O9" i="4"/>
  <c r="O10" i="4"/>
  <c r="O11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O230" i="4" s="1"/>
  <c r="M226" i="4"/>
  <c r="O231" i="4" s="1"/>
  <c r="M227" i="4"/>
  <c r="O232" i="4" s="1"/>
  <c r="M228" i="4"/>
  <c r="O233" i="4" s="1"/>
  <c r="M229" i="4"/>
  <c r="O234" i="4" s="1"/>
  <c r="M230" i="4"/>
  <c r="O235" i="4" s="1"/>
  <c r="M231" i="4"/>
  <c r="O236" i="4" s="1"/>
  <c r="M232" i="4"/>
  <c r="O237" i="4" s="1"/>
  <c r="M233" i="4"/>
  <c r="O238" i="4" s="1"/>
  <c r="M234" i="4"/>
  <c r="O239" i="4" s="1"/>
  <c r="M235" i="4"/>
  <c r="O240" i="4" s="1"/>
  <c r="M236" i="4"/>
  <c r="O241" i="4" s="1"/>
  <c r="M237" i="4"/>
  <c r="O242" i="4" s="1"/>
  <c r="M238" i="4"/>
  <c r="O243" i="4" s="1"/>
  <c r="M239" i="4"/>
  <c r="O244" i="4" s="1"/>
  <c r="M240" i="4"/>
  <c r="O245" i="4" s="1"/>
  <c r="M241" i="4"/>
  <c r="O246" i="4" s="1"/>
  <c r="M242" i="4"/>
  <c r="O247" i="4" s="1"/>
  <c r="M243" i="4"/>
  <c r="O248" i="4" s="1"/>
  <c r="M244" i="4"/>
  <c r="O249" i="4" s="1"/>
  <c r="M245" i="4"/>
  <c r="O250" i="4" s="1"/>
  <c r="M246" i="4"/>
  <c r="O251" i="4" s="1"/>
  <c r="M247" i="4"/>
  <c r="O252" i="4" s="1"/>
  <c r="M248" i="4"/>
  <c r="O253" i="4" s="1"/>
  <c r="M249" i="4"/>
  <c r="O254" i="4" s="1"/>
  <c r="M250" i="4"/>
  <c r="O255" i="4" s="1"/>
  <c r="M251" i="4"/>
  <c r="O256" i="4" s="1"/>
  <c r="M252" i="4"/>
  <c r="O257" i="4" s="1"/>
  <c r="M253" i="4"/>
  <c r="O258" i="4" s="1"/>
  <c r="M254" i="4"/>
  <c r="O259" i="4" s="1"/>
  <c r="M255" i="4"/>
  <c r="O260" i="4" s="1"/>
  <c r="M256" i="4"/>
  <c r="O261" i="4" s="1"/>
  <c r="M257" i="4"/>
  <c r="O262" i="4" s="1"/>
  <c r="M258" i="4"/>
  <c r="O263" i="4" s="1"/>
  <c r="M259" i="4"/>
  <c r="O264" i="4" s="1"/>
  <c r="M260" i="4"/>
  <c r="O265" i="4" s="1"/>
  <c r="M261" i="4"/>
  <c r="O266" i="4" s="1"/>
  <c r="M262" i="4"/>
  <c r="O267" i="4" s="1"/>
  <c r="M263" i="4"/>
  <c r="O268" i="4" s="1"/>
  <c r="M264" i="4"/>
  <c r="O269" i="4" s="1"/>
  <c r="M265" i="4"/>
  <c r="O270" i="4" s="1"/>
  <c r="M266" i="4"/>
  <c r="O271" i="4" s="1"/>
  <c r="M267" i="4"/>
  <c r="O272" i="4" s="1"/>
  <c r="M268" i="4"/>
  <c r="O273" i="4" s="1"/>
  <c r="M269" i="4"/>
  <c r="O274" i="4" s="1"/>
  <c r="M270" i="4"/>
  <c r="O275" i="4" s="1"/>
  <c r="M271" i="4"/>
  <c r="O276" i="4" s="1"/>
  <c r="M272" i="4"/>
  <c r="O277" i="4" s="1"/>
  <c r="M273" i="4"/>
  <c r="O278" i="4" s="1"/>
  <c r="M274" i="4"/>
  <c r="O279" i="4" s="1"/>
  <c r="M275" i="4"/>
  <c r="O280" i="4" s="1"/>
  <c r="M276" i="4"/>
  <c r="O281" i="4" s="1"/>
  <c r="M277" i="4"/>
  <c r="O282" i="4" s="1"/>
  <c r="M278" i="4"/>
  <c r="O283" i="4" s="1"/>
  <c r="M279" i="4"/>
  <c r="O284" i="4" s="1"/>
  <c r="M280" i="4"/>
  <c r="O285" i="4" s="1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7" i="4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7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9" i="2"/>
  <c r="F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H9" i="2"/>
  <c r="G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H8" i="1"/>
  <c r="H7" i="1"/>
  <c r="H6" i="1"/>
  <c r="H5" i="1"/>
  <c r="C6" i="14"/>
  <c r="C7" i="14"/>
  <c r="C8" i="14"/>
  <c r="C5" i="14"/>
  <c r="L6" i="13" a="1"/>
  <c r="L6" i="13" s="1"/>
  <c r="L7" i="13" a="1"/>
  <c r="L7" i="13" s="1"/>
  <c r="L8" i="13" a="1"/>
  <c r="L8" i="13" s="1"/>
  <c r="L9" i="13" a="1"/>
  <c r="L9" i="13" s="1"/>
  <c r="M5" i="13" a="1"/>
  <c r="M5" i="13" s="1"/>
  <c r="N5" i="13" a="1"/>
  <c r="N5" i="13" s="1"/>
  <c r="O5" i="13" a="1"/>
  <c r="O5" i="13" s="1"/>
  <c r="P5" i="13" a="1"/>
  <c r="P5" i="13" s="1"/>
  <c r="Q5" i="13" a="1"/>
  <c r="Q5" i="13" s="1"/>
  <c r="L5" i="13" a="1"/>
  <c r="L5" i="13" s="1"/>
  <c r="K7" i="13"/>
  <c r="K6" i="13"/>
  <c r="C9" i="10"/>
  <c r="D5" i="9"/>
  <c r="D6" i="9"/>
  <c r="D4" i="9"/>
  <c r="C4" i="8"/>
  <c r="B5" i="7"/>
  <c r="B6" i="7"/>
  <c r="B4" i="7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5" i="5"/>
  <c r="C6" i="6"/>
  <c r="C7" i="6"/>
  <c r="C8" i="6"/>
  <c r="C9" i="6"/>
  <c r="C10" i="6"/>
  <c r="C5" i="6"/>
  <c r="E14" i="16"/>
  <c r="E15" i="16"/>
  <c r="E16" i="16"/>
  <c r="E17" i="16"/>
  <c r="E18" i="16"/>
  <c r="E13" i="16"/>
  <c r="K14" i="16"/>
  <c r="K15" i="16"/>
  <c r="K16" i="16"/>
  <c r="K17" i="16"/>
  <c r="K18" i="16"/>
  <c r="K13" i="16"/>
  <c r="K5" i="16"/>
  <c r="K6" i="16"/>
  <c r="K7" i="16"/>
  <c r="K8" i="16"/>
  <c r="K9" i="16"/>
  <c r="K4" i="16"/>
  <c r="E5" i="16"/>
  <c r="E6" i="16"/>
  <c r="E7" i="16"/>
  <c r="E8" i="16"/>
  <c r="E9" i="16"/>
  <c r="E4" i="16"/>
  <c r="P13" i="4" l="1"/>
  <c r="O13" i="4"/>
  <c r="P14" i="4"/>
  <c r="O14" i="4"/>
  <c r="O15" i="4"/>
  <c r="P15" i="4"/>
  <c r="P16" i="4"/>
  <c r="O16" i="4"/>
  <c r="O17" i="4"/>
  <c r="P17" i="4"/>
  <c r="O18" i="4"/>
  <c r="P18" i="4"/>
  <c r="O19" i="4"/>
  <c r="P19" i="4"/>
  <c r="O20" i="4"/>
  <c r="P20" i="4"/>
  <c r="O21" i="4"/>
  <c r="P21" i="4"/>
  <c r="O22" i="4"/>
  <c r="P22" i="4"/>
  <c r="P23" i="4"/>
  <c r="O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P35" i="4"/>
  <c r="O35" i="4"/>
  <c r="P36" i="4"/>
  <c r="O36" i="4"/>
  <c r="P37" i="4"/>
  <c r="O37" i="4"/>
  <c r="O38" i="4"/>
  <c r="P38" i="4"/>
  <c r="P39" i="4"/>
  <c r="O39" i="4"/>
  <c r="P40" i="4"/>
  <c r="O40" i="4"/>
  <c r="P41" i="4"/>
  <c r="O41" i="4"/>
  <c r="O42" i="4"/>
  <c r="P42" i="4"/>
  <c r="P43" i="4"/>
  <c r="O43" i="4"/>
  <c r="P44" i="4"/>
  <c r="O44" i="4"/>
  <c r="P45" i="4"/>
  <c r="O45" i="4"/>
  <c r="O46" i="4"/>
  <c r="P46" i="4"/>
  <c r="P47" i="4"/>
  <c r="O47" i="4"/>
  <c r="P48" i="4"/>
  <c r="O48" i="4"/>
  <c r="P49" i="4"/>
  <c r="O49" i="4"/>
  <c r="P50" i="4"/>
  <c r="O50" i="4"/>
  <c r="P51" i="4"/>
  <c r="O51" i="4"/>
  <c r="P52" i="4"/>
  <c r="O52" i="4"/>
  <c r="O53" i="4"/>
  <c r="P53" i="4"/>
  <c r="O54" i="4"/>
  <c r="P54" i="4"/>
  <c r="P55" i="4"/>
  <c r="O55" i="4"/>
  <c r="O56" i="4"/>
  <c r="P56" i="4"/>
  <c r="O57" i="4"/>
  <c r="P57" i="4"/>
  <c r="P58" i="4"/>
  <c r="O58" i="4"/>
  <c r="P59" i="4"/>
  <c r="O59" i="4"/>
  <c r="P60" i="4"/>
  <c r="O60" i="4"/>
  <c r="O61" i="4"/>
  <c r="P61" i="4"/>
  <c r="P62" i="4"/>
  <c r="O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P71" i="4"/>
  <c r="O71" i="4"/>
  <c r="P72" i="4"/>
  <c r="O72" i="4"/>
  <c r="P73" i="4"/>
  <c r="O73" i="4"/>
  <c r="O74" i="4"/>
  <c r="P74" i="4"/>
  <c r="O75" i="4"/>
  <c r="P75" i="4"/>
  <c r="O76" i="4"/>
  <c r="P76" i="4"/>
  <c r="O77" i="4"/>
  <c r="P77" i="4"/>
  <c r="O78" i="4"/>
  <c r="P78" i="4"/>
  <c r="O79" i="4"/>
  <c r="P79" i="4"/>
  <c r="P80" i="4"/>
  <c r="O80" i="4"/>
  <c r="P81" i="4"/>
  <c r="O81" i="4"/>
  <c r="P82" i="4"/>
  <c r="O82" i="4"/>
  <c r="P83" i="4"/>
  <c r="O83" i="4"/>
  <c r="P84" i="4"/>
  <c r="O84" i="4"/>
  <c r="O85" i="4"/>
  <c r="P85" i="4"/>
  <c r="O86" i="4"/>
  <c r="P86" i="4"/>
  <c r="O87" i="4"/>
  <c r="P87" i="4"/>
  <c r="O88" i="4"/>
  <c r="P88" i="4"/>
  <c r="O89" i="4"/>
  <c r="P89" i="4"/>
  <c r="O90" i="4"/>
  <c r="P90" i="4"/>
  <c r="O91" i="4"/>
  <c r="P91" i="4"/>
  <c r="O92" i="4"/>
  <c r="P92" i="4"/>
  <c r="O93" i="4"/>
  <c r="P93" i="4"/>
  <c r="O94" i="4"/>
  <c r="P94" i="4"/>
  <c r="O95" i="4"/>
  <c r="P95" i="4"/>
  <c r="O96" i="4"/>
  <c r="P96" i="4"/>
  <c r="O97" i="4"/>
  <c r="P97" i="4"/>
  <c r="O98" i="4"/>
  <c r="P98" i="4"/>
  <c r="P99" i="4"/>
  <c r="O99" i="4"/>
  <c r="O100" i="4"/>
  <c r="P100" i="4"/>
  <c r="O101" i="4"/>
  <c r="P101" i="4"/>
  <c r="P102" i="4"/>
  <c r="O102" i="4"/>
  <c r="P103" i="4"/>
  <c r="O103" i="4"/>
  <c r="P104" i="4"/>
  <c r="O104" i="4"/>
  <c r="P105" i="4"/>
  <c r="O105" i="4"/>
  <c r="P106" i="4"/>
  <c r="O106" i="4"/>
  <c r="P107" i="4"/>
  <c r="O107" i="4"/>
  <c r="P108" i="4"/>
  <c r="O108" i="4"/>
  <c r="O109" i="4"/>
  <c r="P109" i="4"/>
  <c r="O110" i="4"/>
  <c r="P110" i="4"/>
  <c r="P111" i="4"/>
  <c r="O111" i="4"/>
  <c r="P112" i="4"/>
  <c r="O112" i="4"/>
  <c r="P113" i="4"/>
  <c r="O113" i="4"/>
  <c r="O114" i="4"/>
  <c r="P114" i="4"/>
  <c r="O115" i="4"/>
  <c r="P115" i="4"/>
  <c r="O116" i="4"/>
  <c r="P116" i="4"/>
  <c r="P117" i="4"/>
  <c r="O117" i="4"/>
  <c r="P118" i="4"/>
  <c r="O118" i="4"/>
  <c r="O119" i="4"/>
  <c r="P119" i="4"/>
  <c r="P120" i="4"/>
  <c r="O120" i="4"/>
  <c r="O121" i="4"/>
  <c r="P121" i="4"/>
  <c r="P122" i="4"/>
  <c r="O122" i="4"/>
  <c r="O286" i="4"/>
  <c r="P286" i="4"/>
  <c r="O287" i="4"/>
  <c r="P287" i="4"/>
  <c r="O288" i="4"/>
  <c r="P288" i="4"/>
  <c r="P289" i="4"/>
  <c r="O289" i="4"/>
  <c r="P290" i="4"/>
  <c r="O290" i="4"/>
  <c r="P291" i="4"/>
  <c r="O291" i="4"/>
  <c r="P292" i="4"/>
  <c r="O292" i="4"/>
  <c r="O293" i="4"/>
  <c r="P293" i="4"/>
  <c r="P294" i="4"/>
  <c r="O294" i="4"/>
  <c r="P295" i="4"/>
  <c r="O295" i="4"/>
  <c r="O296" i="4"/>
  <c r="P296" i="4"/>
  <c r="O297" i="4"/>
  <c r="P297" i="4"/>
  <c r="P298" i="4"/>
  <c r="O298" i="4"/>
  <c r="O299" i="4"/>
  <c r="P299" i="4"/>
  <c r="P300" i="4"/>
  <c r="O300" i="4"/>
  <c r="O301" i="4"/>
  <c r="P301" i="4"/>
  <c r="O302" i="4"/>
  <c r="P302" i="4"/>
  <c r="P303" i="4"/>
  <c r="O303" i="4"/>
  <c r="P304" i="4"/>
  <c r="O304" i="4"/>
  <c r="P305" i="4"/>
  <c r="O305" i="4"/>
  <c r="P306" i="4"/>
  <c r="O306" i="4"/>
  <c r="P307" i="4"/>
  <c r="O307" i="4"/>
  <c r="P308" i="4"/>
  <c r="O308" i="4"/>
  <c r="P309" i="4"/>
  <c r="O309" i="4"/>
  <c r="O310" i="4"/>
  <c r="P310" i="4"/>
  <c r="O311" i="4"/>
  <c r="P311" i="4"/>
  <c r="O312" i="4"/>
  <c r="P312" i="4"/>
  <c r="O313" i="4"/>
  <c r="P313" i="4"/>
  <c r="O314" i="4"/>
  <c r="P314" i="4"/>
  <c r="O315" i="4"/>
  <c r="P315" i="4"/>
  <c r="O316" i="4"/>
  <c r="P316" i="4"/>
  <c r="O317" i="4"/>
  <c r="P317" i="4"/>
  <c r="P318" i="4"/>
  <c r="O318" i="4"/>
  <c r="O319" i="4"/>
  <c r="P319" i="4"/>
  <c r="P320" i="4"/>
  <c r="O320" i="4"/>
  <c r="P321" i="4"/>
  <c r="O321" i="4"/>
  <c r="O322" i="4"/>
  <c r="P322" i="4"/>
  <c r="P323" i="4"/>
  <c r="O323" i="4"/>
  <c r="P324" i="4"/>
  <c r="O324" i="4"/>
  <c r="P325" i="4"/>
  <c r="O325" i="4"/>
  <c r="P326" i="4"/>
  <c r="O326" i="4"/>
  <c r="P327" i="4"/>
  <c r="O327" i="4"/>
  <c r="P328" i="4"/>
  <c r="O328" i="4"/>
  <c r="O329" i="4"/>
  <c r="P329" i="4"/>
  <c r="P330" i="4"/>
  <c r="O330" i="4"/>
  <c r="P331" i="4"/>
  <c r="O331" i="4"/>
  <c r="O332" i="4"/>
  <c r="P332" i="4"/>
  <c r="P333" i="4"/>
  <c r="O333" i="4"/>
  <c r="P334" i="4"/>
  <c r="O334" i="4"/>
  <c r="P335" i="4"/>
  <c r="O335" i="4"/>
  <c r="O336" i="4"/>
  <c r="P336" i="4"/>
  <c r="O337" i="4"/>
  <c r="P337" i="4"/>
  <c r="O338" i="4"/>
  <c r="P338" i="4"/>
  <c r="O339" i="4"/>
  <c r="P339" i="4"/>
  <c r="O340" i="4"/>
  <c r="P340" i="4"/>
  <c r="O341" i="4"/>
  <c r="P341" i="4"/>
  <c r="O12" i="4"/>
  <c r="P12" i="4"/>
  <c r="D9" i="13"/>
  <c r="C9" i="13"/>
  <c r="E84" i="25" l="1"/>
  <c r="F84" i="25" s="1"/>
  <c r="E83" i="25"/>
  <c r="F83" i="25" s="1"/>
  <c r="E82" i="25"/>
  <c r="F82" i="25" s="1"/>
  <c r="E81" i="25"/>
  <c r="F81" i="25" s="1"/>
  <c r="E80" i="25"/>
  <c r="F80" i="25" s="1"/>
  <c r="E79" i="25"/>
  <c r="F79" i="25" s="1"/>
  <c r="E78" i="25"/>
  <c r="F78" i="25" s="1"/>
  <c r="E77" i="25"/>
  <c r="F77" i="25" s="1"/>
  <c r="E76" i="25"/>
  <c r="F76" i="25" s="1"/>
  <c r="E75" i="25"/>
  <c r="F75" i="25" s="1"/>
  <c r="E74" i="25"/>
  <c r="F74" i="25" s="1"/>
  <c r="E73" i="25"/>
  <c r="F73" i="25" s="1"/>
  <c r="E72" i="25"/>
  <c r="F72" i="25" s="1"/>
  <c r="E71" i="25"/>
  <c r="F71" i="25" s="1"/>
  <c r="E70" i="25"/>
  <c r="F70" i="25" s="1"/>
  <c r="E69" i="25"/>
  <c r="F69" i="25" s="1"/>
  <c r="E68" i="25"/>
  <c r="F68" i="25" s="1"/>
  <c r="E67" i="25"/>
  <c r="F67" i="25" s="1"/>
  <c r="E66" i="25"/>
  <c r="F66" i="25" s="1"/>
  <c r="E65" i="25"/>
  <c r="F65" i="25" s="1"/>
  <c r="E64" i="25"/>
  <c r="F64" i="25" s="1"/>
  <c r="E63" i="25"/>
  <c r="F63" i="25" s="1"/>
  <c r="E62" i="25"/>
  <c r="F62" i="25" s="1"/>
  <c r="E61" i="25"/>
  <c r="F61" i="25" s="1"/>
  <c r="F60" i="25"/>
  <c r="E60" i="25"/>
  <c r="E59" i="25"/>
  <c r="F59" i="25" s="1"/>
  <c r="E58" i="25"/>
  <c r="F58" i="25" s="1"/>
  <c r="E57" i="25"/>
  <c r="F57" i="25" s="1"/>
  <c r="E56" i="25"/>
  <c r="F56" i="25" s="1"/>
  <c r="E55" i="25"/>
  <c r="F55" i="25" s="1"/>
  <c r="E54" i="25"/>
  <c r="F54" i="25" s="1"/>
  <c r="E53" i="25"/>
  <c r="F53" i="25" s="1"/>
  <c r="E52" i="25"/>
  <c r="F52" i="25" s="1"/>
  <c r="E51" i="25"/>
  <c r="F51" i="25" s="1"/>
  <c r="E50" i="25"/>
  <c r="F50" i="25" s="1"/>
  <c r="E49" i="25"/>
  <c r="F49" i="25" s="1"/>
  <c r="F48" i="25"/>
  <c r="E48" i="25"/>
  <c r="E47" i="25"/>
  <c r="F47" i="25" s="1"/>
  <c r="E46" i="25"/>
  <c r="F46" i="25" s="1"/>
  <c r="E45" i="25"/>
  <c r="F45" i="25" s="1"/>
  <c r="E44" i="25"/>
  <c r="F44" i="25" s="1"/>
  <c r="E43" i="25"/>
  <c r="F43" i="25" s="1"/>
  <c r="E42" i="25"/>
  <c r="F42" i="25" s="1"/>
  <c r="E41" i="25"/>
  <c r="F41" i="25" s="1"/>
  <c r="E40" i="25"/>
  <c r="F40" i="25" s="1"/>
  <c r="E39" i="25"/>
  <c r="F39" i="25" s="1"/>
  <c r="E38" i="25"/>
  <c r="F38" i="25" s="1"/>
  <c r="E37" i="25"/>
  <c r="F37" i="25" s="1"/>
  <c r="E36" i="25"/>
  <c r="F36" i="25" s="1"/>
  <c r="E35" i="25"/>
  <c r="F35" i="25" s="1"/>
  <c r="E34" i="25"/>
  <c r="F34" i="25" s="1"/>
  <c r="E33" i="25"/>
  <c r="F33" i="25" s="1"/>
  <c r="E32" i="25"/>
  <c r="F32" i="25" s="1"/>
  <c r="E31" i="25"/>
  <c r="F31" i="25" s="1"/>
  <c r="E30" i="25"/>
  <c r="F30" i="25" s="1"/>
  <c r="J18" i="25" s="1"/>
  <c r="E29" i="25"/>
  <c r="F29" i="25" s="1"/>
  <c r="E28" i="25"/>
  <c r="F28" i="25" s="1"/>
  <c r="E27" i="25"/>
  <c r="F27" i="25" s="1"/>
  <c r="E26" i="25"/>
  <c r="F26" i="25" s="1"/>
  <c r="E25" i="25"/>
  <c r="F25" i="25" s="1"/>
  <c r="F24" i="25"/>
  <c r="J5" i="25" s="1"/>
  <c r="E24" i="25"/>
  <c r="E23" i="25"/>
  <c r="F23" i="25" s="1"/>
  <c r="J19" i="25" s="1"/>
  <c r="E22" i="25"/>
  <c r="F22" i="25" s="1"/>
  <c r="E21" i="25"/>
  <c r="F21" i="25" s="1"/>
  <c r="E20" i="25"/>
  <c r="F20" i="25" s="1"/>
  <c r="K19" i="25"/>
  <c r="E19" i="25"/>
  <c r="F19" i="25" s="1"/>
  <c r="J15" i="25" s="1"/>
  <c r="K18" i="25"/>
  <c r="E18" i="25"/>
  <c r="F18" i="25" s="1"/>
  <c r="J14" i="25" s="1"/>
  <c r="K17" i="25"/>
  <c r="E17" i="25"/>
  <c r="F17" i="25" s="1"/>
  <c r="J13" i="25" s="1"/>
  <c r="K16" i="25"/>
  <c r="F16" i="25"/>
  <c r="E16" i="25"/>
  <c r="K15" i="25"/>
  <c r="E15" i="25"/>
  <c r="F15" i="25" s="1"/>
  <c r="K14" i="25"/>
  <c r="E14" i="25"/>
  <c r="F14" i="25" s="1"/>
  <c r="K13" i="25"/>
  <c r="E13" i="25"/>
  <c r="F13" i="25" s="1"/>
  <c r="K12" i="25"/>
  <c r="E12" i="25"/>
  <c r="F12" i="25" s="1"/>
  <c r="K11" i="25"/>
  <c r="E11" i="25"/>
  <c r="F11" i="25" s="1"/>
  <c r="K10" i="25"/>
  <c r="E10" i="25"/>
  <c r="F10" i="25" s="1"/>
  <c r="K9" i="25"/>
  <c r="E9" i="25"/>
  <c r="F9" i="25" s="1"/>
  <c r="K8" i="25"/>
  <c r="E8" i="25"/>
  <c r="F8" i="25" s="1"/>
  <c r="K7" i="25"/>
  <c r="E7" i="25"/>
  <c r="F7" i="25" s="1"/>
  <c r="J7" i="25" s="1"/>
  <c r="K6" i="25"/>
  <c r="E6" i="25"/>
  <c r="F6" i="25" s="1"/>
  <c r="J6" i="25" s="1"/>
  <c r="K5" i="25"/>
  <c r="E5" i="25"/>
  <c r="F5" i="25" s="1"/>
  <c r="J17" i="25" s="1"/>
  <c r="K4" i="25"/>
  <c r="E4" i="25"/>
  <c r="F4" i="25" s="1"/>
  <c r="J4" i="25" s="1"/>
  <c r="J12" i="25" l="1"/>
  <c r="J10" i="25"/>
  <c r="J9" i="25"/>
  <c r="J8" i="25"/>
  <c r="J11" i="25"/>
  <c r="J16" i="25"/>
</calcChain>
</file>

<file path=xl/sharedStrings.xml><?xml version="1.0" encoding="utf-8"?>
<sst xmlns="http://schemas.openxmlformats.org/spreadsheetml/2006/main" count="13020" uniqueCount="7739">
  <si>
    <t>Months</t>
  </si>
  <si>
    <t>MS-CIT</t>
  </si>
  <si>
    <t>DTP</t>
  </si>
  <si>
    <t>Jan</t>
  </si>
  <si>
    <t>COURSES</t>
  </si>
  <si>
    <t>Feb</t>
  </si>
  <si>
    <t>MSCIT</t>
  </si>
  <si>
    <t>Mar</t>
  </si>
  <si>
    <t>AUTO CAD</t>
  </si>
  <si>
    <t>Apr</t>
  </si>
  <si>
    <t>May</t>
  </si>
  <si>
    <t>TALLY</t>
  </si>
  <si>
    <t>Jun</t>
  </si>
  <si>
    <t>Jul</t>
  </si>
  <si>
    <t>Aug</t>
  </si>
  <si>
    <t>Sep</t>
  </si>
  <si>
    <t>Oct</t>
  </si>
  <si>
    <t>Nov</t>
  </si>
  <si>
    <t>Dec</t>
  </si>
  <si>
    <t>Question :- Calculate the total of all course using "SUM" function.</t>
  </si>
  <si>
    <t>TOTAL</t>
  </si>
  <si>
    <t>S.NO</t>
  </si>
  <si>
    <t>NAME OF STUDENT</t>
  </si>
  <si>
    <t>ENGLISH</t>
  </si>
  <si>
    <t>MATHS</t>
  </si>
  <si>
    <t>PHYSICS</t>
  </si>
  <si>
    <t>CHEMISTRY</t>
  </si>
  <si>
    <t>GEOGRAPHY</t>
  </si>
  <si>
    <t>HISTORY</t>
  </si>
  <si>
    <t>AVERAGE</t>
  </si>
  <si>
    <t>SCHOLARSHIP</t>
  </si>
  <si>
    <t>AMIT SATHE</t>
  </si>
  <si>
    <t>BIPIN CHITALE</t>
  </si>
  <si>
    <t>C RAMCHANDRAN</t>
  </si>
  <si>
    <t>DINESH GUPTE</t>
  </si>
  <si>
    <t>E D"DOSUZA</t>
  </si>
  <si>
    <t>FLEMING ROBERT</t>
  </si>
  <si>
    <t>GANESH NAIK</t>
  </si>
  <si>
    <t>HARISH DEO</t>
  </si>
  <si>
    <t>AMIT CHAUGHULLE</t>
  </si>
  <si>
    <t>BIPIN DALVI</t>
  </si>
  <si>
    <t>VIJAY GOVARDHAN</t>
  </si>
  <si>
    <t>SATISH SALVE</t>
  </si>
  <si>
    <t>SAMEER GUPTE</t>
  </si>
  <si>
    <t>C PATKI</t>
  </si>
  <si>
    <t>NILESH GOGAVALE</t>
  </si>
  <si>
    <t>ANAND GHATE</t>
  </si>
  <si>
    <t>PRAVEEN DALVI</t>
  </si>
  <si>
    <t>VIJAY NAIK</t>
  </si>
  <si>
    <t>NARESH GOGAVALE</t>
  </si>
  <si>
    <t>BIPIN MANTRI</t>
  </si>
  <si>
    <t>Mark Scholarship coloumn as "Yes" if Average marks are more than 70% otherwise "No" by using IF function</t>
  </si>
  <si>
    <t>Highlight Students name in Red colour having maximum average marks</t>
  </si>
  <si>
    <t>Align all marks in centre position</t>
  </si>
  <si>
    <t>Autofill S.No from 1 to 20</t>
  </si>
  <si>
    <t>Calculate "Total" and "Average"</t>
  </si>
  <si>
    <t>Conditionaly format "Yes" schorship in Red using conditional formatting.</t>
  </si>
  <si>
    <t>Set the width of 1st column to 10</t>
  </si>
  <si>
    <t>Change the background color of Cell E12 to "Red" and also apply "Strikethrough" Font Effect.</t>
  </si>
  <si>
    <t>S.No</t>
  </si>
  <si>
    <t>Name of the  Employee</t>
  </si>
  <si>
    <t>BASIC</t>
  </si>
  <si>
    <t>DA</t>
  </si>
  <si>
    <t>HRA</t>
  </si>
  <si>
    <t>CCA</t>
  </si>
  <si>
    <t>ESI 2.25%</t>
  </si>
  <si>
    <t>85% of Basic</t>
  </si>
  <si>
    <t>45% of Basic</t>
  </si>
  <si>
    <t>35% of Basic</t>
  </si>
  <si>
    <t>ON BASIC</t>
  </si>
  <si>
    <t>DEDUCTION</t>
  </si>
  <si>
    <t>Shriram Kulkarni</t>
  </si>
  <si>
    <t>Ashok Deshpande</t>
  </si>
  <si>
    <t>Sandeep Kale</t>
  </si>
  <si>
    <t>Sonali Shah</t>
  </si>
  <si>
    <t>Deepti Bhatnagar</t>
  </si>
  <si>
    <t>Kishor Sathe</t>
  </si>
  <si>
    <t>Sandeep Sonawane</t>
  </si>
  <si>
    <t>Girish Joshi</t>
  </si>
  <si>
    <t>Sadhana Gokhale</t>
  </si>
  <si>
    <t>Ajay Pradhan</t>
  </si>
  <si>
    <t>Priti Deshpande</t>
  </si>
  <si>
    <t>Santosh Gaikwad</t>
  </si>
  <si>
    <t>Dilip Shinde</t>
  </si>
  <si>
    <t>Kirti Boob</t>
  </si>
  <si>
    <t>Aparana Satav</t>
  </si>
  <si>
    <t>PT</t>
  </si>
  <si>
    <t>If total &gt;=20000 (2000),(1500)</t>
  </si>
  <si>
    <t>NET PAY</t>
  </si>
  <si>
    <t>PF 11.25%</t>
  </si>
  <si>
    <t xml:space="preserve">Questions </t>
  </si>
  <si>
    <t>Question :- Calculate DA, HRA,CCA, TOTAL, PF, ESI, PT, TOTAL DED, NET PAY using appropriate function or formula</t>
  </si>
  <si>
    <t xml:space="preserve">NAME </t>
  </si>
  <si>
    <t>SALES 2001</t>
  </si>
  <si>
    <t xml:space="preserve">MINIMUM </t>
  </si>
  <si>
    <t>MAXIMUM</t>
  </si>
  <si>
    <t xml:space="preserve">AVERAGE </t>
  </si>
  <si>
    <t>INCENTIVE</t>
  </si>
  <si>
    <t>PRIYA.W</t>
  </si>
  <si>
    <t>NARESH.B</t>
  </si>
  <si>
    <t>SUNIL.Y</t>
  </si>
  <si>
    <t>SHITAL.S</t>
  </si>
  <si>
    <t>VAISHALI.J</t>
  </si>
  <si>
    <t>GAURI.P</t>
  </si>
  <si>
    <t>KIRAN.K</t>
  </si>
  <si>
    <t>SANJAY.D</t>
  </si>
  <si>
    <t>SUJATA.D</t>
  </si>
  <si>
    <t>PRANJALI.K</t>
  </si>
  <si>
    <t>DEEPALI.K</t>
  </si>
  <si>
    <t>RENA.W</t>
  </si>
  <si>
    <t>PALLAVI.B</t>
  </si>
  <si>
    <t>AMIT.B</t>
  </si>
  <si>
    <t>PRANAY.B</t>
  </si>
  <si>
    <t>GAURAV.R</t>
  </si>
  <si>
    <t>MAYUR.L</t>
  </si>
  <si>
    <t>ANAND.R</t>
  </si>
  <si>
    <t>SWAPNIL.R</t>
  </si>
  <si>
    <t>SHILPA.M</t>
  </si>
  <si>
    <t>SALES 2002</t>
  </si>
  <si>
    <t>SALES 2003</t>
  </si>
  <si>
    <t>Calculate Incentive by using "IF" Function as  If Average amount is more that 1,00,000 then incentive 15,000 elase incentive = 5,000</t>
  </si>
  <si>
    <t>Use Comma (,) Seperater for thousand</t>
  </si>
  <si>
    <t>Conditionaly format Incentive column in Green  color  for Incentive &gt;= 5000</t>
  </si>
  <si>
    <t>Calculate MINIMUM, MAXIMUM, TOTAL, AVERAGE.</t>
  </si>
  <si>
    <t>MITCON COUNSULTANCY,SHIVAJINAGAR, PUNE - 411 005</t>
  </si>
  <si>
    <t>Sr.No</t>
  </si>
  <si>
    <t>Candidate Name</t>
  </si>
  <si>
    <t>Present</t>
  </si>
  <si>
    <t>Absent</t>
  </si>
  <si>
    <t>Per day</t>
  </si>
  <si>
    <t>Total</t>
  </si>
  <si>
    <t xml:space="preserve"> DEEPAK</t>
  </si>
  <si>
    <t>P</t>
  </si>
  <si>
    <t>SUNDAY</t>
  </si>
  <si>
    <t>A</t>
  </si>
  <si>
    <t xml:space="preserve">VIDYA </t>
  </si>
  <si>
    <t xml:space="preserve">AKASH </t>
  </si>
  <si>
    <t>VINOD</t>
  </si>
  <si>
    <t xml:space="preserve"> MADHU</t>
  </si>
  <si>
    <t xml:space="preserve">SNEHA </t>
  </si>
  <si>
    <t>ANILKUMAR</t>
  </si>
  <si>
    <t xml:space="preserve">KISHOR </t>
  </si>
  <si>
    <t>VAISHALI</t>
  </si>
  <si>
    <t xml:space="preserve">VISHAL </t>
  </si>
  <si>
    <t xml:space="preserve">AMIT </t>
  </si>
  <si>
    <t xml:space="preserve">ARPITA </t>
  </si>
  <si>
    <t>AMOL</t>
  </si>
  <si>
    <t>GAIL</t>
  </si>
  <si>
    <t>HARRY</t>
  </si>
  <si>
    <t>IAN</t>
  </si>
  <si>
    <t>JANICE</t>
  </si>
  <si>
    <t xml:space="preserve">ANAND </t>
  </si>
  <si>
    <t xml:space="preserve">FIRDOUS </t>
  </si>
  <si>
    <t xml:space="preserve">SHRIKANT </t>
  </si>
  <si>
    <t xml:space="preserve">VIDHYA </t>
  </si>
  <si>
    <t xml:space="preserve">ADITI </t>
  </si>
  <si>
    <t>SURYAKANT</t>
  </si>
  <si>
    <t xml:space="preserve">VIJAYALAXMI </t>
  </si>
  <si>
    <t>SITARAM</t>
  </si>
  <si>
    <t xml:space="preserve"> KASTURE</t>
  </si>
  <si>
    <t xml:space="preserve">Question :- Calculate Present days and Absent days and total using function or formula. </t>
  </si>
  <si>
    <t>Mark Sheet</t>
  </si>
  <si>
    <t>Roll No</t>
  </si>
  <si>
    <t>Student Name</t>
  </si>
  <si>
    <t>City</t>
  </si>
  <si>
    <t>Class</t>
  </si>
  <si>
    <t>Marathi</t>
  </si>
  <si>
    <t>Hindi</t>
  </si>
  <si>
    <t>English</t>
  </si>
  <si>
    <t>History</t>
  </si>
  <si>
    <t>Math</t>
  </si>
  <si>
    <t>Geography</t>
  </si>
  <si>
    <t>Science</t>
  </si>
  <si>
    <t>Average</t>
  </si>
  <si>
    <t>Result</t>
  </si>
  <si>
    <t>Grade</t>
  </si>
  <si>
    <t>Scholarship</t>
  </si>
  <si>
    <t>anand</t>
  </si>
  <si>
    <t>Ahmedabad</t>
  </si>
  <si>
    <t>VIII</t>
  </si>
  <si>
    <t>firdous</t>
  </si>
  <si>
    <t>X</t>
  </si>
  <si>
    <t>shrikant</t>
  </si>
  <si>
    <t>Badoda</t>
  </si>
  <si>
    <t>vidhya</t>
  </si>
  <si>
    <t>IX</t>
  </si>
  <si>
    <t>aditi</t>
  </si>
  <si>
    <t>Delhi</t>
  </si>
  <si>
    <t>suryakant</t>
  </si>
  <si>
    <t>vijayalaxmi</t>
  </si>
  <si>
    <t>sitaram</t>
  </si>
  <si>
    <t>Hydrabad</t>
  </si>
  <si>
    <t>vidya</t>
  </si>
  <si>
    <t>akash</t>
  </si>
  <si>
    <t>Jaipur</t>
  </si>
  <si>
    <t>vinod</t>
  </si>
  <si>
    <t>youvraj</t>
  </si>
  <si>
    <t>Jodhpur</t>
  </si>
  <si>
    <t>sneha</t>
  </si>
  <si>
    <t>Kanpur</t>
  </si>
  <si>
    <t>toshi</t>
  </si>
  <si>
    <t>vinita</t>
  </si>
  <si>
    <t>vaishali</t>
  </si>
  <si>
    <t>Mumbai</t>
  </si>
  <si>
    <t>vishal</t>
  </si>
  <si>
    <t>amit</t>
  </si>
  <si>
    <t>Pune</t>
  </si>
  <si>
    <t>arpita</t>
  </si>
  <si>
    <t>amol</t>
  </si>
  <si>
    <t>Ujjain</t>
  </si>
  <si>
    <t>arun</t>
  </si>
  <si>
    <t>Solapur</t>
  </si>
  <si>
    <t>riresh</t>
  </si>
  <si>
    <t>Vasai</t>
  </si>
  <si>
    <t>kiran</t>
  </si>
  <si>
    <t>mahesh</t>
  </si>
  <si>
    <t>makarand</t>
  </si>
  <si>
    <t>Akola</t>
  </si>
  <si>
    <t>mohan</t>
  </si>
  <si>
    <t>Umadi</t>
  </si>
  <si>
    <t>shraddha</t>
  </si>
  <si>
    <t>Manmad</t>
  </si>
  <si>
    <t>pankaj</t>
  </si>
  <si>
    <t>Goregaon</t>
  </si>
  <si>
    <t>sharad</t>
  </si>
  <si>
    <t>Umred</t>
  </si>
  <si>
    <t>varun</t>
  </si>
  <si>
    <t>Shirala</t>
  </si>
  <si>
    <t>jon</t>
  </si>
  <si>
    <t>Wardha</t>
  </si>
  <si>
    <t>pragati</t>
  </si>
  <si>
    <t>Chandrapur</t>
  </si>
  <si>
    <t>Jalna</t>
  </si>
  <si>
    <t>nita</t>
  </si>
  <si>
    <t>priya</t>
  </si>
  <si>
    <t>vivek</t>
  </si>
  <si>
    <t>santosh</t>
  </si>
  <si>
    <t>tarachand</t>
  </si>
  <si>
    <t>varsha</t>
  </si>
  <si>
    <t>surekha</t>
  </si>
  <si>
    <t>vinayak</t>
  </si>
  <si>
    <t>katare</t>
  </si>
  <si>
    <t>vikas</t>
  </si>
  <si>
    <t>shivaji</t>
  </si>
  <si>
    <t>bharat</t>
  </si>
  <si>
    <t>sunil</t>
  </si>
  <si>
    <t>vijay</t>
  </si>
  <si>
    <t>pratap</t>
  </si>
  <si>
    <t>ashok</t>
  </si>
  <si>
    <t>laxman</t>
  </si>
  <si>
    <t>jaywant</t>
  </si>
  <si>
    <t>manohar</t>
  </si>
  <si>
    <t>kisanrao</t>
  </si>
  <si>
    <t>mohiniraj</t>
  </si>
  <si>
    <t>dnyaneshwar</t>
  </si>
  <si>
    <t>popat</t>
  </si>
  <si>
    <t>baliram</t>
  </si>
  <si>
    <t>lala</t>
  </si>
  <si>
    <t>kamlakar</t>
  </si>
  <si>
    <t>deodatta</t>
  </si>
  <si>
    <t>ganesh</t>
  </si>
  <si>
    <t>dattoba</t>
  </si>
  <si>
    <t>harishchandra</t>
  </si>
  <si>
    <t>shankar</t>
  </si>
  <si>
    <t>milind</t>
  </si>
  <si>
    <t>babu</t>
  </si>
  <si>
    <t>bhima</t>
  </si>
  <si>
    <t>dilip</t>
  </si>
  <si>
    <t>rameshrao</t>
  </si>
  <si>
    <t>vitthal</t>
  </si>
  <si>
    <t>nandkishor</t>
  </si>
  <si>
    <t>saleemuddin</t>
  </si>
  <si>
    <t>shrigopalji</t>
  </si>
  <si>
    <t>sable</t>
  </si>
  <si>
    <t>kore</t>
  </si>
  <si>
    <t>wakle</t>
  </si>
  <si>
    <t>vivekanand</t>
  </si>
  <si>
    <t>kagade</t>
  </si>
  <si>
    <t>kasture</t>
  </si>
  <si>
    <t>narayan</t>
  </si>
  <si>
    <t xml:space="preserve"> deepak</t>
  </si>
  <si>
    <t xml:space="preserve">vidya </t>
  </si>
  <si>
    <t xml:space="preserve">akash </t>
  </si>
  <si>
    <t xml:space="preserve"> madhu</t>
  </si>
  <si>
    <t xml:space="preserve">sneha </t>
  </si>
  <si>
    <t>anilkumar</t>
  </si>
  <si>
    <t xml:space="preserve">kishor </t>
  </si>
  <si>
    <t xml:space="preserve">vishal </t>
  </si>
  <si>
    <t xml:space="preserve">amit </t>
  </si>
  <si>
    <t xml:space="preserve">arpita </t>
  </si>
  <si>
    <t>gail</t>
  </si>
  <si>
    <t>harry</t>
  </si>
  <si>
    <t>ian</t>
  </si>
  <si>
    <t>janice</t>
  </si>
  <si>
    <t xml:space="preserve">anand </t>
  </si>
  <si>
    <t xml:space="preserve">firdous </t>
  </si>
  <si>
    <t xml:space="preserve">shrikant </t>
  </si>
  <si>
    <t xml:space="preserve">vidhya </t>
  </si>
  <si>
    <t xml:space="preserve">aditi </t>
  </si>
  <si>
    <t xml:space="preserve">vijayalaxmi </t>
  </si>
  <si>
    <t xml:space="preserve"> kasture</t>
  </si>
  <si>
    <t>panshing</t>
  </si>
  <si>
    <t>roby</t>
  </si>
  <si>
    <t>dipak</t>
  </si>
  <si>
    <t>mangesh</t>
  </si>
  <si>
    <t>chetan</t>
  </si>
  <si>
    <t>alan</t>
  </si>
  <si>
    <t>bob</t>
  </si>
  <si>
    <t>carol</t>
  </si>
  <si>
    <t>david</t>
  </si>
  <si>
    <t>eric</t>
  </si>
  <si>
    <t>fred</t>
  </si>
  <si>
    <t>yogesh</t>
  </si>
  <si>
    <t>sanket</t>
  </si>
  <si>
    <t>pushpa</t>
  </si>
  <si>
    <t>pallavi</t>
  </si>
  <si>
    <t>rohit</t>
  </si>
  <si>
    <t>megha</t>
  </si>
  <si>
    <t>aarti</t>
  </si>
  <si>
    <t>sheela</t>
  </si>
  <si>
    <t>siddheshwar</t>
  </si>
  <si>
    <t>prashant</t>
  </si>
  <si>
    <t>swapnil</t>
  </si>
  <si>
    <t>prajakta</t>
  </si>
  <si>
    <t>nivrutti</t>
  </si>
  <si>
    <t>poonam</t>
  </si>
  <si>
    <t>kailas</t>
  </si>
  <si>
    <t>salubai</t>
  </si>
  <si>
    <t>rahul</t>
  </si>
  <si>
    <t>nachiket</t>
  </si>
  <si>
    <t>savitha</t>
  </si>
  <si>
    <t>sunanda</t>
  </si>
  <si>
    <t>pravin</t>
  </si>
  <si>
    <t>gopichand</t>
  </si>
  <si>
    <t>omkar</t>
  </si>
  <si>
    <t>kartiki</t>
  </si>
  <si>
    <t>ravindra</t>
  </si>
  <si>
    <t>mangala</t>
  </si>
  <si>
    <t>gulabsing</t>
  </si>
  <si>
    <t>padvi</t>
  </si>
  <si>
    <t>bhadange</t>
  </si>
  <si>
    <t>mahale</t>
  </si>
  <si>
    <t>kothawale</t>
  </si>
  <si>
    <t>hawaldar</t>
  </si>
  <si>
    <t>sasane</t>
  </si>
  <si>
    <t>kadam</t>
  </si>
  <si>
    <t>koli</t>
  </si>
  <si>
    <t>dhakol</t>
  </si>
  <si>
    <t>pawar</t>
  </si>
  <si>
    <t>badhe</t>
  </si>
  <si>
    <t>sonawane</t>
  </si>
  <si>
    <t>kathore</t>
  </si>
  <si>
    <t>naravade</t>
  </si>
  <si>
    <t>waghmode</t>
  </si>
  <si>
    <t>palepad</t>
  </si>
  <si>
    <t>sule</t>
  </si>
  <si>
    <t>kamble</t>
  </si>
  <si>
    <t>thakur</t>
  </si>
  <si>
    <t>bhakta</t>
  </si>
  <si>
    <t>nandwate</t>
  </si>
  <si>
    <t>aglave</t>
  </si>
  <si>
    <t>rathi</t>
  </si>
  <si>
    <t>surve</t>
  </si>
  <si>
    <t>bhole</t>
  </si>
  <si>
    <t>mali</t>
  </si>
  <si>
    <t>gothi</t>
  </si>
  <si>
    <t>shinde</t>
  </si>
  <si>
    <t>khatake</t>
  </si>
  <si>
    <t>jahan</t>
  </si>
  <si>
    <t>uttam</t>
  </si>
  <si>
    <t>nitin</t>
  </si>
  <si>
    <t>rajaram</t>
  </si>
  <si>
    <t>deepakrao</t>
  </si>
  <si>
    <t>suryakantrao</t>
  </si>
  <si>
    <t>nagnath</t>
  </si>
  <si>
    <t>madhukarrao</t>
  </si>
  <si>
    <t>deepak</t>
  </si>
  <si>
    <t>kishor</t>
  </si>
  <si>
    <t>balkishanji</t>
  </si>
  <si>
    <t>hanmantrao</t>
  </si>
  <si>
    <t>satishkumar</t>
  </si>
  <si>
    <t>dagdulal</t>
  </si>
  <si>
    <t>potdar</t>
  </si>
  <si>
    <t>sarda</t>
  </si>
  <si>
    <t>jade</t>
  </si>
  <si>
    <t>gholap</t>
  </si>
  <si>
    <t>kawale</t>
  </si>
  <si>
    <t>jadhav</t>
  </si>
  <si>
    <t>varyani</t>
  </si>
  <si>
    <t>jain</t>
  </si>
  <si>
    <t>katariya</t>
  </si>
  <si>
    <t>bangad</t>
  </si>
  <si>
    <t>bhoge</t>
  </si>
  <si>
    <t>joshi</t>
  </si>
  <si>
    <t>bhutada</t>
  </si>
  <si>
    <t>udgirkar</t>
  </si>
  <si>
    <t>kumar</t>
  </si>
  <si>
    <t>bhosale</t>
  </si>
  <si>
    <t>jog</t>
  </si>
  <si>
    <t>hajare</t>
  </si>
  <si>
    <t>dongre</t>
  </si>
  <si>
    <t>bhide</t>
  </si>
  <si>
    <t>shetty</t>
  </si>
  <si>
    <t>williams</t>
  </si>
  <si>
    <t>mane</t>
  </si>
  <si>
    <t>shirke</t>
  </si>
  <si>
    <t>kulkarni</t>
  </si>
  <si>
    <t>pille</t>
  </si>
  <si>
    <t>mendi</t>
  </si>
  <si>
    <t>ubale</t>
  </si>
  <si>
    <t>agashe</t>
  </si>
  <si>
    <t>dinde</t>
  </si>
  <si>
    <t>yadav</t>
  </si>
  <si>
    <t>misra</t>
  </si>
  <si>
    <t>Question :- Calculate Total, Average, Result, Grade and Scholarship using appropriate funcation or formula</t>
  </si>
  <si>
    <t>if average is &gt;=75 then Scholarship "Yes" otherwise "No"</t>
  </si>
  <si>
    <t>Tender Record</t>
  </si>
  <si>
    <t>Date</t>
  </si>
  <si>
    <t>Builder Name</t>
  </si>
  <si>
    <t>Work Units</t>
  </si>
  <si>
    <t>Unit Rate</t>
  </si>
  <si>
    <t>Total  Amount</t>
  </si>
  <si>
    <t>Commission</t>
  </si>
  <si>
    <t>Commission Rates</t>
  </si>
  <si>
    <t>Total Commission</t>
  </si>
  <si>
    <t>Count</t>
  </si>
  <si>
    <t>Panshing</t>
  </si>
  <si>
    <t>Ian</t>
  </si>
  <si>
    <t>Roby</t>
  </si>
  <si>
    <t>Dipak</t>
  </si>
  <si>
    <t>Mangesh</t>
  </si>
  <si>
    <t>Harry</t>
  </si>
  <si>
    <t>Chetan</t>
  </si>
  <si>
    <t>Alan</t>
  </si>
  <si>
    <t>Carol</t>
  </si>
  <si>
    <t>Bob</t>
  </si>
  <si>
    <t>David</t>
  </si>
  <si>
    <t>Eric</t>
  </si>
  <si>
    <t>Fred</t>
  </si>
  <si>
    <t>Gail</t>
  </si>
  <si>
    <t>Janice</t>
  </si>
  <si>
    <t xml:space="preserve">Anand </t>
  </si>
  <si>
    <t>VLOOKUP(lookup_value, table_array, col_index_num ,range_lookup)</t>
  </si>
  <si>
    <t>VLOOKUP(find this value, in that table, return the value in column x of the table, but only return a result if you can match the value exactly)</t>
  </si>
  <si>
    <t xml:space="preserve">Number </t>
  </si>
  <si>
    <t>Character</t>
  </si>
  <si>
    <t>Question :- Find the characters of following numbers using "CHAR" function.</t>
  </si>
  <si>
    <t>_x000B_</t>
  </si>
  <si>
    <t>_x000C_</t>
  </si>
  <si>
    <t>_x000E_</t>
  </si>
  <si>
    <t>_x000F_</t>
  </si>
  <si>
    <t>_x0010_</t>
  </si>
  <si>
    <t>_x0011_</t>
  </si>
  <si>
    <t>_x0012_</t>
  </si>
  <si>
    <t>_x0013_</t>
  </si>
  <si>
    <t>_x0014_</t>
  </si>
  <si>
    <t>_x0015_</t>
  </si>
  <si>
    <t>_x0016_</t>
  </si>
  <si>
    <t>_x0017_</t>
  </si>
  <si>
    <t>Dirty Text</t>
  </si>
  <si>
    <t>Clean Text</t>
  </si>
  <si>
    <t>Hello</t>
  </si>
  <si>
    <t>He_x0007_llo</t>
  </si>
  <si>
    <t>_x0007_Hello_x0007_</t>
  </si>
  <si>
    <t>Question :- Using "CLEAN" function, clean the text in range B4:B6.</t>
  </si>
  <si>
    <t>Name 1</t>
  </si>
  <si>
    <t>Name 2</t>
  </si>
  <si>
    <t>Concatenated Text</t>
  </si>
  <si>
    <t>Jones</t>
  </si>
  <si>
    <t>Williams</t>
  </si>
  <si>
    <t>Davies</t>
  </si>
  <si>
    <t>Question :- Using "CONCATENATE" function, join the text in range C5:C10.</t>
  </si>
  <si>
    <t>Range To Test</t>
  </si>
  <si>
    <t>Blanks</t>
  </si>
  <si>
    <t>Question :- Using "COUNTBLANK" function, count the blank cells in cell B4.</t>
  </si>
  <si>
    <t>85+</t>
  </si>
  <si>
    <t>Name</t>
  </si>
  <si>
    <t>Sales</t>
  </si>
  <si>
    <t>Target</t>
  </si>
  <si>
    <t>Question :- Using "IF" function, give the remark "Achived" if Sales is &gt;= target otherwise "Not Achieved"</t>
  </si>
  <si>
    <t>Item</t>
  </si>
  <si>
    <t>Sold</t>
  </si>
  <si>
    <t>price</t>
  </si>
  <si>
    <t>Tyres</t>
  </si>
  <si>
    <t>Filters</t>
  </si>
  <si>
    <t>Bulbs</t>
  </si>
  <si>
    <t xml:space="preserve">Total Sales Value : </t>
  </si>
  <si>
    <t>Question :- Using "SUMPRODUCT" function, calculate the total sale value in cell C9.</t>
  </si>
  <si>
    <t>Question :- Using "TRANSPOSE" option transpose the table to bellow the table.</t>
  </si>
  <si>
    <t>Original Text</t>
  </si>
  <si>
    <t>Trimmed Text</t>
  </si>
  <si>
    <t xml:space="preserve">  ABCD</t>
  </si>
  <si>
    <t xml:space="preserve">  A   B   C   D</t>
  </si>
  <si>
    <t xml:space="preserve">   Alan        Jones</t>
  </si>
  <si>
    <t>ABCD</t>
  </si>
  <si>
    <t>Question :- Use the  "TRIM" Function in range C5:C8.</t>
  </si>
  <si>
    <t>Cost</t>
  </si>
  <si>
    <t>Brakes</t>
  </si>
  <si>
    <t>Service</t>
  </si>
  <si>
    <t>Window</t>
  </si>
  <si>
    <t>Clutch</t>
  </si>
  <si>
    <t>Total cost of all Brakes bought.</t>
  </si>
  <si>
    <t>Total cost of all Tyres bought.</t>
  </si>
  <si>
    <t>Question :- Using "SUMIF" Function show the total in C16 &amp; C17.</t>
  </si>
  <si>
    <t>Saleman</t>
  </si>
  <si>
    <t>Sagar More</t>
  </si>
  <si>
    <t>Vishal Patil</t>
  </si>
  <si>
    <t>Ankush Patil</t>
  </si>
  <si>
    <t>Amar Katare</t>
  </si>
  <si>
    <t>Kumar Katare</t>
  </si>
  <si>
    <t>Sagar Jagtap</t>
  </si>
  <si>
    <t>Question :- Using "CONSOLIDATE" Option calculate the total in table 5 with the help of 1 to 4 tables.</t>
  </si>
  <si>
    <t>Table 1</t>
  </si>
  <si>
    <t>Table 2</t>
  </si>
  <si>
    <t>Table 3</t>
  </si>
  <si>
    <t>Table 4</t>
  </si>
  <si>
    <t>Table 5</t>
  </si>
  <si>
    <t>Center Code</t>
  </si>
  <si>
    <t>Center Name</t>
  </si>
  <si>
    <t>Address</t>
  </si>
  <si>
    <t>Mobile</t>
  </si>
  <si>
    <t>Email</t>
  </si>
  <si>
    <t>District</t>
  </si>
  <si>
    <t>Vaneera Info Services</t>
  </si>
  <si>
    <t>Onkar Nagar,Parik Park,Jalgaon</t>
  </si>
  <si>
    <t>info@vaneera.com</t>
  </si>
  <si>
    <t>Jalgaon</t>
  </si>
  <si>
    <t>Igm Computer Education, Jalgaon</t>
  </si>
  <si>
    <t>Basement Lathi Plaza, Opp. Shahu Maharaj Complex</t>
  </si>
  <si>
    <t>igmjalgaon@rediffmail.com</t>
  </si>
  <si>
    <t>Tapasya Computers,Faizpur</t>
  </si>
  <si>
    <t>1St Floor,Bazar Samiti, Yawal Road,</t>
  </si>
  <si>
    <t>jitendra.rane@rediff.com</t>
  </si>
  <si>
    <t>.</t>
  </si>
  <si>
    <t>Infotech Computers</t>
  </si>
  <si>
    <t>Shop no-5,Kamalabai Agarwal Girls High School Complex, Station Road,</t>
  </si>
  <si>
    <t>atc11210036@rediffmail.com</t>
  </si>
  <si>
    <t>Pankaj Computer Education Institute</t>
  </si>
  <si>
    <t>3,Meghraj Shopping Center,Dhule Road, Near Bus Stand,</t>
  </si>
  <si>
    <t>pcei98@rediffmail.com</t>
  </si>
  <si>
    <t>Siddhaved Infotech</t>
  </si>
  <si>
    <t>Sahakar Nagar, Opp Old Sbi, Jalgaon Road,</t>
  </si>
  <si>
    <t>phalak.mahesh@gmail.com</t>
  </si>
  <si>
    <t>Phadke Academy</t>
  </si>
  <si>
    <t>Shree Vinayak Sankul, Tapadiya Nagar,Akola</t>
  </si>
  <si>
    <t>phadkeacademy@yahoo.com</t>
  </si>
  <si>
    <t>Guideline Computers</t>
  </si>
  <si>
    <t>A-1, Chamunda Empire, Jawahar Nagar Chowk, Opp. Hotel Surbhi, Akola</t>
  </si>
  <si>
    <t>guideline_akl@rediffmail.com</t>
  </si>
  <si>
    <t>Sudarshan`S Software Training And Development Institute</t>
  </si>
  <si>
    <t>Divekar Chowk,Jatharpeth</t>
  </si>
  <si>
    <t>deshdarshan@rediffmail.com</t>
  </si>
  <si>
    <t>Shriram Computer Centre</t>
  </si>
  <si>
    <t>Jain chambers, 2nd floor, near new Bus Stand, Akola</t>
  </si>
  <si>
    <t>shriram_vinod@yahoo.co.in</t>
  </si>
  <si>
    <t>Ccit</t>
  </si>
  <si>
    <t>Kelkar Wadi, Near Society, Murtizapur Dist. Akola</t>
  </si>
  <si>
    <t>ccitmzr@rediffmail.com</t>
  </si>
  <si>
    <t>Computer`S Circle</t>
  </si>
  <si>
    <t>C/o. NanakSeth Agrawal's Building,Infront of Saw Mill, Main Road,Telhara</t>
  </si>
  <si>
    <t>computer_circle1@yahoo.co.in</t>
  </si>
  <si>
    <t>Plot no 19 Ramjidas Nagar near Pooja complex ,Gaurakshan Road Akola</t>
  </si>
  <si>
    <t>Sharp Computer</t>
  </si>
  <si>
    <t>Sudarshan Building,Ring Road, Tukaram chowk, Akola</t>
  </si>
  <si>
    <t>sharpdata@rediffmail.com</t>
  </si>
  <si>
    <t>Computer World Education</t>
  </si>
  <si>
    <t>SHEGAON RAOD , INFARND OF SARGIT HOUSE, TELHARA.</t>
  </si>
  <si>
    <t>shegokarpawan@yahoo.com</t>
  </si>
  <si>
    <t>OM COMPUTERS</t>
  </si>
  <si>
    <t>SHAILESH COLONY NEAR SBI MAIN ROAD, HIWARKHED</t>
  </si>
  <si>
    <t>zb201012@yahoo.in</t>
  </si>
  <si>
    <t>Micron Infocom</t>
  </si>
  <si>
    <t>"Mauli" Wardhaman Nagar, Ring Road Kaulkhed Akola</t>
  </si>
  <si>
    <t>seemaarbat@gmail.com</t>
  </si>
  <si>
    <t>KALORE COMPUTER CENTRE</t>
  </si>
  <si>
    <t>At Post Akoli (Khurd), C/O Mr Suresh Kalore, Main Road Akoli ( Kurd), Akoli</t>
  </si>
  <si>
    <t>ROSHANI COMPUTER INSTITUTE</t>
  </si>
  <si>
    <t>Roshani Computer Centre Narmada Apartment No 2 Near Bhikamchand Khandwal School Godbole plot Dabki Road , Narmada Appt., Bhikamchan Khandelwal High Scool Road, AKOLA</t>
  </si>
  <si>
    <t>gopalwande@gmail.com</t>
  </si>
  <si>
    <t>Shivam Computers</t>
  </si>
  <si>
    <t>'Aishwarya Residecy', Shop. No. 2, Near Karad Urban Bank Building, Laxminagar. Tal: Phaltan, Dist: Satara</t>
  </si>
  <si>
    <t>shitole_v@yahoo.co.in</t>
  </si>
  <si>
    <t>Satara</t>
  </si>
  <si>
    <t>Yashodhan Computers</t>
  </si>
  <si>
    <t>Darshan Complex, Basement, Near S.T. Stand, Main Road. Tal: Khatav, Dist: Satara.</t>
  </si>
  <si>
    <t>yashdhancomputers@rediffmail.com</t>
  </si>
  <si>
    <t>Global Computer Education</t>
  </si>
  <si>
    <t>1st Floor, Geet Ganga Appartment,Above SHIV-MISTAN BHANDAR Tiranga Chowk,Near Sangam Talkies,Nagpur</t>
  </si>
  <si>
    <t>global_tiwari@rediffmail.com</t>
  </si>
  <si>
    <t>Nagpur</t>
  </si>
  <si>
    <t>Network Computer Education</t>
  </si>
  <si>
    <t>Wankhede Layout ,Girad Road,Near Ashirwad Mangalam</t>
  </si>
  <si>
    <t>netcomeducation@yahoo.com</t>
  </si>
  <si>
    <t>Institute Of Advance Computer Technology</t>
  </si>
  <si>
    <t>Institute of Advance Technology Bh DR Potdar Nursing Home, A/P Kalameshwar, Nagpur</t>
  </si>
  <si>
    <t>adv_com_kls@rediffmail.com</t>
  </si>
  <si>
    <t>Shivalaya Computer Institute</t>
  </si>
  <si>
    <t>150, Balabhau Peth, Milind Nagar, Nagpur</t>
  </si>
  <si>
    <t>shivalayacomputer@rediffmail.com</t>
  </si>
  <si>
    <t>Indo Lotus Computer Institute</t>
  </si>
  <si>
    <t>INDO- LOTUS COMPUTER INSTITUTE Sainath Apartments,Ground floor,opp. military camp,Boargaon Katol Road,nagpur</t>
  </si>
  <si>
    <t>indolotus@rediffmail.com</t>
  </si>
  <si>
    <t>E-Generation Institute Of Information Technology</t>
  </si>
  <si>
    <t>Wing -A, Orange Plaza, Near Bus Stand, Main Road Katol</t>
  </si>
  <si>
    <t>yogesh_bhose@sify.com</t>
  </si>
  <si>
    <t>Suyash Computer</t>
  </si>
  <si>
    <t>Suyash Computer, Bramhani Phata, Sonear Road</t>
  </si>
  <si>
    <t>suyash1comp@rediffmail.com</t>
  </si>
  <si>
    <t>Out Look Computers</t>
  </si>
  <si>
    <t>At Post:- Main Road Patansaongi.</t>
  </si>
  <si>
    <t>outlook_kedar@yahoo.com</t>
  </si>
  <si>
    <t>Technomedia Computer Institute</t>
  </si>
  <si>
    <t>23-A, Dube Nagar, Opp. Nasare Sabhagruha, Near Hudkeshwar Naka, Nagpur.</t>
  </si>
  <si>
    <t>tci_ravi03@yahoo.com</t>
  </si>
  <si>
    <t>Devendra Computer Institute</t>
  </si>
  <si>
    <t>Shyam Palace,Opp Shivay Science College,Congress Nagar, Nagpur.</t>
  </si>
  <si>
    <t>devendra_0148@rediffmail.com</t>
  </si>
  <si>
    <t>Softpoint Computer Academy</t>
  </si>
  <si>
    <t>212,Nandanvan, Tiranga Square</t>
  </si>
  <si>
    <t>pawansoft_in@yahoo.com</t>
  </si>
  <si>
    <t>Computer Technological Institute</t>
  </si>
  <si>
    <t>Main Rd Khante Complex, Ward No. 3, Butibori., Taluka + district- Nagpur, (MH) 441108</t>
  </si>
  <si>
    <t>cti2006@rediffmail.com</t>
  </si>
  <si>
    <t>Shramdeep Computer Training Center</t>
  </si>
  <si>
    <t>Sharamdeep Computer Training Center, Ring Road Square, Manakapur, Koradi Road</t>
  </si>
  <si>
    <t>shramdeepctc@gmail.com</t>
  </si>
  <si>
    <t>Anant Computers</t>
  </si>
  <si>
    <t>23, New Kailash Nagar, Manewada Road,Nagpur.</t>
  </si>
  <si>
    <t>kinkar_yogesh@yahoo.co.in</t>
  </si>
  <si>
    <t>Prabha Computer Point</t>
  </si>
  <si>
    <t>51, Kukaday-lay-out P.O.Parvati Nagar Nagpur.</t>
  </si>
  <si>
    <t>sunward_1@yahoo.co.in</t>
  </si>
  <si>
    <t>Computer Concepts</t>
  </si>
  <si>
    <t>Indira Nagar Tarsa Road Kanhan -441401</t>
  </si>
  <si>
    <t>computer_concepts@rediffmail.com</t>
  </si>
  <si>
    <t>Aisect Education Center</t>
  </si>
  <si>
    <t>plot No.46,cosmopolitian Society,Somalwada,Wardha Rd.,Nagpur-25</t>
  </si>
  <si>
    <t>aisectngp@rediffmail.com</t>
  </si>
  <si>
    <t>P. K. Computer Institute</t>
  </si>
  <si>
    <t>Krishana Nagar, Seminary Hills</t>
  </si>
  <si>
    <t>vijay_2005146@rediffmail.com</t>
  </si>
  <si>
    <t>Universal Computer Education</t>
  </si>
  <si>
    <t>158, Omkar Nagar ,Post Bhagwan Nagar, Nagpur</t>
  </si>
  <si>
    <t>sun_2406@rediffmail.com</t>
  </si>
  <si>
    <t>O.E.I.T.C.Computer Education</t>
  </si>
  <si>
    <t>P.No.323 Baba Santosh Arcade Apatment No.Fs-4 Ganesh Nagar Chowk Ajamshah Layout Sd Hospital Road Sangam Talkties Nagpur</t>
  </si>
  <si>
    <t>raviawasare@yahoo.co.in</t>
  </si>
  <si>
    <t>Sky Computer System</t>
  </si>
  <si>
    <t>Near Parvati Nagar Bus Stand ,Nagpur</t>
  </si>
  <si>
    <t>skycom_sys@yahoo.com</t>
  </si>
  <si>
    <t>Friends Computer Bahuddeshiya Sanstha</t>
  </si>
  <si>
    <t>Old Govt. Iti Mahajanwadi Hingna Road</t>
  </si>
  <si>
    <t>kkk1972@indiatimes.com</t>
  </si>
  <si>
    <t>Cerebrum Computers</t>
  </si>
  <si>
    <t>21-VYANKATESH APP., RAMKRUSHNANAGAR,KHAMLA,NAGPUR</t>
  </si>
  <si>
    <t>cerebrumcomputer@gmail.com</t>
  </si>
  <si>
    <t>Easy Computer</t>
  </si>
  <si>
    <t>49, Gorle Layout, Second Bus Stop, Gopal Nagar, Nagpur</t>
  </si>
  <si>
    <t>n_bante9@rediffmail.com</t>
  </si>
  <si>
    <t>Newtech Computer</t>
  </si>
  <si>
    <t>At Post Veltur</t>
  </si>
  <si>
    <t>newtech_comp@rediffmail.com</t>
  </si>
  <si>
    <t>Rishi Apang Utthan Sanstha</t>
  </si>
  <si>
    <t>Marvel Apartment, Nara Road, Near Jaripatka Police Station</t>
  </si>
  <si>
    <t>buddhama@gmail.com</t>
  </si>
  <si>
    <t>Vinod Computer Institute</t>
  </si>
  <si>
    <t>G-16 Nit Complex, Mirchibazar, Bhande Plot, Nagpur-24</t>
  </si>
  <si>
    <t>pigusmailbox@rediffmail.co.in</t>
  </si>
  <si>
    <t>Winners Computer Institute</t>
  </si>
  <si>
    <t>DATTA MANDIR ROAD, KALMESHWAR</t>
  </si>
  <si>
    <t>suke_winners@rediffmail.com</t>
  </si>
  <si>
    <t>Softech Computer Education</t>
  </si>
  <si>
    <t>1st Floor Vishnu Bade Building ,Near Bus Stop At-Post-Th-Parshivani,Dist-Nagpur</t>
  </si>
  <si>
    <t>prashantsonbarse51@gmail.com</t>
  </si>
  <si>
    <t>Planet I.T.</t>
  </si>
  <si>
    <t>"SAI SADAN", NEAR RAILWAY STATION, SAONER</t>
  </si>
  <si>
    <t>abhisheksingh.king@gmail.com</t>
  </si>
  <si>
    <t>Anil Deshmukh Academy Of Computer Traning</t>
  </si>
  <si>
    <t>Orange Plaza, Main Road Katol</t>
  </si>
  <si>
    <t>sh_gotmare@rediffmail.com</t>
  </si>
  <si>
    <t>Shivkrupa Computers</t>
  </si>
  <si>
    <t>53, Bank Colony, Bhagwan Nagar</t>
  </si>
  <si>
    <t>sapande@rediffmail.com</t>
  </si>
  <si>
    <t>S. K. COMPUTER EDUCATION</t>
  </si>
  <si>
    <t>143, SHREE MAHALAXMI NAGAR SQURE, New Narsala Road, Behind Besa Power House, NAGPUR</t>
  </si>
  <si>
    <t>skcompedu@gmail.com</t>
  </si>
  <si>
    <t>P R COMPUTER INSTITUTE</t>
  </si>
  <si>
    <t>AT-KHADGAON-POST-KALAMBI, AT-KHADGAON-POST-KALAMBI, KALAMBI, KHADGAON</t>
  </si>
  <si>
    <t>pra.ru.computer@gmail.com</t>
  </si>
  <si>
    <t>Lokmanya Computer Institute</t>
  </si>
  <si>
    <t>Block No. 3, Bale Complex,, Nagpur Road, Saoner</t>
  </si>
  <si>
    <t>deep.mowade@rediffmail.com</t>
  </si>
  <si>
    <t>NEW TECH COMPUTER</t>
  </si>
  <si>
    <t>main road kondhali near police station , BALPANDE NIWAS KONDHALI, Near police station, village</t>
  </si>
  <si>
    <t>newtechcomputerkondhali@rediffmail.com</t>
  </si>
  <si>
    <t>AISECT COMPUTER EDUCATION</t>
  </si>
  <si>
    <t>1st Floor Krushi Uttpaan Bazar Samiti, Lapka Road Mouda</t>
  </si>
  <si>
    <t>patre.dinesh@rediffmail.com</t>
  </si>
  <si>
    <t>IGM COMPUTER EDUCATION</t>
  </si>
  <si>
    <t>JAGNATH BUDHWARI, NEAR BHAGWAN SODA FACTORY, ITWARI, NAGPUR</t>
  </si>
  <si>
    <t>mmilind_manapure@yahoo.com</t>
  </si>
  <si>
    <t>INSTANT COMPUTER EDUCATION</t>
  </si>
  <si>
    <t>SAPRA COMPLEX, SURENDRAGHAD, SEMINARY HILLS,NAGPUR, SAPRA COMPLEX,, SEMINARY HILLS,NAGPUR, NAGPUR</t>
  </si>
  <si>
    <t>raviwag100@yahoo.com</t>
  </si>
  <si>
    <t>MITCON CONSULTANCY SERVICES LTD.</t>
  </si>
  <si>
    <t>125, SHRI GANESH-SNEHAL APARTMENT, SOUTH-AMBAZARI ROAD, NAGPUR</t>
  </si>
  <si>
    <t>nagpur@mitconindia.com</t>
  </si>
  <si>
    <t>SANTOSHI BAHUUDESHIYA JANKALYAN SANSTHA</t>
  </si>
  <si>
    <t>41, NEW DNYANESHWAR NAGAR, NEW DNYANESHWAR NAGAR, NAGPUR</t>
  </si>
  <si>
    <t>dhuwe.hema@rediffmail.com</t>
  </si>
  <si>
    <t>Ninawe Computer Education</t>
  </si>
  <si>
    <t>Ward No.5, Behind Neharu Mahavidyalaya,Hingna, Hingna, Hingna(Raipur)</t>
  </si>
  <si>
    <t>pninawe@gmail.com</t>
  </si>
  <si>
    <t>Star Computer Institute</t>
  </si>
  <si>
    <t>Vaishali Nagar, Behind S.R.P.F Camp, Hingna MIDC Road, Nagpur</t>
  </si>
  <si>
    <t>starcom300@gmail.com</t>
  </si>
  <si>
    <t>INDIAN SCHOOL OF COMPUTER</t>
  </si>
  <si>
    <t>First Floor , Ganesh Bhawan near Chaya Chavi Photo Studio , Dr.Ambedkar Marg, Nagpur</t>
  </si>
  <si>
    <t>isc.50years@gmail.com</t>
  </si>
  <si>
    <t>IT TECHNIQUES COMPUTER INSTITUTE</t>
  </si>
  <si>
    <t>New Colony, Behind Corporation Office Zone no.10 Nagpur , New Colony, Behind Corporation Office Zone no.10 Nagpur , Shrivastava Marg, NAGPUR</t>
  </si>
  <si>
    <t>asavarkar@yahoo.com</t>
  </si>
  <si>
    <t>Era Computer Academy</t>
  </si>
  <si>
    <t>C/o UDARAMJI NERKAR, NEAR BUS-STOP, at post- Fetri, C/o ASHOK NERKAR, NEAR BUS-STOP, at post- Fetri, Fetri, Fetri</t>
  </si>
  <si>
    <t>FRIENDS COMPUTERS</t>
  </si>
  <si>
    <t>Budhdhe House Near Bus Stop, Navegao Road, Mandhal</t>
  </si>
  <si>
    <t>friendscomp2011@gmail.com</t>
  </si>
  <si>
    <t>Hi-tech Computer Education</t>
  </si>
  <si>
    <t>ward no 10, Dr Lande House, Opp. Madhuganga Patsanshta Bank, Near Gandhi Chouk, Mohapa</t>
  </si>
  <si>
    <t>nandkishorborade@gmail.com</t>
  </si>
  <si>
    <t>OPPSWORLD COMPUTER INSTITUTE</t>
  </si>
  <si>
    <t>BEHIND BUS STOP, Late PRABHAKAR ASWAR MAHAVIDYALAY, NARKHED, NARKHED</t>
  </si>
  <si>
    <t>oppsworld.narkhed@gmail.com</t>
  </si>
  <si>
    <t>SIMPLEX COMPACT SOLUTIONS PRIVATE LIMITED</t>
  </si>
  <si>
    <t>3/1, MIG MHADA, Winkar Colony, Manewada Ring Road, Nagpur-440027</t>
  </si>
  <si>
    <t>simplexsolutionspvtltd@gmail.com</t>
  </si>
  <si>
    <t>Shree Computers</t>
  </si>
  <si>
    <t>1st Floor, Bhalerao Bldg. Vishnu Nagar,Vasmat Road</t>
  </si>
  <si>
    <t>atc15210005@gmail.com</t>
  </si>
  <si>
    <t>Parbhani</t>
  </si>
  <si>
    <t>Digital Concepts</t>
  </si>
  <si>
    <t>Mahatma Phule School Complex, Opp. MSEB Division Office, Jintur Road Parbhani.</t>
  </si>
  <si>
    <t>atc.15210008@gmail.com</t>
  </si>
  <si>
    <t>Near Lokmat Office, Nagar Parishad Complex Jintur</t>
  </si>
  <si>
    <t>atc.15210049@gmail.com</t>
  </si>
  <si>
    <t>Deshmane Computers</t>
  </si>
  <si>
    <t>Nagar Parishad Shopping Complex, Vakil Colony, Main Road, Gangakhed, Dist. parbhani</t>
  </si>
  <si>
    <t>deshmanegkd@gmail.com</t>
  </si>
  <si>
    <t>Paras Computer</t>
  </si>
  <si>
    <t>JAWHAR SCHOOL ROAD, KHAIRI PLOT, JINTUR</t>
  </si>
  <si>
    <t>atc.15210087@gmail.com</t>
  </si>
  <si>
    <t>golaite Nagar, Near K.K. M. College Manwat</t>
  </si>
  <si>
    <t>atc.15210091@gmail.com</t>
  </si>
  <si>
    <t>Parth Computers</t>
  </si>
  <si>
    <t>H.No 626, Shivaji Nagar, Jintur</t>
  </si>
  <si>
    <t>atc.15210101@gmail.com</t>
  </si>
  <si>
    <t>NEW VISION COMPUTER EDUCATION</t>
  </si>
  <si>
    <t>sant narhari sonar chowk, near sai mandir</t>
  </si>
  <si>
    <t>atcmscit05@gmail.com</t>
  </si>
  <si>
    <t>global access computers</t>
  </si>
  <si>
    <t>GLOBAL ACCESS MULTI SERVICES A/C RATHI COMPLEX, BEHIND POLICE STATION MANWATH 431505, RATHI COMPLEX, MANWATH, MANVAT</t>
  </si>
  <si>
    <t>gongegowardhan12@gmail.com</t>
  </si>
  <si>
    <t>Shri Pardeshvar computer's, Parbhani</t>
  </si>
  <si>
    <t>Near vaishnavi mangalkaryalay,Pardeshvar mandir road, Parbhani</t>
  </si>
  <si>
    <t>shashi.y45@gmail.com</t>
  </si>
  <si>
    <t>Giritara Information Technology Trg Acad</t>
  </si>
  <si>
    <t>GIRI-TARA ARKED,Near STATE BANK Of INDIA,SHIVAJINAGER</t>
  </si>
  <si>
    <t>giritaracomp@gmail.com</t>
  </si>
  <si>
    <t>Aurangabad</t>
  </si>
  <si>
    <t>Atharv Computers</t>
  </si>
  <si>
    <t>Opp.Saptapadi hall,Near Baliram patil h.school , 21,Gayatri society,N-8,Cidco aurangabad</t>
  </si>
  <si>
    <t>atharwcomputers@yahoo.com</t>
  </si>
  <si>
    <t>Gurukrupa Computer Institute</t>
  </si>
  <si>
    <t>Behind Maharashtra odawari Bank, Ganesh Chowck, Nutan Colony, Gangapur</t>
  </si>
  <si>
    <t>gurukrupa4u@hotmail.com</t>
  </si>
  <si>
    <t>Biit Computer Education</t>
  </si>
  <si>
    <t>Opp. Wani Mangal karayalay (Galli) Shriram Colony, Hiwarkheda Road, Kannad Dist. Aurangabad</t>
  </si>
  <si>
    <t>biitcom77@yahoo.com</t>
  </si>
  <si>
    <t>Gurukrupa Computers</t>
  </si>
  <si>
    <t>Near Nath Mandir,Beside Vachanalaya,Nath Galli,</t>
  </si>
  <si>
    <t>llc.aurangabad.paithan@mkcl.org</t>
  </si>
  <si>
    <t>Megapro Computers</t>
  </si>
  <si>
    <t>Megapro Computers,Near Anti-Corruption Office,Juna Bazar</t>
  </si>
  <si>
    <t>shigraf@sify.com</t>
  </si>
  <si>
    <t>Igm Computers</t>
  </si>
  <si>
    <t>above maharashtra Gramin bank,bhanudas nagar,jawahar colony road Aurangabad</t>
  </si>
  <si>
    <t>igm_aur@yahoo.co.in</t>
  </si>
  <si>
    <t>Ganesha Computer Academy</t>
  </si>
  <si>
    <t>Plot No. 100, Bilwadal, Tilaknagar, Aurangabad</t>
  </si>
  <si>
    <t>pallavisd12@rediffmail.com</t>
  </si>
  <si>
    <t>Sharp Computers</t>
  </si>
  <si>
    <t>17, JAIHIND COLONY,NEAR TAPDIYA NATYA MANDIR, NIRALA BAZAR,AURANGABAD</t>
  </si>
  <si>
    <t>shaarp2003@yahoo.com</t>
  </si>
  <si>
    <t>Vidyarthi Career Academy</t>
  </si>
  <si>
    <t>13, Anand Plaza, Adityanagar, Sutgirni T-Point, Garkheda, Aurangabad</t>
  </si>
  <si>
    <t>vidyarthi_123@rediffmail.com</t>
  </si>
  <si>
    <t>Shukla Computers</t>
  </si>
  <si>
    <t>SABOO APT.,OPP Z.P.GIRLS HIGH SCHOOL,NEHRU CHOWK, CANTTONMENT, AURANGABAD</t>
  </si>
  <si>
    <t>sunilmarmat@rediffmail.com</t>
  </si>
  <si>
    <t>Sharma Computer And Coaching Classes</t>
  </si>
  <si>
    <t>RH-60,INDRAPRASTHA COLONY,M.I.D.C., BAJAJ NAGAR,WALUJ,AURANGABAD</t>
  </si>
  <si>
    <t>sharmacom1@rediffmail.com</t>
  </si>
  <si>
    <t>Mega Computer Centre</t>
  </si>
  <si>
    <t>678, Sahyadrinagar, N-5 CIDCO</t>
  </si>
  <si>
    <t>megacomputercentre@yahoo.com</t>
  </si>
  <si>
    <t>First Floor, Opp. Bus Depot,depo road</t>
  </si>
  <si>
    <t>shivngs@yahoo.co.in</t>
  </si>
  <si>
    <t>Ideal Computers</t>
  </si>
  <si>
    <t>12 "Girimahoor" Shardashram Colony, Paithan Gate Nirala Bazar Road, Aurangabad.</t>
  </si>
  <si>
    <t>jitutarte@rediffmail.com</t>
  </si>
  <si>
    <t>Ujjwal Computer</t>
  </si>
  <si>
    <t>Ujjwal Computer, Front of college Gate, Chalisgaon Road, Kannad Tal. Kannad Dist. Aurangabad</t>
  </si>
  <si>
    <t>ujjwalcom2006@yahoo.co.in</t>
  </si>
  <si>
    <t>Perfect Computer Institute</t>
  </si>
  <si>
    <t>Gangapur road</t>
  </si>
  <si>
    <t>rsbunage@yahoo.co.in</t>
  </si>
  <si>
    <t>Logic Computer Education</t>
  </si>
  <si>
    <t>Tilak Road, Bhatia Lane, Vaijapur</t>
  </si>
  <si>
    <t>aparanags@yahoo.co.in</t>
  </si>
  <si>
    <t>Yash Computer Education</t>
  </si>
  <si>
    <t>SAWALI NIWAS , SAMTANAGAR</t>
  </si>
  <si>
    <t>pathe_yash@yahoo.co.in</t>
  </si>
  <si>
    <t>Rgm Infotech</t>
  </si>
  <si>
    <t>OPP.PIR GAIBSHAB DARGAH ,S.T. COLONY ,AURNAGABAD</t>
  </si>
  <si>
    <t>rgminfotech@yahoo.com</t>
  </si>
  <si>
    <t>Lakshy Infotech</t>
  </si>
  <si>
    <t>sara vrundavan D-3 cidco waluj</t>
  </si>
  <si>
    <t>lakshyinfotech@gmail.com</t>
  </si>
  <si>
    <t>Kahar Infotech</t>
  </si>
  <si>
    <t>BRAHAMAN GALLI, BEGAMPURA, AURNAGABAD</t>
  </si>
  <si>
    <t>umeshpandure@yahoo.co.in</t>
  </si>
  <si>
    <t>Shri Samarth Computers</t>
  </si>
  <si>
    <t>5,NEAR RENUKA MATA MANDIR GATE BEED BY PASS, SATARA PARISAR,ABAD</t>
  </si>
  <si>
    <t>sunil55523@rediffmail.com</t>
  </si>
  <si>
    <t>Sai Genius Computers</t>
  </si>
  <si>
    <t>Shop No. 5 Ubale Complex Main Road , Pandharpur , Aurangabad.</t>
  </si>
  <si>
    <t>jytpardeshi@yahoo.co.in</t>
  </si>
  <si>
    <t>Saya Computer Center</t>
  </si>
  <si>
    <t>Kalpataru Soceity Balkrushna Nagar,Plot No 81, Vijay Chowk Garkhda Parisar, Aurangabad</t>
  </si>
  <si>
    <t>sayacomputer@gmail.com</t>
  </si>
  <si>
    <t>STERLING INFOTECH</t>
  </si>
  <si>
    <t>GANESH COLONY,VIP ROAD AURNAGABAD, BILLAL VILLA, VIP ROAD, AURNAGABAD</t>
  </si>
  <si>
    <t>ashfaque_1981@yahoo.com</t>
  </si>
  <si>
    <t>SHRAVANI INFOTECH</t>
  </si>
  <si>
    <t>Plot No.3 Mahalaxmi Chowk Cidco n-2 Mukundwadi Aurangabad</t>
  </si>
  <si>
    <t>kadaam25@gmail.com</t>
  </si>
  <si>
    <t>Maulana Azad Infotech</t>
  </si>
  <si>
    <t>AMODI COMPLEX CHALIPURA ROAD, AURANGABAD</t>
  </si>
  <si>
    <t>azadinfotech@yahoo.in</t>
  </si>
  <si>
    <t>SHARMA COMPUTERS</t>
  </si>
  <si>
    <t>Plot No. 324/23 Growth Centre, Village- Tisgaon CIDCO, Nagar -1, Aurangabad, CIDCO Waluj Mahanagar -1, Maharana Pratap Chowk Post office, Aurangabad</t>
  </si>
  <si>
    <t>sharmacom2@rediffmail.com</t>
  </si>
  <si>
    <t>sharvari computar</t>
  </si>
  <si>
    <t>Bramhan Galli,Pandurang Niwas ,Gangapur,</t>
  </si>
  <si>
    <t>devshrinaik@yahoo.com</t>
  </si>
  <si>
    <t>Expert Computer</t>
  </si>
  <si>
    <t>Lane No.17, Indira Nagar, New Baijipura, Aurangabad</t>
  </si>
  <si>
    <t>shaikhmohseen91@rediffmail.com</t>
  </si>
  <si>
    <t>874/1 Ladsawangi Road, Karmad Dist Aurangabad</t>
  </si>
  <si>
    <t>ms_computer79@yahoo.com</t>
  </si>
  <si>
    <t>Rohan Computers</t>
  </si>
  <si>
    <t>At Post.Chincholi ( Limbaji L ), Kannad Road, Chincholi, chincholi</t>
  </si>
  <si>
    <t>ganeshyadavarao@rediffmail.com</t>
  </si>
  <si>
    <t>Vision Computers</t>
  </si>
  <si>
    <t>Kautuk Complex,Ground floor,Shop No, Kautuk Complex, Ulka nagri, Aurangabad</t>
  </si>
  <si>
    <t>indireshb@yahoo.com</t>
  </si>
  <si>
    <t>Ganesh Nagar, Ridhi Sidhi Appt. Near Ganesh Mandir, Sangamner</t>
  </si>
  <si>
    <t>ideal_73@yahoo.com</t>
  </si>
  <si>
    <t>Ahmednagar</t>
  </si>
  <si>
    <t>Cybernet Systems</t>
  </si>
  <si>
    <t>1st Floor, Above Swastik Medical, Opp. Old Municipal Corporation Building, Bhagwan Mahavir Path, Kopargaon</t>
  </si>
  <si>
    <t>cnskop@gmail.com</t>
  </si>
  <si>
    <t>Sai Computer Education</t>
  </si>
  <si>
    <t>Sai Computer Education,ahmednanagrNear M.P Society,Market Yard</t>
  </si>
  <si>
    <t>ritesh_rahuri@rediffmail.com</t>
  </si>
  <si>
    <t>Shubham Computers</t>
  </si>
  <si>
    <t>4, 1st Floor, Nagarpalika Shopping Centre,New Nagar Road, Sangamner</t>
  </si>
  <si>
    <t>shubham26982@rediffmail.com</t>
  </si>
  <si>
    <t>Unitech Computer Education</t>
  </si>
  <si>
    <t>Ashvi Khurd</t>
  </si>
  <si>
    <t>mandhare_anil@yahoo.co.in</t>
  </si>
  <si>
    <t>Kalpesh Computer Education</t>
  </si>
  <si>
    <t>Near Gramsachivalay, Sakur</t>
  </si>
  <si>
    <t>tiwa1232001@gmail.com</t>
  </si>
  <si>
    <t>Rajmudra Computers</t>
  </si>
  <si>
    <t>Rajmudra Computers, Second Floor, Communist Building, Opposite ST Stand</t>
  </si>
  <si>
    <t>rajmudra_hs@rediffmail.com</t>
  </si>
  <si>
    <t>Vimal Computers</t>
  </si>
  <si>
    <t>At. Near Gautam Public School Kolpewadi Kopargaon</t>
  </si>
  <si>
    <t>manisha76_kadam@rediffmail.com</t>
  </si>
  <si>
    <t>Venus Computer</t>
  </si>
  <si>
    <t>11,TULSI COMPLEX,NEW NAGAR ROAD</t>
  </si>
  <si>
    <t>venus_sng@yahoo.com</t>
  </si>
  <si>
    <t>Shree Computer</t>
  </si>
  <si>
    <t>Belwandi Bk.</t>
  </si>
  <si>
    <t>shreecomputer@hotmail.com</t>
  </si>
  <si>
    <t>Unique Computer Education</t>
  </si>
  <si>
    <t>A/p - Kolpewadi</t>
  </si>
  <si>
    <t>saiuni@rediffmail.com</t>
  </si>
  <si>
    <t>Sangamner Nagarpalika Arts,D.J.Malpani Commerce &amp; B.N. Sarada Science College</t>
  </si>
  <si>
    <t>SANGAMNER NAGARPALIKA ARTS,D.J.MALPANI COMMERCE &amp; B.N. SARADA SCIENCE COLLEGE,Sangamner</t>
  </si>
  <si>
    <t>sangamnercollege.mscit@rediffmail.com</t>
  </si>
  <si>
    <t>Hi Tech Computer Education</t>
  </si>
  <si>
    <t>santakrupa Appt. opp morya hall. pipeline road, savedi Ahmednagar</t>
  </si>
  <si>
    <t>hitech_bachkar@rediff.com</t>
  </si>
  <si>
    <t>Yash Computer</t>
  </si>
  <si>
    <t>A/P- Kolgaon Tal- Shrigonda Dist- Ahmednagar</t>
  </si>
  <si>
    <t>navnatharkas@gmail.com</t>
  </si>
  <si>
    <t>Saurabh Computer</t>
  </si>
  <si>
    <t>At/P Alkuti Tal- Parner Dist- Ahmednagar</t>
  </si>
  <si>
    <t>prashantpatilvaral@gmail.com</t>
  </si>
  <si>
    <t>Sushil Computer Clasess</t>
  </si>
  <si>
    <t>Nagar Road, Pathardi, Tal-Pathardi, Dist-Ahmednagar</t>
  </si>
  <si>
    <t>ajaygarad@rediffmail.com</t>
  </si>
  <si>
    <t>ACE Computer Academy</t>
  </si>
  <si>
    <t>Katore Complex, Opp. Rahuri Nagarpalika, Rahuri</t>
  </si>
  <si>
    <t>ace_rahuri@yahoo.co.in</t>
  </si>
  <si>
    <t>SHUBHAM COMPUTERS, NIMON</t>
  </si>
  <si>
    <t>OPP. S.T. STAND, CHAITANYA COMPLEX, LONI-NANDUR ROAD, NIMON</t>
  </si>
  <si>
    <t>yatinpabale@yahoo.in</t>
  </si>
  <si>
    <t>career computer</t>
  </si>
  <si>
    <t>Nevesa Road Shri ram Pur, Ram Chandra Tower, Shriram Pue, Shrirampur</t>
  </si>
  <si>
    <t>rafikshaikh1976@gmail.com</t>
  </si>
  <si>
    <t>Shri Durgadevi Computer Institute Dhawalpuri</t>
  </si>
  <si>
    <t>At.Post-Dhawalpuri, Tal-Parner, Dist-Ahmednagar, Pin code No.414103, SDCID, Dhawalpuri, Dhawalpuri</t>
  </si>
  <si>
    <t>bthokal@gmail.com</t>
  </si>
  <si>
    <t>Savitribai College Of Arts, Pimpalgaon Pisa, Tal- Shrigonda, Dist.- Ahmednagar. pin.- 413703</t>
  </si>
  <si>
    <t>Savitribai college of Arts, Visapur Rd, Pimpalgaon pisa</t>
  </si>
  <si>
    <t>guru1529@gmail.com</t>
  </si>
  <si>
    <t>SHIVAM COMPUTER</t>
  </si>
  <si>
    <t>Nagar Daund Road Sai Complex Ghargaon</t>
  </si>
  <si>
    <t>shivamcomputerghargaon@gmail.com</t>
  </si>
  <si>
    <t>Plus Point Computer Centre</t>
  </si>
  <si>
    <t>Shop No. 6, Sukhsagar Co. Op. Society, Opp. Rajabhau Salvi Garden, Rajabhau Desai Marg, Near Samana Press, Prabhadavi,</t>
  </si>
  <si>
    <t>pluspointdadar@hotmail.com</t>
  </si>
  <si>
    <t>Keerti Computer Institute</t>
  </si>
  <si>
    <t>Navayojana Bldg, Fr. Floor, Nr. Diana Cinema, Opp. Kapasi Bhide, Tardeo, Mumbai Central (W)</t>
  </si>
  <si>
    <t>keerti_mcentral1@rediffmail.com</t>
  </si>
  <si>
    <t>263, White House, 1st Floor, Above tata Indicom, JHS Road, Girgaum(E) Mumabai</t>
  </si>
  <si>
    <t>girgaum_keerti@gmail.com</t>
  </si>
  <si>
    <t>Shop No.8, New Aga Khan Bldg., Opp. Masjid Bazar Gali , Saat rasta, Jacob Circle, Mahalaxmi</t>
  </si>
  <si>
    <t>keerti_byculla@rediffmail.com</t>
  </si>
  <si>
    <t>shop no.192, seth motisha lane, Ragina pacis compound,Byculla, mumbai-400027</t>
  </si>
  <si>
    <t>keerti_mazgaon@rediffmail.com</t>
  </si>
  <si>
    <t>119, Purusharth Bldg. Gr. Floor, Shop No.1, Nauroji Hill Road No.2, Dongri</t>
  </si>
  <si>
    <t>keerti_dongri@rediffmail.com</t>
  </si>
  <si>
    <t>Bits And Bytes</t>
  </si>
  <si>
    <t>1 st. Floor, Nirman Plaza, Roha S.T. Stand,</t>
  </si>
  <si>
    <t>bnbrha@rediffmail.com</t>
  </si>
  <si>
    <t>Raigad</t>
  </si>
  <si>
    <t>Sict Computer Education</t>
  </si>
  <si>
    <t>1, Standview Bh ST bus depot,panvel</t>
  </si>
  <si>
    <t>sict3@rediffmail.com</t>
  </si>
  <si>
    <t>The Apple Computer</t>
  </si>
  <si>
    <t>REVDANDA, MARUTI ALIPAR-NAKA</t>
  </si>
  <si>
    <t>jainsantoshroha@hotmail.com</t>
  </si>
  <si>
    <t>Design Comp-Tech Systems</t>
  </si>
  <si>
    <t>Design Comp- Tech Systems, alibagAT POST NAGAON -OFFICE</t>
  </si>
  <si>
    <t>mhatre_nitin@rediffmail.com</t>
  </si>
  <si>
    <t>Master Infotech Computer Education</t>
  </si>
  <si>
    <t>Master Infotech computer Edu Mahavir Complex Opp. Raikar Park Below LIC Office Roha</t>
  </si>
  <si>
    <t>yogeshmpatil@hotmail.com</t>
  </si>
  <si>
    <t>104, Neel Angan, Sector 19, Near Popular Finance, New Panvel</t>
  </si>
  <si>
    <t>panvelkeerti@gmail.com</t>
  </si>
  <si>
    <t>Samruddhi Foundation</t>
  </si>
  <si>
    <t>Plot No-9,Road No-10,Opp BSNL Office, Near B-10-13, sector-12 New Panvel</t>
  </si>
  <si>
    <t>a19210192@gmail.com</t>
  </si>
  <si>
    <t>Lucky Sevabhavi Sanstha</t>
  </si>
  <si>
    <t>Gala No. 01, 02, Thakur Sadan, Dighode, Dighode</t>
  </si>
  <si>
    <t>suchit.051087@gmail.com</t>
  </si>
  <si>
    <t>Hritik Computer Center</t>
  </si>
  <si>
    <t>HRITIK COMPUTER, 39 SHIVPRABHA PANZARA KAN COLONY SAKRI C/O ABOVE YUSUF BROTHER'S LAXMI ROAD SAKRI TAL SAKRI DIST DHULE</t>
  </si>
  <si>
    <t>atc2120003@rediffmail.com</t>
  </si>
  <si>
    <t>Dhule</t>
  </si>
  <si>
    <t>Kingston Computer Center</t>
  </si>
  <si>
    <t>6A, Garud Complex, Above Nokia Care, Opposite Kamlabai School, Sakri road</t>
  </si>
  <si>
    <t>atc21210051@rediffmail.com</t>
  </si>
  <si>
    <t>Ascent Computer Center</t>
  </si>
  <si>
    <t>In Front of National School "Patel Building" Hazar Kholi, Dhule</t>
  </si>
  <si>
    <t>atc21210061@rediffmail.com</t>
  </si>
  <si>
    <t>Naik Computers</t>
  </si>
  <si>
    <t>145/A-4 Lane No 1 Govind pura old dhule</t>
  </si>
  <si>
    <t>atc21210063@rediffmail.com</t>
  </si>
  <si>
    <t>Arya Computer Expert</t>
  </si>
  <si>
    <t>18,shivshankar colony, chtod road</t>
  </si>
  <si>
    <t>atc21210064@rediffmail.com</t>
  </si>
  <si>
    <t>Compusoft Information &amp; Technology</t>
  </si>
  <si>
    <t>WAKHARKAR NAGAR,NATESHWAR COLONY, NEAR TO DR. SANJAY BORSE</t>
  </si>
  <si>
    <t>atc21210068@rediffmail.com</t>
  </si>
  <si>
    <t>Generation-Nx Computer Education Center</t>
  </si>
  <si>
    <t>4 Aisha nagar Behind National school chalisgaon road</t>
  </si>
  <si>
    <t>atc21210069@rediffmail.com</t>
  </si>
  <si>
    <t>Sushant Computers</t>
  </si>
  <si>
    <t>Laxmi Road, Behind Bus Stand, Sakri.</t>
  </si>
  <si>
    <t>atc21210071@gmail.com</t>
  </si>
  <si>
    <t>Om Computer</t>
  </si>
  <si>
    <t>11,Janata Colony Near R.S S V P S Coleege, Dondaicha</t>
  </si>
  <si>
    <t>atc21210075.2009@rediff.com</t>
  </si>
  <si>
    <t>Shrinath Computer Center</t>
  </si>
  <si>
    <t>PLOT NO 12 VIDYUAT NAGAR,COLONY NO 2 BEHIND PRATAP MILL AHILLYADEVI NAGAR CHOUK,DHULE</t>
  </si>
  <si>
    <t>atc21210065@rediffmail.com</t>
  </si>
  <si>
    <t>D-Tech Computer Center</t>
  </si>
  <si>
    <t>10 SUNDARACH COLONY NEAR AGRASEN HIGH SCHOOL SAKRI ROAD DHULE</t>
  </si>
  <si>
    <t>atcdtech@rediffmail.com</t>
  </si>
  <si>
    <t>Sai Infotech Pimpalner</t>
  </si>
  <si>
    <t>Sai Baba Colony,Satana Road,Near Suhari Hospital</t>
  </si>
  <si>
    <t>vijayjchaure@gmail.com</t>
  </si>
  <si>
    <t>Infotech Computer Education</t>
  </si>
  <si>
    <t>39/B, Ground Floor, Subhash Colony, Shirpur, Tal : Shirpur, Dist: Dhule</t>
  </si>
  <si>
    <t>infotech.shirpur@gmail.com</t>
  </si>
  <si>
    <t>darshana computer center,songir</t>
  </si>
  <si>
    <t>Flat no. 1625,Gandhi Chauk,Bagul Galli songir</t>
  </si>
  <si>
    <t>ashokpatel23@gmail.com</t>
  </si>
  <si>
    <t>Acme Computers</t>
  </si>
  <si>
    <t>Lane No. 4, Mukhtar Complex, Agra Road, Beside Noorani Masjid, Deopur, Dhule</t>
  </si>
  <si>
    <t>acme.abdul@gmail.com</t>
  </si>
  <si>
    <t>Master Mind Computer Institute</t>
  </si>
  <si>
    <t>Shiv ColonyNear Deshpande PlotMalegaon</t>
  </si>
  <si>
    <t>k_jirwankar@rediffmail.com</t>
  </si>
  <si>
    <t>Washim</t>
  </si>
  <si>
    <t>Sucheta Systems</t>
  </si>
  <si>
    <t>2nd Floor 'MAGAR SADAN' Near Janta Bank Akola - Washim Road Malegaon</t>
  </si>
  <si>
    <t>dhirajshahane@rediffmail.com</t>
  </si>
  <si>
    <t>Abhishek Computer Education</t>
  </si>
  <si>
    <t>Janki Niwas , Akola Road , Shelubazar</t>
  </si>
  <si>
    <t>ksandeepkatkar@rediffmail.com</t>
  </si>
  <si>
    <t>Shree Infotech</t>
  </si>
  <si>
    <t>Near Sindhu Bank, Below ICICI insurance office Risod Naka to Gopal Talkies Washim</t>
  </si>
  <si>
    <t>Hariom Computer Institute</t>
  </si>
  <si>
    <t>32, Building, Post Office Road , Mangrulpir</t>
  </si>
  <si>
    <t>hariom.institute@rediffmail.com</t>
  </si>
  <si>
    <t>shrikrushan computer education</t>
  </si>
  <si>
    <t>Navin Sonkhas Baypas Road MAngrupir Near Shrikrushna MAndir , Nishigandha, Mangrulpir, Mangrulpir</t>
  </si>
  <si>
    <t>budhek@yahoo.com</t>
  </si>
  <si>
    <t>Ashok computer center</t>
  </si>
  <si>
    <t>Tilak Chowk Washim</t>
  </si>
  <si>
    <t>ashokcomputer.washim@gmail.com</t>
  </si>
  <si>
    <t>Cosmos Infotech Umadi</t>
  </si>
  <si>
    <t>Nr. Grampanchayat Umadi, A/p : Umadi Tal: Jath Dist :Sangli</t>
  </si>
  <si>
    <t>cosmosinfotech02@rediffmail.com</t>
  </si>
  <si>
    <t>Sangli</t>
  </si>
  <si>
    <t>Maharashtra Self Employment Training Board</t>
  </si>
  <si>
    <t>Near Ashirwad Tech , Pul Galli,Shirala</t>
  </si>
  <si>
    <t>tlc.sangli.shirala@mkcl.org</t>
  </si>
  <si>
    <t>Deesha Computer Education</t>
  </si>
  <si>
    <t>Deesha Computer Edu.Vishnuprasad Appartment,Behind Old Octroi Naka, Vishrambaug,Sangli</t>
  </si>
  <si>
    <t>mail_deesha@rediffmail.com</t>
  </si>
  <si>
    <t>MITCON consultancy Services</t>
  </si>
  <si>
    <t>300/2, Udyog Bhawan, Behind TATA Petrol Pump, SANGLI</t>
  </si>
  <si>
    <t>sangli@mitconeschool.com</t>
  </si>
  <si>
    <t>D2C COMPUTER</t>
  </si>
  <si>
    <t>No.2708, SHIVDARSHAN COMPLEX, KHANAPUR ROAD, VITA</t>
  </si>
  <si>
    <t>d2ccomputers2010@gmail.com</t>
  </si>
  <si>
    <t>Savant Infosys Computer Training Centre</t>
  </si>
  <si>
    <t>H No. 1435, Near Deval Colony , Savant Infosys, Miraj - Vijapur Road, Mhaisal</t>
  </si>
  <si>
    <t>infosavant07@yahoo.in</t>
  </si>
  <si>
    <t>INNOVATIVE INFORMATION TECHNOLOGY</t>
  </si>
  <si>
    <t>Flat No S-3, Vedika Heights, Shivaji Road, MIRAJ</t>
  </si>
  <si>
    <t>iitmiraj@rediffmail.com</t>
  </si>
  <si>
    <t>Deep Institute Of Information Technology.</t>
  </si>
  <si>
    <t>Anuraj Complex, Kokrud Road, Opp Patel Hardware ,Near Apla Bazar , SHIRALA ,</t>
  </si>
  <si>
    <t>deepshirala@gmail.com</t>
  </si>
  <si>
    <t>Vivekanand Institute of Information Technology</t>
  </si>
  <si>
    <t>1st Floor,, 'Asjakunj', Main Road,, Kavathemahankal</t>
  </si>
  <si>
    <t>js_bobade@yahoo.com</t>
  </si>
  <si>
    <t>GLOBAL COMPUTERS, KUNDAL.</t>
  </si>
  <si>
    <t>NEAR S.T. STAND KUNDAL, ANJU NIVAS, KUNDAL, KUNDAL</t>
  </si>
  <si>
    <t>prashant.pawar30@rediffmail.com</t>
  </si>
  <si>
    <t>Phinix Computer Education, Ramanandnagar(Kirloskarwadi)</t>
  </si>
  <si>
    <t>serve no. 1002, Sawant Building, Burli Road, Kiloskarwadi</t>
  </si>
  <si>
    <t>vsagarpawar@yahoo.co.in</t>
  </si>
  <si>
    <t>OMKAR COMPUTERS</t>
  </si>
  <si>
    <t>Near Jogeshwari Temple Kharsundi, Dhanvantari Building, Kharsundi, KHARSUNDI</t>
  </si>
  <si>
    <t>omkar.kharsundi@gmail.com</t>
  </si>
  <si>
    <t>Bijwar Technical Institute</t>
  </si>
  <si>
    <t>Bijwar Technical Institute,Near Arti Talkies,Vidya Nagar,Nagpur Road,Wardha</t>
  </si>
  <si>
    <t>bitechwardha@yahoo.com</t>
  </si>
  <si>
    <t>Sai Computer Institute</t>
  </si>
  <si>
    <t>Sai Computer Institute,Sai Mangal Karalaya, Civil lines Wardha</t>
  </si>
  <si>
    <t>smt_san@yahoo.com</t>
  </si>
  <si>
    <t>Khatri Vanijya Shikshan Sanstha</t>
  </si>
  <si>
    <t>Khatri Vanijya Shikshan Sanstha, (OM Bhavan) Tilak Chowk, Hinganghat DIST. WARDHA PIN- 442301</t>
  </si>
  <si>
    <t>khatricomputers@rediffmail.com</t>
  </si>
  <si>
    <t>PC Computer Institute</t>
  </si>
  <si>
    <t>Near Bus Stand, Talegaon road, At -ARVI</t>
  </si>
  <si>
    <t>pcci_arvi@rediffmail.com</t>
  </si>
  <si>
    <t>Softline Computer Institute</t>
  </si>
  <si>
    <t>Softline Computer Institute, Karanja Chowk,Hinganghat</t>
  </si>
  <si>
    <t>amol_bidkar@yahoo.com</t>
  </si>
  <si>
    <t>I.G.M. Computer Education</t>
  </si>
  <si>
    <t>Near Raizada Hospital, Jail Road, Wardha</t>
  </si>
  <si>
    <t>ghirnikartvc1@rediffmail.com</t>
  </si>
  <si>
    <t>Insight Computers</t>
  </si>
  <si>
    <t>Behind Pawade Nursing Home,Ravindranath Tagore Marg,Gond Plot, Wardha</t>
  </si>
  <si>
    <t>insight_24210016@rediffmail.com</t>
  </si>
  <si>
    <t>Kavita Computer Education</t>
  </si>
  <si>
    <t>Kavita Computer Education, Mirannath Mandir Road, Datta Chowk, Deoli</t>
  </si>
  <si>
    <t>kavita_computer@rediffmail.com</t>
  </si>
  <si>
    <t>Sai Ambrosia Computer Education</t>
  </si>
  <si>
    <t>C/o Bhokre complex main road,karanja ghadge</t>
  </si>
  <si>
    <t>ramakant_144@yahoo.co.in</t>
  </si>
  <si>
    <t>C/o Golhar Building, First Floor, Near Ambedkar College, Nagpur Road, Hinganghat</t>
  </si>
  <si>
    <t>chand_hgt@yahoo.com</t>
  </si>
  <si>
    <t>Sai Satyam Computer Institute</t>
  </si>
  <si>
    <t>Opposite Police Station, Seloo</t>
  </si>
  <si>
    <t>ved_san@yahoo.com</t>
  </si>
  <si>
    <t>Shreeji Computers</t>
  </si>
  <si>
    <t>Shreeji Computers, Mahavir Ward, Near Ganpati Temple, Arvi</t>
  </si>
  <si>
    <t>shreeji_arvi@rediffmail.com</t>
  </si>
  <si>
    <t>Vision Computer Education</t>
  </si>
  <si>
    <t>Vision Computer Education, Near Urdu School, Gandhi Chowk, Pulgaon</t>
  </si>
  <si>
    <t>nitin_charde001@yahoo.co.in</t>
  </si>
  <si>
    <t>Sai Ambrosia Computer Education, Sontakke Complex, Cement Road, Ashti</t>
  </si>
  <si>
    <t>sai_amb@yahoo.com</t>
  </si>
  <si>
    <t>Royal Computer Institute</t>
  </si>
  <si>
    <t>Master Colony, Bus Stop Road, Hinganghat</t>
  </si>
  <si>
    <t>rci_nishant@rediffmail.com</t>
  </si>
  <si>
    <t>Platinum Computer Institute</t>
  </si>
  <si>
    <t>Near paras ice factory ward no 10 batchlor wardha</t>
  </si>
  <si>
    <t>platinum2006@rediffmail.com</t>
  </si>
  <si>
    <t>Future Computer Center</t>
  </si>
  <si>
    <t>Near Datta Mandir, opp.Bus Stand,Hinganghat</t>
  </si>
  <si>
    <t>n_yelne_future1@rediffmail.com</t>
  </si>
  <si>
    <t>Unicom Computer Education</t>
  </si>
  <si>
    <t>Gajanan Nagar Ward No 1 Near Dnyaneshwar Mandir,Arvi Naka</t>
  </si>
  <si>
    <t>unicom_wrd@yahoo.co.in</t>
  </si>
  <si>
    <t>Shree Super Computer Institute</t>
  </si>
  <si>
    <t>Talegaon (sp)</t>
  </si>
  <si>
    <t>shreesupar@rediffmail.com</t>
  </si>
  <si>
    <t>cce complet computer education</t>
  </si>
  <si>
    <t>add-mahavir chowk, near mangesh photo studio, nachangaon road pulgaon, hanumante, pulgaon, pulgaon</t>
  </si>
  <si>
    <t>good_wap73@rediffmail.com</t>
  </si>
  <si>
    <t>MOUNT COMPUTER INSTITUTE</t>
  </si>
  <si>
    <t>50, dhakare house, umred-jam road, SAMUDRAPUR</t>
  </si>
  <si>
    <t>smartmount.49@gmail.com</t>
  </si>
  <si>
    <t>CREATIVE COMPUTER EDUCATION</t>
  </si>
  <si>
    <t>Ward No. 2, Maroti Ward, , Abdulla Nagar Road, HINGANGHAT</t>
  </si>
  <si>
    <t>creative_hgt@india.com</t>
  </si>
  <si>
    <t>PRAGATI COMPUTER INSTITUTE</t>
  </si>
  <si>
    <t>WAR NO, 17, IN FRONT OF VITHAL RUKHMAI MANDIR, SINDI, SINDI</t>
  </si>
  <si>
    <t>raj.timande@yahoo.com</t>
  </si>
  <si>
    <t>INFOTECH COMPUTER EDUCATION</t>
  </si>
  <si>
    <t>Wadgaon Road, Selu, th. seloo Dist. wardha, Badere Coaching Complex, Wadgaon, SELOO</t>
  </si>
  <si>
    <t>infotechcomputer969@gmail.com</t>
  </si>
  <si>
    <t>Bhagwate Computer Institute</t>
  </si>
  <si>
    <t>First FloorNear Jaikalika Mata Mahila Bank,Society Market,</t>
  </si>
  <si>
    <t>indrajeet_kale@rediffmail.com</t>
  </si>
  <si>
    <t>Hingoli</t>
  </si>
  <si>
    <t>Institute Of Information Technology</t>
  </si>
  <si>
    <t>First Floor,Sonar Galli,Sadar Bazar</t>
  </si>
  <si>
    <t>mssharma123@yahoo.com</t>
  </si>
  <si>
    <t>Ashirwad Computers</t>
  </si>
  <si>
    <t>Sonal Nagar, Near Railway Station,Jalna</t>
  </si>
  <si>
    <t>joshisharad12@rediffmail.com</t>
  </si>
  <si>
    <t>Near Govt. Iti, Ful Market Sillod Road, Bhokardan</t>
  </si>
  <si>
    <t>samarthcomp99@yahoo.com</t>
  </si>
  <si>
    <t>Dsp Dot Com Computer Education</t>
  </si>
  <si>
    <t>Near Ganpati Galli, Old Jalna, Jalna</t>
  </si>
  <si>
    <t>deepak_wadgaonkar@yahoo.com</t>
  </si>
  <si>
    <t>Pragati Computers</t>
  </si>
  <si>
    <t>at post walsavangi</t>
  </si>
  <si>
    <t>pragati_comp@rediffmail.com</t>
  </si>
  <si>
    <t>Geeta Computer</t>
  </si>
  <si>
    <t>main road ambad</t>
  </si>
  <si>
    <t>geetacomputer@rediffmail.com</t>
  </si>
  <si>
    <t>Samarth Computers</t>
  </si>
  <si>
    <t>SAMBHAJI NAGAR NEAR KALAMKAR HOSPITAL BHOKARDAN NAKA</t>
  </si>
  <si>
    <t>prabha.dole@rediffmail.com</t>
  </si>
  <si>
    <t>Trimurti Computer Training Center</t>
  </si>
  <si>
    <t>Near Dr.Pawar Hospital, Main Road, New Bus Stand</t>
  </si>
  <si>
    <t>trimurti_mscit@yahoo.in</t>
  </si>
  <si>
    <t>Vakratund Computers</t>
  </si>
  <si>
    <t>Ward No. 27,Kadrabad ,Near Misal Complex,infront of suryakant Tel Bhandar Kadrabad , Jalna</t>
  </si>
  <si>
    <t>vakratund_jalna@rediffmail.com</t>
  </si>
  <si>
    <t>Bright Computers</t>
  </si>
  <si>
    <t>Ganpati Galli,Badnapur</t>
  </si>
  <si>
    <t>brightbadnapur@gmail.com</t>
  </si>
  <si>
    <t>Yash Computers</t>
  </si>
  <si>
    <t>SHOP NO. 64, AZAD MAIDAN RAMNAGAR NEAR SANTOSH BOOK STALL JALNA</t>
  </si>
  <si>
    <t>yash_pradeep@rediffmail.com</t>
  </si>
  <si>
    <t>Shree Seva Computers</t>
  </si>
  <si>
    <t>AT POST SEVLI BARHMAN GALLI TQ. DIST. JALNA</t>
  </si>
  <si>
    <t>rjshriseva@gmail.com</t>
  </si>
  <si>
    <t>Unique Computers</t>
  </si>
  <si>
    <t>AT POST HASNABAD</t>
  </si>
  <si>
    <t>unique_comp09@yahoo.in</t>
  </si>
  <si>
    <t>Disha Computers</t>
  </si>
  <si>
    <t>Priydarshni Colony, Near Parshvbhumi Newspaper, Jalna</t>
  </si>
  <si>
    <t>vijay_rathod934@rediffmail.com</t>
  </si>
  <si>
    <t>AT.POST. DHAWADA</t>
  </si>
  <si>
    <t>new_rangoli@rediffmail.com</t>
  </si>
  <si>
    <t>Nath Computer</t>
  </si>
  <si>
    <t>AT. POST PANEWADI TQ. GHANSAVANGI DIST JALNA</t>
  </si>
  <si>
    <t>nathcomputer@yahoo.com</t>
  </si>
  <si>
    <t>NEAR WATER TANK BHOKARDAN ROAD JAFRABAD</t>
  </si>
  <si>
    <t>alcsamarth@gmail.com</t>
  </si>
  <si>
    <t>Kumbhar pimpalgoan Road ,Ghansavangi</t>
  </si>
  <si>
    <t>dishamundada@rediffmail.com</t>
  </si>
  <si>
    <t>Shri Swami Samarth Computers</t>
  </si>
  <si>
    <t>AT POST NER</t>
  </si>
  <si>
    <t>dnyanadhe@rediffmail.com</t>
  </si>
  <si>
    <t>TULJAI COMPUTER TRAINING INSTITUTE</t>
  </si>
  <si>
    <t>plot no. 130, At post. Anterwali tembhi, Tq.Ghansawangi, Dist jalna.</t>
  </si>
  <si>
    <t>nitin_bhillare@rediffmail.com</t>
  </si>
  <si>
    <t>Suyash Computers</t>
  </si>
  <si>
    <t>Suyash Computers 1693, Sadashiv Peth,Saideep Apartments,Khajina Vihir Chowk, Near Tilak Road</t>
  </si>
  <si>
    <t>atc27210004@gmail.com</t>
  </si>
  <si>
    <t>Vidyarthi Computer Education Institute</t>
  </si>
  <si>
    <t>Raviwar Peth,Near Nageshwar Temple,Junnar</t>
  </si>
  <si>
    <t>vidyarthi27210005@gmail.com</t>
  </si>
  <si>
    <t>Smart Bit Computers</t>
  </si>
  <si>
    <t>2nd Floor above Surya Hotel , Opp. WNC Company Vimannagar corner,Nagar Road, Pune</t>
  </si>
  <si>
    <t>atc27210006@gmail.com</t>
  </si>
  <si>
    <t>Suvarna Computer Training Centre</t>
  </si>
  <si>
    <t>Flat No. 2, Kundan Cornor, 8 &amp; 9, New Khadki Bazar, opp.Khadki Bus Stop,Near Dargha,Khadki,Pune</t>
  </si>
  <si>
    <t>atc27210007@gmail.com</t>
  </si>
  <si>
    <t>Techmedia</t>
  </si>
  <si>
    <t>GANESH GARDEN, FAMOUS CHOWK, OPP. SHITOLE EMPIRE, MAIN RD, NEW SANGAVI, PUNE 411027</t>
  </si>
  <si>
    <t>tlc.pune2.haveli4@mkcl.org</t>
  </si>
  <si>
    <t>Vikas Computers</t>
  </si>
  <si>
    <t>Tamboli Bldg., Bhd. bank of India, Abooseth Road, Behind Bank Of India, Dehu Road, Pune</t>
  </si>
  <si>
    <t>vk27210009@gmail.com</t>
  </si>
  <si>
    <t>Disha Computer Institute</t>
  </si>
  <si>
    <t>Samarth Chhaya Building, Opp Syndicate Bank, Near Rupee Bank, Block No.6, Talegaon-Chakan Road, Talegaon Station, 410507</t>
  </si>
  <si>
    <t>krcomputer27210010@gmail.com</t>
  </si>
  <si>
    <t>Ujjwal Infopark</t>
  </si>
  <si>
    <t>Ahilya Devi Chowk, Near Gajanan Maharaj Mandir, Dhore Nagar, Old Sangvi, Pune 411 027</t>
  </si>
  <si>
    <t>ujjwal27210011@gmail.com</t>
  </si>
  <si>
    <t>Robocob Computers</t>
  </si>
  <si>
    <t>813 Vetal Peth, Choupati, BhorTal-Bhor,Dist-Pune Pin 412206</t>
  </si>
  <si>
    <t>Disha Computers , NADHE BUILDING , PANCHNATH CHOWK, MAIN ROAD, KALEWADI, PIMPRI,PUNE -411017.</t>
  </si>
  <si>
    <t>dishacomputer27210014@gmail.com</t>
  </si>
  <si>
    <t>Asn Computer Education</t>
  </si>
  <si>
    <t>Karanje Complex, 2nd &amp; 3rd Floor, Opp. Axis Bank, Near Jijamata Hospital, Pune Nagar Road, Pabal Chowk, Shikrapur, Tal-Shirur, Dist-Pune, Pincode-412208</t>
  </si>
  <si>
    <t>atc27210017@gmail.com</t>
  </si>
  <si>
    <t>Sai Sigma Computers</t>
  </si>
  <si>
    <t>Shankarrao Market, Pune Nashik Road, Narayangaon</t>
  </si>
  <si>
    <t>saisigma27210018k@gmail.com</t>
  </si>
  <si>
    <t>Infose Computer Education</t>
  </si>
  <si>
    <t>1120, Kshirsagar Complex,Next To Bank Of Maharashtra,Behind Kataria Hospital</t>
  </si>
  <si>
    <t>atc27210020@gmail.com</t>
  </si>
  <si>
    <t>My E Land Computer Training Institute</t>
  </si>
  <si>
    <t>2nd Floor kohinoor Plaza,Near khadki Bazar Petrol Pump, Above Cosmos Bank Khadki Pune -3</t>
  </si>
  <si>
    <t>atc27210023@gmail.com</t>
  </si>
  <si>
    <t>New Vtech Computers</t>
  </si>
  <si>
    <t>54, Trishul South West ,Bombay-Pune Rd,Dehu road,Pune</t>
  </si>
  <si>
    <t>vtech27210029@gmail.com</t>
  </si>
  <si>
    <t>Apexx Computer Education</t>
  </si>
  <si>
    <t>Apexx Computer Education, 2013/6, Nirman Plaza, Block No,6,7,8,9 Firstfloor, Behind Civil Court,Gujar Mala,Shirur,Pune</t>
  </si>
  <si>
    <t>tlc.pune1.shirur@mkcl.org</t>
  </si>
  <si>
    <t>Infocom Computer Technology</t>
  </si>
  <si>
    <t>S.No.1, Plot No.1, BEHIND HANUMAN MANDIR,LAXMI NAGAR, NIGDI , PUNE</t>
  </si>
  <si>
    <t>infocom_tch@yahoo.co.in</t>
  </si>
  <si>
    <t>I.T.E.Computer Institute</t>
  </si>
  <si>
    <t>Harikrishna Complex,Samarth Nagar,Main Road,Navi Sangavi,Pune 27</t>
  </si>
  <si>
    <t>ite27210032@gmail.com</t>
  </si>
  <si>
    <t>Rutika Info Feed</t>
  </si>
  <si>
    <t>Pitru Chaya Bldg Opp. S.T. Stand Pirangut Tal : Mulshi Dist : Pune</t>
  </si>
  <si>
    <t>rutikainfo@gmail.com</t>
  </si>
  <si>
    <t>Manchar Computer Education</t>
  </si>
  <si>
    <t>Gala no.6, Pooja complex, sambhaji chowk, Manchar</t>
  </si>
  <si>
    <t>mancharcomputer27210035@gmail.com</t>
  </si>
  <si>
    <t>Softtech Computer Education</t>
  </si>
  <si>
    <t>Jay Maharashtra Chowk, Alandi Road, Bhosari, Pune-39.</t>
  </si>
  <si>
    <t>softtech27210044@gmail.com</t>
  </si>
  <si>
    <t>Sai Computers</t>
  </si>
  <si>
    <t>SHOP NO 9, Chattrapati Shivaji COMPLEX, MHB , YERWADA</t>
  </si>
  <si>
    <t>atc27210049@gmail.com</t>
  </si>
  <si>
    <t>Sai Computer Education Centre</t>
  </si>
  <si>
    <t>2ND FLOOR Ashirwad Soc, Opp. Pcmt Depot, Near Police Chowky, Sant Tukaram Nagar, Pimpri Pune 18</t>
  </si>
  <si>
    <t>27210050saicomputer@gmail.com</t>
  </si>
  <si>
    <t>Aim Computer Institute</t>
  </si>
  <si>
    <t>Shop no 6, Basement, Aryan Capital Building, Wada Road, Rajgurunagar, Tal-Khed, Dist-Pune</t>
  </si>
  <si>
    <t>aimcomputer110@gmail.com</t>
  </si>
  <si>
    <t>Vijay Computer Center</t>
  </si>
  <si>
    <t>Vijay Computer Center Pabal Pimpalwadi Road, A/P-Pabal Tal-Shirur</t>
  </si>
  <si>
    <t>tp.mitcon@mkcl.org</t>
  </si>
  <si>
    <t>HERITAGE PLAZA, ELPRO COMPOUND,C-25,2ND FLOOR,C-WING,CHINCHWADGOAN</t>
  </si>
  <si>
    <t>sai27210200@gmail.com</t>
  </si>
  <si>
    <t>Sahil Computers</t>
  </si>
  <si>
    <t>Lawale Rd, Lawale Phata</t>
  </si>
  <si>
    <t>sahilcomputers123@gmail.com</t>
  </si>
  <si>
    <t>Rhea Infotech Computer Education</t>
  </si>
  <si>
    <t>R sector, R B -4/1-003, Ajmera Hsg Complex,</t>
  </si>
  <si>
    <t>rheainfotech27210204@gmail.com</t>
  </si>
  <si>
    <t>Vikas Infotech</t>
  </si>
  <si>
    <t>Near Primary School, Main Chowck, Chikhali, Tal.-Haveli, Dist-Pune</t>
  </si>
  <si>
    <t>annasaheb_333@rediffmail.com</t>
  </si>
  <si>
    <t>The Bombay Mother And Children Welfare Society.</t>
  </si>
  <si>
    <t>NEAR M.G. SCHOOL, WADA ROAD, KHED</t>
  </si>
  <si>
    <t>bombaymothers27210213@gmail.com</t>
  </si>
  <si>
    <t>Horizon Computers</t>
  </si>
  <si>
    <t>Gurukripa Niwas , Mohannagat, Chichwad,Pune,Nr. hanuman Temple.</t>
  </si>
  <si>
    <t>shinde.agasti@gmail.com</t>
  </si>
  <si>
    <t>Indrayani Infotech</t>
  </si>
  <si>
    <t>Near Dynadeep Highschool, Rupi Nagar Talwade.</t>
  </si>
  <si>
    <t>iitdehu@gmail.com</t>
  </si>
  <si>
    <t>Malhar Institute Of Technology</t>
  </si>
  <si>
    <t>447/2465, SANT TUKARAM NAGAR, PIMPRI, PUNE</t>
  </si>
  <si>
    <t>mit_india@yahoo.co.in</t>
  </si>
  <si>
    <t>Onkar Computer And Educational Institute</t>
  </si>
  <si>
    <t>Near PCMC Primary School,AT Po.KIwale Gaothan,Tal Haveli,Pune</t>
  </si>
  <si>
    <t>alc27210285@gmail.com</t>
  </si>
  <si>
    <t>Excel Infotech</t>
  </si>
  <si>
    <t>S.No.87,Shubham Complex,Opp Aher Garden,Valhekar Wadi,Chinchwad</t>
  </si>
  <si>
    <t>atc27210288@gmail.com</t>
  </si>
  <si>
    <t>Itech Computer Education</t>
  </si>
  <si>
    <t>Sector No 4, Plot No 215, Itech, Moshi Pradhikaran, Pimpri Chinchwad</t>
  </si>
  <si>
    <t>itechced@indiatimes.com</t>
  </si>
  <si>
    <t>SOFT JOY COMPUTER EDUCATION</t>
  </si>
  <si>
    <t>SR NO. 4/1/2/1, KANSE SADAN, MARUTI KANSE PATH, AUNDH POST, PIMPLE NILAKH</t>
  </si>
  <si>
    <t>softjoy.edu@gmail.com</t>
  </si>
  <si>
    <t>Infoworld Computer Academy</t>
  </si>
  <si>
    <t>Shop No. A-12, , Cantonment Shopping Complex, Opp. Nehru Mangal Karyalay, Main Bazar, DehuRoad</t>
  </si>
  <si>
    <t>umeshpardeshi@rediffmail.com</t>
  </si>
  <si>
    <t>Super-Tech Computers</t>
  </si>
  <si>
    <t>"Shivkrupa" Near Rammandir, Ramnagar , Chinchawad</t>
  </si>
  <si>
    <t>sangeetasnaukudkar@gmail.com</t>
  </si>
  <si>
    <t>Samruddhi Computer Center</t>
  </si>
  <si>
    <t>194, Sitai Niwas, Sus Post Office, Pune</t>
  </si>
  <si>
    <t>alc27210330@gmail.com</t>
  </si>
  <si>
    <t>Multi Tech Computer Institute</t>
  </si>
  <si>
    <t>S.No.795 ,, Randhave Building, Opp Police Station,Alandi Devachi, Alandi Devachi</t>
  </si>
  <si>
    <t>swatithorave80@gmail.com</t>
  </si>
  <si>
    <t>Dataline Information Technology</t>
  </si>
  <si>
    <t>H. A. Hous. Soc., Plot No-B/5, sector No-21, Anandi Niwas, Nigdi Talawde Main Road, Yamunanagar, Yamunanagar Pradhikaran</t>
  </si>
  <si>
    <t>datalineinformation@gmail.com</t>
  </si>
  <si>
    <t>ONKAR COMPUTER &amp; EDUCATIONAL INSTITUTE</t>
  </si>
  <si>
    <t>Survey No. 18/9, Ganesh Nagar, Onkar Colony, Thergaon, Pune - 33, Jagdale Coaching Classes, Shiv Colony, Thergaon</t>
  </si>
  <si>
    <t>jagdaleatdcc1999@gmail.com</t>
  </si>
  <si>
    <t>B. G. COMPUTER INSTITUTE</t>
  </si>
  <si>
    <t>105, kajale complex, near saibaba mandir, saibaba chouk, kamshet, kamshet</t>
  </si>
  <si>
    <t>bg.computers@yahoo.in</t>
  </si>
  <si>
    <t>Neha InfoTech</t>
  </si>
  <si>
    <t>SHOP NO 7, MORYA CORNER, YASHWANT NAGAR , Talegaon Dabhade</t>
  </si>
  <si>
    <t>nehainfotech7@gmail.com</t>
  </si>
  <si>
    <t>iTrack Computers</t>
  </si>
  <si>
    <t>Shop No.12, kakade corner Near shanti Ban Houseing soc. Opp. Fattechand College Chinchwad gaon Pune-33</t>
  </si>
  <si>
    <t>shingavi_ent@sify.com</t>
  </si>
  <si>
    <t>SHIVNERI FOUNDATION</t>
  </si>
  <si>
    <t>S. NO. 461/A, A/P-Khanapur, Tal-Junnar, Dist-Pune, Shivneri Foundation, Khanapur, Narayangaon-Junnar Raod, JUNNAR</t>
  </si>
  <si>
    <t>shivneri_foundation@rediffmail.com</t>
  </si>
  <si>
    <t>SHREE COMPUTERS</t>
  </si>
  <si>
    <t>3, SHREE COMPLEUX, PIPLGAV ROAD, DAWADI</t>
  </si>
  <si>
    <t>s.amol21@yahoo.in</t>
  </si>
  <si>
    <t>Shree Networks</t>
  </si>
  <si>
    <t>Kunal Puram, Shop No 4, Building ' G', Opp Alpha Laval,Pune-Mumbai Road, Phugewadi , Building ' G, Pune-Mumbai Rd, Pune</t>
  </si>
  <si>
    <t>nandekarneetu@gmail.com</t>
  </si>
  <si>
    <t>Novatech Computers</t>
  </si>
  <si>
    <t>Shop No.6, A-Block,Bhiwandiwala Building,Ganapatrao Kadam Marg,Worli Naka,</t>
  </si>
  <si>
    <t>novatech_computers@yahoo.co.in</t>
  </si>
  <si>
    <t>Children Edu Soc. Promises, Next to SAMAJ MANDIR HALL, Opp. MSEB office,B-WARD Matunga Labour Camp, Matunga</t>
  </si>
  <si>
    <t>atc28210006@gmail.com</t>
  </si>
  <si>
    <t>22, Gr. Flr., Vijay Nagar Bldg., Behind Kamat Hotel, Dadar (W), Mumbai - 28</t>
  </si>
  <si>
    <t>keertidadar@gmail.com</t>
  </si>
  <si>
    <t>1,Gr. Floor, Noble House,Dr. Batliwala Road, Next to Vivekanand Classes,Parel Mumbai</t>
  </si>
  <si>
    <t>28210008.keerti@gmail.com</t>
  </si>
  <si>
    <t>Shop No, 2 , Bldg. No . 213 , Trivedi Bldg , R. A . K . Road , Opp. Brij Albela Hotel , Wadala ( W ) ,Mumbai 400031 Mumbai - 400031</t>
  </si>
  <si>
    <t>wadala_keerti@rediffmail.com</t>
  </si>
  <si>
    <t>Shop No.1, Old Mohammadi Bldg., Opp. Lalbaug Market, Lalbaug, Mumbai - 400012</t>
  </si>
  <si>
    <t>keerti_lalbaug@rediffmail.com</t>
  </si>
  <si>
    <t>Kalpak Estate C/16, Shop No.51, Shaikh Mistry Road, Near Saraswat Co.op Bank, Antop Hill, Mumbai- 400037</t>
  </si>
  <si>
    <t>keerti_antophill@rediffmail.com</t>
  </si>
  <si>
    <t>Shop No.1, Kamraj CHS., Balaji Nagar, below apna sahakari bank,90 ft Road, Dharavi, Mumbai-17</t>
  </si>
  <si>
    <t>keertidharavi@rediffmail.com</t>
  </si>
  <si>
    <t>Shop No.2, Ambabai Chawl, Ganpatrao Kadam Marg, Opp. Municipal School, Near A to Z Industries, Lower Parel (W)</t>
  </si>
  <si>
    <t>keerti.lowerparel@rediffmail.com</t>
  </si>
  <si>
    <t>UNITECH COMPUTER EDUCATION CENTER</t>
  </si>
  <si>
    <t>Above Syndicate Bank, Tandel Complex, Shringartali</t>
  </si>
  <si>
    <t>zahoor_boat@yahoo.com</t>
  </si>
  <si>
    <t>Ratnagiri</t>
  </si>
  <si>
    <t>Mit Computer Education</t>
  </si>
  <si>
    <t>Mathura Complex, Lonkheda Char Rasta, Lonkheda</t>
  </si>
  <si>
    <t>contactsham@rediffmail.com</t>
  </si>
  <si>
    <t>Nandurbar</t>
  </si>
  <si>
    <t>Shriram Cyber And Prints</t>
  </si>
  <si>
    <t>Mangal Bhuvan Shopping Complex Ganpati Mandir Road Nandurbar</t>
  </si>
  <si>
    <t>shriramcyber2007@rediffmail.com</t>
  </si>
  <si>
    <t>LABHLAXMI COMPUTERS</t>
  </si>
  <si>
    <t>House No.168 , Near Bhoi lane, Main Road , Taloda Tal.Taloda</t>
  </si>
  <si>
    <t>labhlaxmi@gmail.com</t>
  </si>
  <si>
    <t>Near Bus Stand, Datt Colony, Taloda, Taloda</t>
  </si>
  <si>
    <t>sharp_2010@rediffmail.com</t>
  </si>
  <si>
    <t>Akanksha Computers</t>
  </si>
  <si>
    <t>ASRA towers, Chikali Road, Buldhana Tah &amp; Dist Buldhana</t>
  </si>
  <si>
    <t>akankshacomputers1@rediffmail.com</t>
  </si>
  <si>
    <t>Buldhana</t>
  </si>
  <si>
    <t>Info-Vision</t>
  </si>
  <si>
    <t>Vshnu Wadi, Circular Road, Ward No 15, Buldhana Tah &amp; Dist Buldhana</t>
  </si>
  <si>
    <t>diwinfovision@yahoo.com</t>
  </si>
  <si>
    <t>Yash Infotech</t>
  </si>
  <si>
    <t>CIVIL LINES, KELA NAGAR, NEAR KELA POST OFFICE, KHAMGAON</t>
  </si>
  <si>
    <t>nitwa@rediffmail.com</t>
  </si>
  <si>
    <t>Computer Circle Computer Education</t>
  </si>
  <si>
    <t>Chalisbhinga, Nr. Nagar parishad School no.4, Malkapur Tah Malkapur Dist Buldhana</t>
  </si>
  <si>
    <t>ccc_malkapur@yahoo.co.in</t>
  </si>
  <si>
    <t>Mukta Infotech</t>
  </si>
  <si>
    <t>AT KNOWLEDGE CENTRE JAGDAMBA NAGAR , SHEGAON DIST BULDHANA</t>
  </si>
  <si>
    <t>ssgm_she@yahoo.com</t>
  </si>
  <si>
    <t>Devyani Computer</t>
  </si>
  <si>
    <t>Bus Stand Asalgaon (Bazar) Tah Jalgaon Jamod Dist Buldhana</t>
  </si>
  <si>
    <t>rri_ingle@rediffmail.com</t>
  </si>
  <si>
    <t>Saraswati Computer Institute</t>
  </si>
  <si>
    <t>Near Bus Station, Durgapura, Deulgaonraja, Tah Deulgaon Raja Dist Buldhana</t>
  </si>
  <si>
    <t>saraswaticomputerinstitute@rediffmail.com</t>
  </si>
  <si>
    <t>Nisha Computer</t>
  </si>
  <si>
    <t>Near Bus Stand, Dhamangaon Badhe Tah Motala Dist Buldhana</t>
  </si>
  <si>
    <t>wakte.dipak@rediffmail.com</t>
  </si>
  <si>
    <t>Xp Computers</t>
  </si>
  <si>
    <t>Near Jijamata Rajwada, Sindhkhed Raja Tah Sindhkhed Raja Dist Buldhana</t>
  </si>
  <si>
    <t>raju.rathod111@rediffmail.com</t>
  </si>
  <si>
    <t>Jijamata Computers</t>
  </si>
  <si>
    <t>At Po JANEPHALTah Mehekar Dist Buldhana</t>
  </si>
  <si>
    <t>Jijamatacomp@yahoo.co.in</t>
  </si>
  <si>
    <t>Weekly Bazar,Near Matoshri Jwalers, Main road</t>
  </si>
  <si>
    <t>shegokarpawan@rediffmail.com</t>
  </si>
  <si>
    <t>Shri Ganesh Computers</t>
  </si>
  <si>
    <t>C/O. Hanvate, Sailani Road, Raipur</t>
  </si>
  <si>
    <t>ganeshcompu@yahoo.in</t>
  </si>
  <si>
    <t>Palak Computer</t>
  </si>
  <si>
    <t>Sandip Manohar Rahate MATARGAON BK</t>
  </si>
  <si>
    <t>palakmbjjbul@yahoo.co.in</t>
  </si>
  <si>
    <t>Abhinav Computer Education</t>
  </si>
  <si>
    <t>Shivaji Nagar,Ward No.7 Mehkar</t>
  </si>
  <si>
    <t>satish.455@rediffmail.com</t>
  </si>
  <si>
    <t>CREATIVE COMPUTERS</t>
  </si>
  <si>
    <t>Infront of telephone office Nandura Road Jalgaon Jamod, Sevtaf Nagar, Jalgaon Jamod, Jalgaon Jamod</t>
  </si>
  <si>
    <t>ananta_pp@yahoo.co.in</t>
  </si>
  <si>
    <t>SHRI OM COMPUTERS</t>
  </si>
  <si>
    <t>SHRI OM COMPUTERS Tilak wadi, Godbole's wada, Buldana</t>
  </si>
  <si>
    <t>vaibhavbole@gmail.com</t>
  </si>
  <si>
    <t>Shree Computer Education</t>
  </si>
  <si>
    <t>block no.1, Matoshri bhavan, singaon jh., singaon jh</t>
  </si>
  <si>
    <t>msict.bul031@gmail.com</t>
  </si>
  <si>
    <t>MOREY INFOSERVE COMPUTERS</t>
  </si>
  <si>
    <t>DALAL-LAY-OUT ,EKTA NAGAR ,BULDANA, DALAL-LAY-OUT ,EKTA NAGAR ,BULDANA, BULDANA, BULDANA</t>
  </si>
  <si>
    <t>prashantmorey49@gmail.com</t>
  </si>
  <si>
    <t>Balaji Computers,Buldana</t>
  </si>
  <si>
    <t>FF-1,2, Balaji Sankul, Jambhrun Road, buldhana</t>
  </si>
  <si>
    <t>adchavan85@gmail.com</t>
  </si>
  <si>
    <t>Carrier Point Computer</t>
  </si>
  <si>
    <t>Near Bus Stand Motala , Malkapur Road ,Motala, Besid Dr.Mahajan/DhanVantari Clinik, Motala, Motala</t>
  </si>
  <si>
    <t>shaileshgayki123@gmail.com</t>
  </si>
  <si>
    <t>Igm Computer Education Gargoti</t>
  </si>
  <si>
    <t>IGM Computer Education,C/O Cyber Den,Mouni Vidhyapeeth Road,Gargoti, Taluka - Bhudargad,District - Kolhapur</t>
  </si>
  <si>
    <t>igm_gar@sify.com</t>
  </si>
  <si>
    <t>Kolhapur</t>
  </si>
  <si>
    <t>Sky Institute</t>
  </si>
  <si>
    <t>SKY Institute "Deep Sadan" Near Jain Boarding 'C' ward Kolhapur</t>
  </si>
  <si>
    <t>sky_institute@rediffmail.com</t>
  </si>
  <si>
    <t>1738, E Rajarmpuri 2nd Floor 5thlane corher kolhapur , 1738, E Rajarmpuri 2nd Floor 5thlane corher kolhapur , Rajarmpuri , City</t>
  </si>
  <si>
    <t>disha_kolhapur@yahoo.co.in</t>
  </si>
  <si>
    <t>Maya Multimedia Computer Institute</t>
  </si>
  <si>
    <t>House No 209, Kolvankar Building, Main Road, Malkapur</t>
  </si>
  <si>
    <t>ashish.kolvankar@yahoo.com</t>
  </si>
  <si>
    <t>Mahila DED. College Yelane</t>
  </si>
  <si>
    <t>A/P Yelane, Near Shahuwadi Panchayat Samiti, Kolhapur Ratanagiri Highway, KOLHAPUR</t>
  </si>
  <si>
    <t>maheshsapkal19@gmail.com</t>
  </si>
  <si>
    <t>SAI EDUCATION SOCIETY</t>
  </si>
  <si>
    <t>At post Gijavane Taluka Gadhinglaj, Near Gijavane Gram Panchayat , Gijavane, Gadhinglaj</t>
  </si>
  <si>
    <t>saieducationgij@rediffmail.com</t>
  </si>
  <si>
    <t>Rainbow Computers</t>
  </si>
  <si>
    <t>hanuman ward, Neharu Square yatra road warora</t>
  </si>
  <si>
    <t>rainbowcomputer2004@yahoo.co.in</t>
  </si>
  <si>
    <t>Kishor Computer Education</t>
  </si>
  <si>
    <t>IN FRONT OF NAGAR PARISHAD, BAZAR WARD, MAIN ROAD, BHADRAWATI, TA. BHADRAWATI, DIST. CHANDRAPUR</t>
  </si>
  <si>
    <t>kishorgowardipe@rediffmail.com</t>
  </si>
  <si>
    <t>Shree Sai Computers</t>
  </si>
  <si>
    <t>Near Bank of Maharashtra, Ambedkar chowk, Warora</t>
  </si>
  <si>
    <t>shreesaicomp@yahoo.com</t>
  </si>
  <si>
    <t>Micro Computer Technology And Cyber Academy</t>
  </si>
  <si>
    <t>Kurekar House, Rajendra Ward, Teachers Colony Ballarpur</t>
  </si>
  <si>
    <t>suresh_kurekar2001@yahoo.com</t>
  </si>
  <si>
    <t>Vivekanand Computer And Coaching Classes</t>
  </si>
  <si>
    <t>NEAR M.J.F. SCHOOL, HYDERABAD RAOD RAJURA TA RAJURA DIST CHANDRAPUR</t>
  </si>
  <si>
    <t>baluvc1@rediffmail.com</t>
  </si>
  <si>
    <t>Bytes Infosys Computers</t>
  </si>
  <si>
    <t>Near Ceat Tyre Shoppe, Nagpur Road, Civil Line, Chandrapur.</t>
  </si>
  <si>
    <t>bytesinfosyscompu@yahoo.com</t>
  </si>
  <si>
    <t>Apex Computer</t>
  </si>
  <si>
    <t>Near Old Bus Stand,C/O Adkuji Chintawar Gondpipari</t>
  </si>
  <si>
    <t>apexcomputer2@hotmail.com</t>
  </si>
  <si>
    <t>Gadewar Building, Gurudwara Road, Sarkar Nagar, Chandrapur</t>
  </si>
  <si>
    <t>sachinpodey@yahoo.co.in</t>
  </si>
  <si>
    <t>C/o Pramod Sahare, First Floor, House No 1275, Pole No C/547, waghoba chowk Road, Tukum</t>
  </si>
  <si>
    <t>pramodsahare@yahoo.com</t>
  </si>
  <si>
    <t>Vyenkatesh Computer Institute</t>
  </si>
  <si>
    <t>Gadchandur Road, Rajura</t>
  </si>
  <si>
    <t>vcerajura@yahoo.co.in</t>
  </si>
  <si>
    <t>Shree Sairaj Advance Computer Education</t>
  </si>
  <si>
    <t>Shree Sairaj Advance Computer Education Sasti Township, sasti Road.</t>
  </si>
  <si>
    <t>f_kumar@sify.com</t>
  </si>
  <si>
    <t>Bright Computer Education</t>
  </si>
  <si>
    <t>Rajiv Ratan Chowk, Oppsite To Railway Crossing, Ghugus</t>
  </si>
  <si>
    <t>sdjiwankar_1@yahoo.com</t>
  </si>
  <si>
    <t>National Technical Computer Education</t>
  </si>
  <si>
    <t>SUKHADEVE NIWAS, Vidya Nagar, Wadsa Road, Bramhapuri</t>
  </si>
  <si>
    <t>ntce_bramhapuri@yahoo.co.in</t>
  </si>
  <si>
    <t>Cyber Computer Education</t>
  </si>
  <si>
    <t>Near Gothi Medical, Main Road, Warora</t>
  </si>
  <si>
    <t>hemant.daph@rediffmail.com</t>
  </si>
  <si>
    <t>Phoenix Computer Education</t>
  </si>
  <si>
    <t>NUTAN ADARSHA COLONY, NEAR BUS STAND, CHIMUR</t>
  </si>
  <si>
    <t>pcechimur@hotmail.com</t>
  </si>
  <si>
    <t>Pace Computers</t>
  </si>
  <si>
    <t>PACE COMPUTER Opp. Post Officei, Warora</t>
  </si>
  <si>
    <t>sanadpopat@yahoo.com</t>
  </si>
  <si>
    <t>I T Career</t>
  </si>
  <si>
    <t>I T CAREER C/o Dhakate Tailors, Near Patel Highschool, Shivaji Chowk ,Chandrapur</t>
  </si>
  <si>
    <t>abhijit_p06@rediffmail.com</t>
  </si>
  <si>
    <t>SUCCESS COMPUTER 'S</t>
  </si>
  <si>
    <t>c/o SHANKARRAO BALLAMWAR COMPLEX,BEHIND BUS STAND AT-POST-TAH-SAOLI,DIST-CHANDRAPUR</t>
  </si>
  <si>
    <t>nitinswa_sirftum@rediffmail.com</t>
  </si>
  <si>
    <t>GLOBALVISION COMPUTER INSTITUTE WARORA</t>
  </si>
  <si>
    <t>KAMGAR CHOWK,NEAR SHIKSHAK SAHAKARI BANK WARORA, NEAR SHIKSHAK SAHAKARI BANK, WARORA, WARORA</t>
  </si>
  <si>
    <t>sanjaykohale@yahoo.com</t>
  </si>
  <si>
    <t>PACIFIC INFOTECH COMPUTERS</t>
  </si>
  <si>
    <t>C/o. Prabhakar Dhanore, Gurudeo Ward, Chimur, Chimur</t>
  </si>
  <si>
    <t>pacificinfotech08@gmail.com</t>
  </si>
  <si>
    <t>Creative Com-Tec Computers</t>
  </si>
  <si>
    <t>Near Water Tank Kalyan Nagar</t>
  </si>
  <si>
    <t>atc35210011@gmail.com</t>
  </si>
  <si>
    <t>Nanded</t>
  </si>
  <si>
    <t>Srilata Computer Education</t>
  </si>
  <si>
    <t>Sahakar Complex, Main Road</t>
  </si>
  <si>
    <t>dhanu_naik2007@rediffmail.com</t>
  </si>
  <si>
    <t>Shri Raghavendra Swami Computer Education</t>
  </si>
  <si>
    <t>Jilhewar Complex,Ganesh Nagarpawadewadi Road Nanded</t>
  </si>
  <si>
    <t>joshianandk@rediffmail.com</t>
  </si>
  <si>
    <t>Institute of Computer Technology</t>
  </si>
  <si>
    <t>NARSI NAKA, NARSI ROAD MUKHED</t>
  </si>
  <si>
    <t>gaju777@gmail.com</t>
  </si>
  <si>
    <t>J.B. Computers</t>
  </si>
  <si>
    <t>1, Vidya Nagar Opp, DIG office Workshop Road Nanded</t>
  </si>
  <si>
    <t>sacbodh@rediffmail.com</t>
  </si>
  <si>
    <t>Vijay Computer Academy</t>
  </si>
  <si>
    <t>Near Nagreshwar Mandir , Rekhawar Building</t>
  </si>
  <si>
    <t>vijay_bhadke@rediffmail.com</t>
  </si>
  <si>
    <t>shri infotech</t>
  </si>
  <si>
    <t>In Front Of Tahasil Office Main road kandhar.</t>
  </si>
  <si>
    <t>skagne@gmail.com</t>
  </si>
  <si>
    <t>RUDRA INFOTECH</t>
  </si>
  <si>
    <t>block no 9, shendarkar complex, anandnagar corner, nanded</t>
  </si>
  <si>
    <t>srudrainfotech@gmail.com</t>
  </si>
  <si>
    <t>Suyog Computer</t>
  </si>
  <si>
    <t>DIC Road, Datta Nagar Kakade Plot</t>
  </si>
  <si>
    <t>osd_suyog@rediffmail.com</t>
  </si>
  <si>
    <t>Osmanabad</t>
  </si>
  <si>
    <t>Ap-Tech Computer Education</t>
  </si>
  <si>
    <t>Near Rural Hospital</t>
  </si>
  <si>
    <t>sanjayghule_aptech@rediffmail.com</t>
  </si>
  <si>
    <t>SHIVAM COMPUTERS</t>
  </si>
  <si>
    <t>College Raod, NALDURG, N.H.9 , NALDURG</t>
  </si>
  <si>
    <t>shivamnaldurg@rediffmail.com</t>
  </si>
  <si>
    <t>SAI INSTITUTE OF INFORMATION TECHNOLOGY</t>
  </si>
  <si>
    <t>15, KISHAN TATYA SHOPING CENTER, MAIN ROAD, MAIN ROAD, DHOKI</t>
  </si>
  <si>
    <t>vivek_koshti123@rediffmail.com</t>
  </si>
  <si>
    <t>JIYA COMPUTER EDUCATION, SASTUR.</t>
  </si>
  <si>
    <t>Sathe Chouk Sastur, Grampanchayat Complex - 106, Sastur, Sastur</t>
  </si>
  <si>
    <t>computerjiya37@gmail.com</t>
  </si>
  <si>
    <t>MAULI COMPUTERS</t>
  </si>
  <si>
    <t>sambhaji nagar, alange niwas, S.T. Stand, ASHTA KASAR</t>
  </si>
  <si>
    <t>dhanrajalange@gmail.com</t>
  </si>
  <si>
    <t>SECOND FLOWER, GRAM SACHIWALYA, SHIVAJI CHOWK, JALKOT, JALKOT</t>
  </si>
  <si>
    <t>shreecomputerjalkot@gmail.com</t>
  </si>
  <si>
    <t>JANHAVI COMPUTERS</t>
  </si>
  <si>
    <t>AT POST KORAL TQ. OMERGA DIST. OSMANABAD, NEAR SCHOOL, MAIN RAOD KOARAL, KORAL</t>
  </si>
  <si>
    <t>stmce123@rediffmail.com</t>
  </si>
  <si>
    <t>SAGAR COMPUTER EDUCATION</t>
  </si>
  <si>
    <t>NEAR KHANDOBA TEMLE, JANKI NIWAS, ANDUR, ANDUR</t>
  </si>
  <si>
    <t>sceandur@gmail.com</t>
  </si>
  <si>
    <t>THREE S AKSHAY COMPUTERS</t>
  </si>
  <si>
    <t>MAIN, ROAD, JALKOT, JALKOT</t>
  </si>
  <si>
    <t>threesakshaycomputer@gmail.com</t>
  </si>
  <si>
    <t>SUPER COMPUTER EDUCATION</t>
  </si>
  <si>
    <t>apanna alure complex main road andur</t>
  </si>
  <si>
    <t>pinjarik@rediffmail.com</t>
  </si>
  <si>
    <t>SAMARTH COMPUTERS</t>
  </si>
  <si>
    <t>Mauli Nagar, Kulkarni Niwas, Nagar Parishad Road, NALDURG</t>
  </si>
  <si>
    <t>sanjayhajare1984@gmail.com</t>
  </si>
  <si>
    <t>Vidyamata English School</t>
  </si>
  <si>
    <t>SHETKARI VIKAS SANSTHA DHANURI AT PO DHANURI TQ LOHARA DIST OSMANABAD-413604, Vidyamata, AT PO DHANURI TQ LOHARA DIST OSMANABAD, Dhanori</t>
  </si>
  <si>
    <t>vidyamataeschool@gmail.com</t>
  </si>
  <si>
    <t>SOFTECH COMPUTER EDUCATION</t>
  </si>
  <si>
    <t>word no. 2 , zingade Niwas, Omerga Road, GUNJOTI</t>
  </si>
  <si>
    <t>softechgunjoti@gmail.com</t>
  </si>
  <si>
    <t>Mitcon E School</t>
  </si>
  <si>
    <t>'MITCON Prabodhini, 1st Floor, Behind DIC Office,Agriculture College Campus,Shivajinagar,SHIVAJINAGAR</t>
  </si>
  <si>
    <t>yaminib@mitconeschool.com</t>
  </si>
  <si>
    <t>Getway Computer Academy</t>
  </si>
  <si>
    <t>852/ 6, Prarthana , Bhandarkar Road, Deccan Gymkhana</t>
  </si>
  <si>
    <t>jogaikara@hotmail.com</t>
  </si>
  <si>
    <t>Yashashri Computers</t>
  </si>
  <si>
    <t>Shop-5, Ideal Park building., Ideal colony, Paud road., Pune</t>
  </si>
  <si>
    <t>sha_mehe@yahoo.co.in</t>
  </si>
  <si>
    <t>Sun Computer Education</t>
  </si>
  <si>
    <t>SUN COMPUTER EDUCATION , FLAT NO 8, SHANTI PRESTIGE, WADGAON BK, SINHGAD ROAD, PUNE</t>
  </si>
  <si>
    <t>suncomp2000@gmail.com</t>
  </si>
  <si>
    <t>Sun Computers</t>
  </si>
  <si>
    <t>SUN COMPUTER SYSTEM, PuneShivsai Complex,3rd Floor Warje Malwadi Near Charudatta Hotel, Pune</t>
  </si>
  <si>
    <t>suncsys@hotmail.com</t>
  </si>
  <si>
    <t>Computers Icts</t>
  </si>
  <si>
    <t>Computers Icts,Above Rajmata, Opp. Sanjivani Hospital ,Bhaji Market, Nda Rd, Warje Malwadi</t>
  </si>
  <si>
    <t>d_suryawanshi@yahoo.com</t>
  </si>
  <si>
    <t>Computer`S Icts 2020</t>
  </si>
  <si>
    <t>Siddharth Complex, 2nd Floor, Opp. SanasHigh School Dhayari Phata, Dhyari, Pune</t>
  </si>
  <si>
    <t>D.G.Enterprises</t>
  </si>
  <si>
    <t>2nd floor Kalambe Complex, Manik Baug ,In front of Indian Oil Petrol pump Pune 411051</t>
  </si>
  <si>
    <t>d_ghadge@hotmail.com</t>
  </si>
  <si>
    <t>Vidya Computer Institute</t>
  </si>
  <si>
    <t>Vidya Computer Institute,Khanapur .Ta.Haveli Dist: Pune-411042</t>
  </si>
  <si>
    <t>shankarbawane@yahoo.co.in</t>
  </si>
  <si>
    <t>Sun Computer System</t>
  </si>
  <si>
    <t>Achanak Chouk,NDA Rd,Opp Anant Mangal Karyalaya,UttamNagar,Pune</t>
  </si>
  <si>
    <t>shekhar1jagtap@gmail.com</t>
  </si>
  <si>
    <t>It Perfect Computer And Typewriting Institute</t>
  </si>
  <si>
    <t>Shop No.135 1st floor Kakde plaza Buid Opp.Kakde City.Karvenagar Pune.52</t>
  </si>
  <si>
    <t>itperfectcomputer@gmail.com</t>
  </si>
  <si>
    <t>Smt. Sudhatai Mandke Institute of Technology</t>
  </si>
  <si>
    <t>47/8, Mandke Growth Centre, Paud Road, Pune-411038</t>
  </si>
  <si>
    <t>smit@mhhf.in</t>
  </si>
  <si>
    <t>SHILIMKAR COMPUTER</t>
  </si>
  <si>
    <t>Krishna Prestige Sr.No.8/1,Deshmukh Wadi Shivane.Pune.411052</t>
  </si>
  <si>
    <t>shilimkarkiran@gmail.com</t>
  </si>
  <si>
    <t>MODERN COLLEGE OF EDUCATION</t>
  </si>
  <si>
    <t>Opp. P.E.S. Girl's Hostel, Jungli Maharaj Road, PUNE</t>
  </si>
  <si>
    <t>modernedu@hotmail.com</t>
  </si>
  <si>
    <t>A1 Bunglow, MR Society, Opp. Raheja College,Juhu Tara ROAD, Santacruz (West) , MUMBAI-400054</t>
  </si>
  <si>
    <t>santacruzwest_keerti@rediffmail.com</t>
  </si>
  <si>
    <t>Mumbai Suburban</t>
  </si>
  <si>
    <t>B-26/201, Anand nagar,Vakola Bridge nehru road , Santacruz (E)</t>
  </si>
  <si>
    <t>keerti_santacruze@rediffmail.com</t>
  </si>
  <si>
    <t>Shop No 9, New Shopping Centre,Near Chetna College, Govt. Colony,Bandra (E)</t>
  </si>
  <si>
    <t>keerti_bandra@rediffmail.com</t>
  </si>
  <si>
    <t>Flat No 308, Shyamkamal 'A' Bldg, West Wing, Tejpal Road, V.S.Khandekar Marg, Opp. Rly Stn. Vile Parle (E)</t>
  </si>
  <si>
    <t>keerti_vileparle123@rediffmail.com</t>
  </si>
  <si>
    <t>S L Tech Computer</t>
  </si>
  <si>
    <t>Digambar Mhaskar Marg , Near Paras Nagar , JogeshwariI</t>
  </si>
  <si>
    <t>sltech_77@hotmail.com</t>
  </si>
  <si>
    <t>Shop No.1, Shiv Chhaya CHS. Ltd, Opp. Aarsa Hotel, M.V. Road, Andheri (E), Mumbai -400069</t>
  </si>
  <si>
    <t>keerti_andherieast@rediffmail.com</t>
  </si>
  <si>
    <t>Perfect Infotech</t>
  </si>
  <si>
    <t>Bhalchandra Nagar, Kambli Galli, Petkar Building IInd Floor</t>
  </si>
  <si>
    <t>perfectskg@yahoo.co.in</t>
  </si>
  <si>
    <t>Sindhudurg</t>
  </si>
  <si>
    <t>Mansi Enterprises</t>
  </si>
  <si>
    <t>74, SIndhu Nagari Priyanka Photo, Oras Phata NH 17 BK6 Road, ORAS</t>
  </si>
  <si>
    <t>a39210002@gmail.com</t>
  </si>
  <si>
    <t>Rawalnath Krushi Seva Mandal</t>
  </si>
  <si>
    <t>321, Khadapkar Sadan, Oros, Oros Phata Khadapkar Sadan, BKG road Sindhudurg Nagari, Sindhudurg Nagari</t>
  </si>
  <si>
    <t>a9422054807@gmail.com</t>
  </si>
  <si>
    <t>Aisect Computer Institute</t>
  </si>
  <si>
    <t>Aisect Com.Ins.Near Chidderwar Jwellers Ganesh Ward , Pusad, Yavatmal</t>
  </si>
  <si>
    <t>aisectpusad@rediff.com</t>
  </si>
  <si>
    <t>Yavatmal</t>
  </si>
  <si>
    <t>Oxford Computer Education</t>
  </si>
  <si>
    <t>Oxford Computer Education,Shastri Nagar, Datte College Road, Thakare Sadan, Yavatmal</t>
  </si>
  <si>
    <t>azizoxford@yahoo.com</t>
  </si>
  <si>
    <t>Ideal Computer Institute</t>
  </si>
  <si>
    <t>IDEAL COMPUTER INST.Bangar Nagar, Waghapur Road, Yavatmal</t>
  </si>
  <si>
    <t>kalpana_ideal@yahoo.co.in</t>
  </si>
  <si>
    <t>Sneha Computer Institute</t>
  </si>
  <si>
    <t>53 B,Om Colony,Yavatmal. Vaibhavbhirangi@Rediffmail.Com, 9423625420</t>
  </si>
  <si>
    <t>vaibhavbhirangi@rediffmail.com</t>
  </si>
  <si>
    <t>Pentium-4 Computer</t>
  </si>
  <si>
    <t>shivaji nagar Ner parsopant</t>
  </si>
  <si>
    <t>tlc.yavatmal.ner@mkcl.org</t>
  </si>
  <si>
    <t>Satyam Computers</t>
  </si>
  <si>
    <t>Near Dnyaneshwar Madir, Bajoriya Nagar, Yavatmal</t>
  </si>
  <si>
    <t>satyammitcon@yahoo.co.in</t>
  </si>
  <si>
    <t>Max Institution</t>
  </si>
  <si>
    <t>Godwe lay out, ward no.6,Arni</t>
  </si>
  <si>
    <t>kamankar@rediffmail.com</t>
  </si>
  <si>
    <t>Chintamani Computer Education Digras</t>
  </si>
  <si>
    <t>Pusad Road, Near Wadawala Jin, Digras</t>
  </si>
  <si>
    <t>mscitcenterfour@yahoo.in</t>
  </si>
  <si>
    <t>Vighanharta Computer</t>
  </si>
  <si>
    <t>Wadwala Jin Complex, Digras Dist. Yavatmal</t>
  </si>
  <si>
    <t>cool.sanjay_deshmukh@rediffmail.com</t>
  </si>
  <si>
    <t>Shree Chintamani Computers Ralegaon</t>
  </si>
  <si>
    <t>Mata Nagar, Mata Nagar, Ralegaon, Ralegaon</t>
  </si>
  <si>
    <t>ingole.ytl@gmail.com</t>
  </si>
  <si>
    <t>Good-Luck Computers, Maregaon</t>
  </si>
  <si>
    <t>At Po Maregaon, At Po Maregaon, At Po Maregaon, At Po Maregaon</t>
  </si>
  <si>
    <t>mscit2004@gmail.com</t>
  </si>
  <si>
    <t>Rajiv Vidyalaya</t>
  </si>
  <si>
    <t>5/A, Rajiv Vidyalaya, Zari</t>
  </si>
  <si>
    <t>rajiv_zari@rediffmail.com</t>
  </si>
  <si>
    <t>Khamitkar Computer Education</t>
  </si>
  <si>
    <t>168/B, Sakhar Peth,Near Padma Talkies</t>
  </si>
  <si>
    <t>khamitkar.computers@gmail.com</t>
  </si>
  <si>
    <t>Barshi Education Society`S Sulakhe Computer Training Center , Barshi</t>
  </si>
  <si>
    <t>Near Baleshwar Naka, Sulakhe High School Campus , Barshi Dist - Solapur Barshi - 413 411</t>
  </si>
  <si>
    <t>barshies@yahoo.co.in</t>
  </si>
  <si>
    <t>Maharashtra Computers</t>
  </si>
  <si>
    <t>5-17/39, GandhiNagar, Vinkar Society, South Sadar Bazar,Solapur</t>
  </si>
  <si>
    <t>mahatechcomputers@gmail.com</t>
  </si>
  <si>
    <t>Parth Technology</t>
  </si>
  <si>
    <t>"Pratishtha Bhavan", 102/2 plot no 13, shivparvati nagar, Link road Pandharpur.</t>
  </si>
  <si>
    <t>parth_technology@rediffmail.com</t>
  </si>
  <si>
    <t>old adat bazar futane galli</t>
  </si>
  <si>
    <t>dattakatare@rediffmail.com</t>
  </si>
  <si>
    <t>Dnyanganga Computer Academy</t>
  </si>
  <si>
    <t>Bhadule chouk, Navi Peth, Pandharpur</t>
  </si>
  <si>
    <t>amol_abhangrao@hotmail.com</t>
  </si>
  <si>
    <t>Mahale Infotech</t>
  </si>
  <si>
    <t>R-98, First Phase , Awanti Nagar, Murarji Peth</t>
  </si>
  <si>
    <t>mahaleinfotech4u@gmail.com</t>
  </si>
  <si>
    <t>Soham Computers</t>
  </si>
  <si>
    <t>Pandharpur Road, Near Bank of Baroda, Velapur, Velapur</t>
  </si>
  <si>
    <t>sohamdsk@yahoo.in</t>
  </si>
  <si>
    <t>D.S.kamale Guruji Computer Institute</t>
  </si>
  <si>
    <t>Plot No 32 Shri Swami Samrth Nagar Mandrup, Building, Post Office Mandrup, Mandrup</t>
  </si>
  <si>
    <t>javalkote@gmail.com</t>
  </si>
  <si>
    <t>SATYAJEET COMPUTER POINT,AKLUJ</t>
  </si>
  <si>
    <t>SUJAYNAGAR, NAKA NO.1, SATYAJEET, NAKA NO.1, AKLUJ</t>
  </si>
  <si>
    <t>satycomputer@yahoo.co.in</t>
  </si>
  <si>
    <t>CAREER COMPUTER EDUCATION</t>
  </si>
  <si>
    <t>ABOVE YADAVPATIL KRUSHI KENDRA, SWAMI SAMARTH CHOUK, MAIN ROAD, MODNIMB</t>
  </si>
  <si>
    <t>dayanandsarang@rediffmail.com</t>
  </si>
  <si>
    <t>shri shivachaleshwar computer institute</t>
  </si>
  <si>
    <t>Shri Shivachaleshwar Computer Institute Nagerpalika Chowk Maindargi, 1265, Dhodamani Niwas Nager Palika Chowk Maindargi , Nager Palika Chowk, Maindargi</t>
  </si>
  <si>
    <t>audchavan@gmail.com</t>
  </si>
  <si>
    <t>Globe Computer Institute</t>
  </si>
  <si>
    <t>Jm Patel College Road, Bhandara</t>
  </si>
  <si>
    <t>globeag@rediffmail.com</t>
  </si>
  <si>
    <t>Bhandara</t>
  </si>
  <si>
    <t>Universal Computer Institute</t>
  </si>
  <si>
    <t>Shriram Nagar, Tumsar</t>
  </si>
  <si>
    <t>k_talmale@rediffmail.com</t>
  </si>
  <si>
    <t>Digital Computer Institute</t>
  </si>
  <si>
    <t>Satkar Nagar, Opp. Honda Showroom, Nagpur Road, N.H.6, Bhandara</t>
  </si>
  <si>
    <t>digitalcomputer_4@rediffmail.com</t>
  </si>
  <si>
    <t>Oss Computer Education</t>
  </si>
  <si>
    <t>Near Bus Stop Main Road ADYAL Th. Pauni Dist. Bhandara</t>
  </si>
  <si>
    <t>oss_adyal@rediffmail.com</t>
  </si>
  <si>
    <t>A-Tech Computer</t>
  </si>
  <si>
    <t>Gandhi Ward, Petrol Pump (Thana) Jawaharnagar</t>
  </si>
  <si>
    <t>kamlesh_sathawane@yahoo.co.in</t>
  </si>
  <si>
    <t>Sunrise Computer Institute</t>
  </si>
  <si>
    <t>MAIN ROAD, NEHRU WARD PAHELA</t>
  </si>
  <si>
    <t>sumitbhoyar@ymail.com</t>
  </si>
  <si>
    <t>Prism Computer Institute</t>
  </si>
  <si>
    <t>Subhash Ward, At Post-Bela</t>
  </si>
  <si>
    <t>prismcomputers39@rediffmail.com</t>
  </si>
  <si>
    <t>Discovery - Nanda Computer Education</t>
  </si>
  <si>
    <t>Near Old PSS College, State Bank Road, Near MSEB Office, Pavni</t>
  </si>
  <si>
    <t>sannanda02@yahoo.com</t>
  </si>
  <si>
    <t>Appolo Computer Institute</t>
  </si>
  <si>
    <t>Bazar Chowk Main Road, Palandur (ch)</t>
  </si>
  <si>
    <t>appolo_computer@rediffmail.com</t>
  </si>
  <si>
    <t>Niit Bhandara</t>
  </si>
  <si>
    <t>Muslim Library Square, Bhhandara</t>
  </si>
  <si>
    <t>niit.bhandara@yahoo.com</t>
  </si>
  <si>
    <t>Sunlite Computer Institute</t>
  </si>
  <si>
    <t>Rajiv Gandhi Chowk Bhandara</t>
  </si>
  <si>
    <t>sunlite_b@rediffmail.com</t>
  </si>
  <si>
    <t>Agni Computers</t>
  </si>
  <si>
    <t>RAM MANDIR ROAD , MOTHA BAZAR,PATELPURA WARD,BHANDARA</t>
  </si>
  <si>
    <t>mukeshkatakwar_13767@yahoo.com</t>
  </si>
  <si>
    <t>Shri Mahalaxmi Computer Institute</t>
  </si>
  <si>
    <t>Near bus-stop, Lakhani</t>
  </si>
  <si>
    <t>yuraj123.2008@rediffmail.com</t>
  </si>
  <si>
    <t>WAINGANGA COMPUTER INSTITUTE</t>
  </si>
  <si>
    <t>C/o Wainganga Vidhalaya &amp; Jr. College, Pauni, Bhai Talao Road, Pauni</t>
  </si>
  <si>
    <t>waingangapauni@gmail.com</t>
  </si>
  <si>
    <t>Dr. ARUN MOTGHARE MAHAVIDAYLA</t>
  </si>
  <si>
    <t>Dr. ARUN MOTGHARE MAHAVIDAYLA, Dr. ARUN MOTGHARE MAHAVIDAYLA, KONDHA-KOSRA, KONDHA-KOSRA</t>
  </si>
  <si>
    <t>drarun_motghare@rediffmail.com</t>
  </si>
  <si>
    <t>Discovery Nanda Computer Education</t>
  </si>
  <si>
    <t>Tea point Sqr, Tea point Sqr, LAKHANDUR, LAKHANDUR</t>
  </si>
  <si>
    <t>discovery_nanda@rediffmail.com</t>
  </si>
  <si>
    <t>SHREE COMPUTER EDUCATION</t>
  </si>
  <si>
    <t>NEAR ASHIRWAD TALKIES, MAIN ROAD, LAKHANDUR, LAKHANDUR</t>
  </si>
  <si>
    <t>suzyraut@ymail.com</t>
  </si>
  <si>
    <t>JITESH COMPUTER EDUCATION</t>
  </si>
  <si>
    <t>MAIN ROAD KONDHA, KOSRA</t>
  </si>
  <si>
    <t>jiteshcomputer_1212@rediffmail.com</t>
  </si>
  <si>
    <t>VISION ACADEMY</t>
  </si>
  <si>
    <t>plot no. 35/4, maturkar bhavan, mahal road to gandhi chowk, BHANDARA</t>
  </si>
  <si>
    <t>surekha_mahule@yahoo.com</t>
  </si>
  <si>
    <t>SHREE COMPUTER INSTITUTE</t>
  </si>
  <si>
    <t>Main Road JUNA Bus Stand Asgaon, At+post - Asgaon,, Borkar Complex Main Road Asgaon, ASGAON, ASGAON</t>
  </si>
  <si>
    <t>shreecomp2011@gmail.com</t>
  </si>
  <si>
    <t>Visual Information Centre</t>
  </si>
  <si>
    <t>Shop No. 15, 1st Floor, Municipal Shopping Complex, Gandhi Chowk</t>
  </si>
  <si>
    <t>wabhi05@gmail.com</t>
  </si>
  <si>
    <t>Latur</t>
  </si>
  <si>
    <t>Subodh Computer Education</t>
  </si>
  <si>
    <t>Opp Old Bus stand, Next to Post office</t>
  </si>
  <si>
    <t>dchirke@rediffmail.com</t>
  </si>
  <si>
    <t>Prachiti Computers</t>
  </si>
  <si>
    <t>207-213, Yashwantrao Chavan Complex, Ashok Hotel Chowk, Opp. Hotel Rajdhani, II floor, Main Road</t>
  </si>
  <si>
    <t>prachiti777@yahoo.com</t>
  </si>
  <si>
    <t>Rudraksh Computer Center</t>
  </si>
  <si>
    <t>Prasad Chamber Majge Nagar,kava road.</t>
  </si>
  <si>
    <t>mahesh_shenare@yahoo.co.in</t>
  </si>
  <si>
    <t>Shlok Computer Institute And Study Center</t>
  </si>
  <si>
    <t>Above SBI, Mahajan Complex, Mondha Road, Shivaji Chowk</t>
  </si>
  <si>
    <t>shlokcomputer@gmail.com</t>
  </si>
  <si>
    <t>Modern Computer Center</t>
  </si>
  <si>
    <t>Hashmi Nagar, Ausa-Latur Road</t>
  </si>
  <si>
    <t>sirgapuremubashshir@gmail.com</t>
  </si>
  <si>
    <t>Pioneer Institute of Computer Education</t>
  </si>
  <si>
    <t>Beside Saraswati School, Sanghmitra, Prakash Nagar, Latur</t>
  </si>
  <si>
    <t>Lightbird_86@yahoo.co.in</t>
  </si>
  <si>
    <t>Param Infotech</t>
  </si>
  <si>
    <t>Block No.-2, Bagwan Complex, Ring Road, Ekmat Chouk</t>
  </si>
  <si>
    <t>pparam21.11@gmail.com</t>
  </si>
  <si>
    <t>Yash Computer Education, Parli</t>
  </si>
  <si>
    <t>3rd Floor, Gaikwad Cushion works, Nath Road,Parli</t>
  </si>
  <si>
    <t>yasheducation@rediffmail.com</t>
  </si>
  <si>
    <t>Beed</t>
  </si>
  <si>
    <t>S B Computers</t>
  </si>
  <si>
    <t>SB Computers New Mondha,Majalgaon, Tq Majalgaon Dist. Beed.</t>
  </si>
  <si>
    <t>b_santosh1@rediffmail.com</t>
  </si>
  <si>
    <t>Shree Infotech, Parli</t>
  </si>
  <si>
    <t>Shop No. 11, First Floor, Behind Jain Nagari Pathsanstha, Arunoday Market, Parali-V</t>
  </si>
  <si>
    <t>shreemscit@gmail.com</t>
  </si>
  <si>
    <t>Sky Computer Centre</t>
  </si>
  <si>
    <t>Sky Computer Center Ambejogai-"Shivsmruti "Ambedkar Chowk, Netaji Road, Beed</t>
  </si>
  <si>
    <t>sky_computer16@rediffmail.com</t>
  </si>
  <si>
    <t>Sukhada Computers</t>
  </si>
  <si>
    <t>Sukhada Computers, Nathnagar,Near Shivaji Chowk,Parli VaijnathDist. Beed pin 431515</t>
  </si>
  <si>
    <t>sukhadacomputers@rediffmail.com</t>
  </si>
  <si>
    <t>Mark-1 Computer Education</t>
  </si>
  <si>
    <t>Above Damini gift center,Near Wange Hospital, Shivaji Chowk, Parli-v</t>
  </si>
  <si>
    <t>vaishali_yash1@rediffmail.com</t>
  </si>
  <si>
    <t>Nikhil Computer Education</t>
  </si>
  <si>
    <t>MANE COMPLEXBEHIND REST HOUSEVIDHYA NAGER (WEST)</t>
  </si>
  <si>
    <t>icerajan@yahoo.com</t>
  </si>
  <si>
    <t>Vijay Computers, Parli</t>
  </si>
  <si>
    <t>Opp. Dr. Rayte Hospital, Tower-Ganeshpar Road,</t>
  </si>
  <si>
    <t>a_savji@rediffmail.com</t>
  </si>
  <si>
    <t>Lotus infotech</t>
  </si>
  <si>
    <t>9-334 9-430, prashant nager,Ambajogai, Ambajogai, city</t>
  </si>
  <si>
    <t>atule_na@rediffmail.com</t>
  </si>
  <si>
    <t>C-Tech Computer Center</t>
  </si>
  <si>
    <t>Plot No 149, Village Talwada, Tq. Georai, Dist, Beed.</t>
  </si>
  <si>
    <t>sahadev.chikne@gmail.com</t>
  </si>
  <si>
    <t>GENIUS COMPUTER EDUCATION</t>
  </si>
  <si>
    <t>A/p Pimpri(BK),Sirsala Pohner Road, Mahesh Niwas, Pimpri(BK).</t>
  </si>
  <si>
    <t>vishnu.kale1@gmail.com</t>
  </si>
  <si>
    <t>bright coaching classes</t>
  </si>
  <si>
    <t>D-89 , Rameshwar Nivas, Vidyanagar, parli</t>
  </si>
  <si>
    <t>khade.prashant@gmail.com</t>
  </si>
  <si>
    <t>Shri Tambweshwar Computer Education Adas</t>
  </si>
  <si>
    <t>1154, Vasant Dhondiram Shendge, Ambajogai road, Adas, At-post Adas, Adas</t>
  </si>
  <si>
    <t>omkar.shendge@rediffmail.com</t>
  </si>
  <si>
    <t>welcome computer infotech dharur</t>
  </si>
  <si>
    <t>kaij road dharur, kaij road dharur, dharur, Dharur</t>
  </si>
  <si>
    <t>assawantamol89@gmail.com</t>
  </si>
  <si>
    <t>Mote Shikshan Sansthas Computer Training</t>
  </si>
  <si>
    <t>Vaishali Hight, 2nd floor, Malwadi Road</t>
  </si>
  <si>
    <t>mote_edu@rediffmail.com</t>
  </si>
  <si>
    <t>Shrikant Computer</t>
  </si>
  <si>
    <t>Shrikant Computers, Shop No. 3, Samarth Complex, Dhankawadi Near Last Bus Stop, Dhankawadi,</t>
  </si>
  <si>
    <t>shrikantcomputer@yahoo.com</t>
  </si>
  <si>
    <t>Ganesh Computer Training Center</t>
  </si>
  <si>
    <t>Shop No. 17, Market yard, Nira-Baramati Road, A/P-NIRA</t>
  </si>
  <si>
    <t>nitin42202@rediffmail.com</t>
  </si>
  <si>
    <t>Amol Computers</t>
  </si>
  <si>
    <t>S. No. 31, Raut Baug,DHANKAWADIDhankawadi</t>
  </si>
  <si>
    <t>amol_compu@rediffmail.com</t>
  </si>
  <si>
    <t>Satyam Hardware</t>
  </si>
  <si>
    <t>Avdhoot Plaza, Bhigwan Road, Near State Bank of India, Baramati.</t>
  </si>
  <si>
    <t>nishamali2004@yahoo.com</t>
  </si>
  <si>
    <t>Soham Computer Institute</t>
  </si>
  <si>
    <t>S.NO 20/1, DNYANSANKUL , PUNYAI NAGAR OPP.K.K.MARKET, DHANKAWADI, PUNE 43.</t>
  </si>
  <si>
    <t>sci_partners@rediffmail.com</t>
  </si>
  <si>
    <t>Khirid Computer Classes</t>
  </si>
  <si>
    <t>95/789,Laxminagar, Parvati, Near Ambedkar School, Gajanan maharaj Chowk, Pune</t>
  </si>
  <si>
    <t>rameshkhirid@gmail.com</t>
  </si>
  <si>
    <t>Leos Computer Institute</t>
  </si>
  <si>
    <t>8 Aishwarya Residency Jagtap Chowk Wanawadi</t>
  </si>
  <si>
    <t>rani_030@yahoo.co.in</t>
  </si>
  <si>
    <t>Amit Computers</t>
  </si>
  <si>
    <t>2 nd Floor, Amit Plaza, Plot no. 55 A, S.No. 215, Indraprastha, Near Annasaheb Magar College, Hadapsar,</t>
  </si>
  <si>
    <t>support@amitcomputers.org.co.in</t>
  </si>
  <si>
    <t>M/S I. T. Solutions</t>
  </si>
  <si>
    <t>Datapro Infoworld, Pune Vaibhav Theatre Compound, Hadapsar, PUNE</t>
  </si>
  <si>
    <t>vivek_vshinde@rediffmail.com</t>
  </si>
  <si>
    <t>A/p Saswad, Solanki Complex, Second Floor, Near ST Stand</t>
  </si>
  <si>
    <t>dattatraya_khedekar@yahoo.com</t>
  </si>
  <si>
    <t>P.G. Computer Institute</t>
  </si>
  <si>
    <t>77/612, Maharshi nagar, Pune</t>
  </si>
  <si>
    <t>prakash_pg@yahoo.com</t>
  </si>
  <si>
    <t>Bajirao Heights,M.G. Road, Uruli Kanchan, Tal - Haveli , Dist - Pune.</t>
  </si>
  <si>
    <t>vikas_mhetre1@rediffmail.com</t>
  </si>
  <si>
    <t>Abhinav Computers</t>
  </si>
  <si>
    <t>Abhinav Computers, Pune 36,Rajelakshme.1st floor Abhinav Society,near kakasahaeb gadgil udyan kaman,Padmavati</t>
  </si>
  <si>
    <t>abhinavasd@yahoo.co.in</t>
  </si>
  <si>
    <t>Omkar Computer Education</t>
  </si>
  <si>
    <t>Morgoan supa Road, Near S.T. Stand, Morgaon.</t>
  </si>
  <si>
    <t>omkaravinash@yahoo.co.in</t>
  </si>
  <si>
    <t>Active Computer</t>
  </si>
  <si>
    <t>A/P kunjirwadi, Yashodeep Complex, Near PMT stop, Kunjirwadi</t>
  </si>
  <si>
    <t>pravinmemane1@yahoo.co.in</t>
  </si>
  <si>
    <t>Ajinkya Classes And Computer Institute</t>
  </si>
  <si>
    <t>Sarve No. 31, Gosavi Chambers, Dhankawadi, Pune 43</t>
  </si>
  <si>
    <t>sach_sairaj@yahoo.co.in</t>
  </si>
  <si>
    <t>Excel Computer Edu.</t>
  </si>
  <si>
    <t>karkhana rd., Someshwarnagar</t>
  </si>
  <si>
    <t>tawate1@rediffmail.com</t>
  </si>
  <si>
    <t>Dhananjay Computers And Typewriting Institute</t>
  </si>
  <si>
    <t>Flat No. 2 Vinayak Apt(Neha Construction),Near Sampark Karyala</t>
  </si>
  <si>
    <t>mohite_dhananjay2009@yahoo.in</t>
  </si>
  <si>
    <t>Suyash Infotech</t>
  </si>
  <si>
    <t>2nd Floor, Ram Complex, Sopan nagar Road,Saswad</t>
  </si>
  <si>
    <t>sanilganesh@yahoo.co.in</t>
  </si>
  <si>
    <t>Uptake Computers</t>
  </si>
  <si>
    <t>Sr No 175,1st Floor Gaikwad Bldg. Near ganpati Mandir,Bhekrainagar,Hadapsar</t>
  </si>
  <si>
    <t>uptake@rediffmail.com</t>
  </si>
  <si>
    <t>Modern Computer Education</t>
  </si>
  <si>
    <t>gajara bangla,shivkrupa housing society, T.C. college road ,Baramati,bhigawan Road</t>
  </si>
  <si>
    <t>moderncomputer2005@rediffmail.com</t>
  </si>
  <si>
    <t>Rainbow Computer Education</t>
  </si>
  <si>
    <t>At Post Jejuri, Shriram Complex, Dhalewadi Road</t>
  </si>
  <si>
    <t>Nandadeep Education Society'S Nandadeep Vocational Training Centre</t>
  </si>
  <si>
    <t>NANDADDEP EDUCATION SOCIETY 272 PARVATI PUNE</t>
  </si>
  <si>
    <t>contactnandadeep@gmail.com</t>
  </si>
  <si>
    <t>At Post Parinche, Near KBP High School.</t>
  </si>
  <si>
    <t>rainbow_computers1@rediffmail.com</t>
  </si>
  <si>
    <t>Aditya Academy</t>
  </si>
  <si>
    <t>Kamthe Building, Malhar Chowk, kondhwa bk.</t>
  </si>
  <si>
    <t>abhijit.ghoman@rediffmail.com</t>
  </si>
  <si>
    <t>S. K. Computers</t>
  </si>
  <si>
    <t>18, Ushakal Hsg Society, Tarawade Wasti, Mohammadwadi Road, Hadapsar, Pune, 18, Ushakal Hsg Society,, Mohammadwadi, Mohammadwadi</t>
  </si>
  <si>
    <t>saurabhkumbhar@gmail.com</t>
  </si>
  <si>
    <t>Global Computer Acadamy</t>
  </si>
  <si>
    <t>Manjari Gavthan,Behind Balaji Printers,Near Datt Chowk Manjari(Bk)</t>
  </si>
  <si>
    <t>taklepoonam@gmail.com</t>
  </si>
  <si>
    <t>A/P-Shivnahar(Malegaon), Near Dhole Hospital, Malegaon Road, Malegaon</t>
  </si>
  <si>
    <t>tusharjdhv85@gmail.com</t>
  </si>
  <si>
    <t>A/P-Loni-Kalbhor, Loni-Station,Kadamwakwasti, M.I.T. Corner,Pune-Solapur Road,Tal-Haveli,Dist-Pune</t>
  </si>
  <si>
    <t>rbarkade06@gmail.com</t>
  </si>
  <si>
    <t>Suyash Computer Training center</t>
  </si>
  <si>
    <t>25/1, Swami Samarth Math, Ambegaon Pathar, Dhankawadi.</t>
  </si>
  <si>
    <t>shubham.pawar26@gmail.com</t>
  </si>
  <si>
    <t>2nd Floor, New BMC Bldg., Near Telephone Exchange, Opp. Railway Station, Borivli (W)</t>
  </si>
  <si>
    <t>keerti1_borivliw@rediffmail.com</t>
  </si>
  <si>
    <t>Sancom Computers</t>
  </si>
  <si>
    <t>Shop no-11, Jivanjyoti Kasturba Cr. Rd.No 1 Borivali(E)</t>
  </si>
  <si>
    <t>sancom_computers@rediffmail.com</t>
  </si>
  <si>
    <t>Cameo Computer Institute.</t>
  </si>
  <si>
    <t>11/841,Krishna sahara niketan,Jai maharashtra nagar,Tata power house,Magathane, Borivali-(E)</t>
  </si>
  <si>
    <t>camsresume@gmail.com</t>
  </si>
  <si>
    <t>1st Floor, Block No. 105, Ruby Complex, Next to Madhuram Hall, Opp. Royal Plaza, Harishankar Joshi Rd., Dahisar (E), Mumbai - 400 068</t>
  </si>
  <si>
    <t>keerti123_dahisare@rediffmail.com</t>
  </si>
  <si>
    <t>Shop No.20, Ashok Raj Bldg., Behind Sanman HOTEL,S.V. ROAD, GOREGAON (W),</t>
  </si>
  <si>
    <t>goregaon_keerti@rediffmail.com</t>
  </si>
  <si>
    <t>203/PI239, RDP 6, A wing, Kesar Plaza, MHADA Colony, Above Noble Chemist, Charkop Market, Kandivali (W), Mumbai-400 067.</t>
  </si>
  <si>
    <t>keerti123_kandivli@rediffmail.com</t>
  </si>
  <si>
    <t>Keerti Computer Inst,Shop No. 9. Sukhsagar Aprt., Akurli Cross Road No.1,Near Railway Fatak, Mangalam Dairy Lane,Kandivli (E)</t>
  </si>
  <si>
    <t>keerti_kandivlie@rediffmail.com</t>
  </si>
  <si>
    <t>Keerti Computer Institute (A Division Of Keerti Software &amp; Hardware Infotech Pvt. Ltd. )</t>
  </si>
  <si>
    <t>: - 108,1st floor, classic Heritage, opp. Charbhuja jewelers, Near Jay prakash nagar, Aarey Rd; Goregaon (E),</t>
  </si>
  <si>
    <t>keerti_goregaoneast@rediffmail.com</t>
  </si>
  <si>
    <t>Shop No.3, Sugandh CHS., Kandar Pada, Dahisar West</t>
  </si>
  <si>
    <t>keerti_dahisar@yahoo.com</t>
  </si>
  <si>
    <t>Keerti Computer Institute a division of Keerti Software &amp; Hardware Infotech Pvt. Ltd.</t>
  </si>
  <si>
    <t>C/1,, Jay CHS., , Shivaji Road, Opp. Santoshi Mata Mandir,, Kandivli (W)</t>
  </si>
  <si>
    <t>keerti_dahanukarwadi@rediffmail.com</t>
  </si>
  <si>
    <t>Shop No.5, Aadarsh Apartment, B.J. Patel Rd., Off Marve Road, Malad (W)</t>
  </si>
  <si>
    <t>kamlesh_koiri@yahoo.com</t>
  </si>
  <si>
    <t>ANIMAX ACADEMY OF MULTIMEDIA AND ANIMATION</t>
  </si>
  <si>
    <t>102, 1ST FLOOR, SAMBHAJI COMPOUND, M.G. ROAD, MUMBAI</t>
  </si>
  <si>
    <t>animaxacademy@gmail.com</t>
  </si>
  <si>
    <t>Raj Software Technology (India) Ltd.</t>
  </si>
  <si>
    <t>SHOP.NO.16, MALLANIUM TOWER, SHRI SADGURU NAGAR, MALLANIUM TOWER, DEVIPADA, BORIVALI (EAST), Mumbai</t>
  </si>
  <si>
    <t>patriraj@gmail.com</t>
  </si>
  <si>
    <t>Ideal Computer</t>
  </si>
  <si>
    <t>Behind State Bank, Shivaji Nagar, Banosa</t>
  </si>
  <si>
    <t>atc_52210001@yahoo.com</t>
  </si>
  <si>
    <t>Amravati</t>
  </si>
  <si>
    <t>Premier Computer Institute</t>
  </si>
  <si>
    <t>Shikshak colony</t>
  </si>
  <si>
    <t>atc_52210003@yahoo.com</t>
  </si>
  <si>
    <t>Unique Infotech Computer Institute</t>
  </si>
  <si>
    <t>Near Mahadeo Mandir</t>
  </si>
  <si>
    <t>tlc.amravati.chandurbazar@mkcl.org</t>
  </si>
  <si>
    <t>Gajanan Computer Academy</t>
  </si>
  <si>
    <t>Mainline Ward, main road</t>
  </si>
  <si>
    <t>atc_52210008@yahoo.com</t>
  </si>
  <si>
    <t>Shri Chakradhar Computer Institute</t>
  </si>
  <si>
    <t>Near old Bus Stand, Gadge baba market, infront of HP Gas</t>
  </si>
  <si>
    <t>atc_52210010@yahoo.com</t>
  </si>
  <si>
    <t>Icai Computer Institute</t>
  </si>
  <si>
    <t>Gayatri Nagar</t>
  </si>
  <si>
    <t>atc_52210063@yahoo.com</t>
  </si>
  <si>
    <t>Pravin Computer</t>
  </si>
  <si>
    <t>Main Road, Nandgoan Peth</t>
  </si>
  <si>
    <t>atc_52210065@yahoo.com</t>
  </si>
  <si>
    <t>Igm Computer Education</t>
  </si>
  <si>
    <t>Brahman Sabha Colony</t>
  </si>
  <si>
    <t>atc_52210080@yahoo.com</t>
  </si>
  <si>
    <t>Dekhane Computer Centre</t>
  </si>
  <si>
    <t>Near Nirmal Hospital, Main Road</t>
  </si>
  <si>
    <t>atc_52210103@yahoo.com</t>
  </si>
  <si>
    <t>Oacis Computer Technology</t>
  </si>
  <si>
    <t>Tilak Chowk behind Shani Mandir Dhamangaon Rly</t>
  </si>
  <si>
    <t>atc_52210108@yahoo.com</t>
  </si>
  <si>
    <t>Saar Computer</t>
  </si>
  <si>
    <t>Near Police Station, Gandhi Chowk, Kurha</t>
  </si>
  <si>
    <t>atc_52210110@yahoo.com</t>
  </si>
  <si>
    <t>Excellent Computers</t>
  </si>
  <si>
    <t>At Post Gurukunj Ashram</t>
  </si>
  <si>
    <t>atc_52210111@yahoo.com</t>
  </si>
  <si>
    <t>New Ray Computer</t>
  </si>
  <si>
    <t>Takkar chowk</t>
  </si>
  <si>
    <t>atc_52210116@yahoo.com</t>
  </si>
  <si>
    <t>Gangaputra Computers</t>
  </si>
  <si>
    <t>C/o Alkatai Ashokrao Sunderkar, Nangliya Nagar, Pralhadpur Shirajgaon Band</t>
  </si>
  <si>
    <t>atc_52210121@yahoo.com</t>
  </si>
  <si>
    <t>Avis Computer Institute</t>
  </si>
  <si>
    <t>Gadgebaba Market, Old Bus Stand</t>
  </si>
  <si>
    <t>atc_52210122@yahoo.com</t>
  </si>
  <si>
    <t>Unix Computers</t>
  </si>
  <si>
    <t>Unix Computer, Marwadi Pura, Jaistambh Chowk, New Town Badnera</t>
  </si>
  <si>
    <t>atc.unixcompuaters@gmail.com</t>
  </si>
  <si>
    <t>Surbhi Science Academy &amp; Computer</t>
  </si>
  <si>
    <t>Main Road, moti Nagar</t>
  </si>
  <si>
    <t>atc_52210131@yahoo.com</t>
  </si>
  <si>
    <t>Image Computer Institute</t>
  </si>
  <si>
    <t>Hande Complex, In Front Of Petrol Pump, At Po Tivasa, Dist Amravati</t>
  </si>
  <si>
    <t>surajdevtale009@rediffmail.com</t>
  </si>
  <si>
    <t>Priyam Computer Center</t>
  </si>
  <si>
    <t>Near YCMOU Building, Walgaon Road , Amravati</t>
  </si>
  <si>
    <t>mscitcenterthree@yahoo.in</t>
  </si>
  <si>
    <t>Jay Bajarang Computer Center</t>
  </si>
  <si>
    <t>Bari Pura, Juni Wasti Badnera, Amravati</t>
  </si>
  <si>
    <t>jbcom_2008@rediffmail.com</t>
  </si>
  <si>
    <t>Om Computer Education Teosa</t>
  </si>
  <si>
    <t>Near Tahcil Office, Teosa,Dist Amravati</t>
  </si>
  <si>
    <t>mohan_bhise2007@rediffmail.com</t>
  </si>
  <si>
    <t>I-Tech Advance Computer Training Center</t>
  </si>
  <si>
    <t>B/1, Near Fish O Fish, Shilangan Road , Ravi Nagar, Amravati</t>
  </si>
  <si>
    <t>atc_52210143@yahoo.com</t>
  </si>
  <si>
    <t>Zenith Computer Education Ner Pinglai</t>
  </si>
  <si>
    <t>At Po Ner Pinglai, Tah Morshi, Dist Amravati</t>
  </si>
  <si>
    <t>atc_52210146@yahoo.com</t>
  </si>
  <si>
    <t>Ceat Computer Education Center</t>
  </si>
  <si>
    <t>Main Road, Line No. 3, Vilas Nagar Amravati</t>
  </si>
  <si>
    <t>musica_deshmukh@rediffmail.com</t>
  </si>
  <si>
    <t>Sunny Infotech Paratwada</t>
  </si>
  <si>
    <t>Sahebrao Vaidhya's House, Rajnagar , Infront of PWD office,Achalpur Road , Paratwada,Tq Achalpur Dist Amravati</t>
  </si>
  <si>
    <t>atc_52210150@yahoo.com</t>
  </si>
  <si>
    <t>Specific Computer And Technical Institute</t>
  </si>
  <si>
    <t>At. Post Rasegaon Tq. Achalpur</t>
  </si>
  <si>
    <t>specificcomp@rediffmail.com</t>
  </si>
  <si>
    <t>Nikhilam Computer Institute</t>
  </si>
  <si>
    <t>At Po Benoda</t>
  </si>
  <si>
    <t>atc_52210155@yahoo.com</t>
  </si>
  <si>
    <t>Sanjeewani Computer Institute</t>
  </si>
  <si>
    <t>BALAJI TOWER,NEAR TAHASIL OFFICE</t>
  </si>
  <si>
    <t>jagdishkalbhor@gmail.com</t>
  </si>
  <si>
    <t>Speed Computer Institute Anjansingi</t>
  </si>
  <si>
    <t>At Po Anjansingi, Tah Dhamangaon Dist Amravati</t>
  </si>
  <si>
    <t>mscitcenterten@yahoo.in</t>
  </si>
  <si>
    <t>Ahilya Computer Center</t>
  </si>
  <si>
    <t>C/o Gokul Bambal, NEAR,Dandale HIG school,front of C.B.I. Banck,Tiosa</t>
  </si>
  <si>
    <t>gw_bambal@rediffmail.com</t>
  </si>
  <si>
    <t>Advait Computer Institute</t>
  </si>
  <si>
    <t>Rukmini Nagar,Amravati</t>
  </si>
  <si>
    <t>manishaadvait@rediff.com</t>
  </si>
  <si>
    <t>Archana Computer Education Dharni</t>
  </si>
  <si>
    <t>Near Jaistambha Chowk, main Road,Dharni Taluka :- Dharni, Dist:- Amravati</t>
  </si>
  <si>
    <t>sm-dharni@yahoo.com</t>
  </si>
  <si>
    <t>Siddhant Institute Of Technical Education Ner Pingalai</t>
  </si>
  <si>
    <t>Maharaja hall, In Front of Airtel Tower, Pingla Vihar, Ner Pingalai</t>
  </si>
  <si>
    <t>vipinpachpor1@gmail.com</t>
  </si>
  <si>
    <t>United Computer</t>
  </si>
  <si>
    <t>New anuradha Colony,, Badnera Road, sai nagar Amravati, Sai Nagar, Amravati</t>
  </si>
  <si>
    <t>sachinhingnekar@gmail.com</t>
  </si>
  <si>
    <t>Career Academy</t>
  </si>
  <si>
    <t>pot No.6, Uday colony, Morshi Road, chandur bazar</t>
  </si>
  <si>
    <t>careeracademy243055@gmail.com</t>
  </si>
  <si>
    <t>Siddharth Computer Institute</t>
  </si>
  <si>
    <t>Near Dental college, , Ramkrushna Colony, Dental College Road, Amravati</t>
  </si>
  <si>
    <t>alcmscitmitcon@yahoo.com</t>
  </si>
  <si>
    <t>Career Computer Academy</t>
  </si>
  <si>
    <t>FIRST FLOOR, SHASHTRI NAGAR, NEAR BUS STAND, YEODA, YEODA, YEODA</t>
  </si>
  <si>
    <t>ramdas.karale@gmail.com</t>
  </si>
  <si>
    <t>Career Computer Institute</t>
  </si>
  <si>
    <t>Block No. 101, Ambaji Towers, Ravi Nagar Chowk, Shilagan Road, Amravati</t>
  </si>
  <si>
    <t>kishor.vin@gmail.com</t>
  </si>
  <si>
    <t>Link Computer, Shirasgaon Kasaba</t>
  </si>
  <si>
    <t>At Po Shirajgaon Kasaba, At Po Shirajgaon Kasaba, At Po Shirajgaon Kasaba, At Po Shirajgaon Kasaba</t>
  </si>
  <si>
    <t>aabhate@gmail.com</t>
  </si>
  <si>
    <t>Jawanjal Computer Centre, Kholapur</t>
  </si>
  <si>
    <t>At Po Kholapur, , At Po Kholapur,, At Po Kholapur,, At Po Kholapur,</t>
  </si>
  <si>
    <t>pra.jawanjal@gmail.com</t>
  </si>
  <si>
    <t>Dynamic Computer Institute</t>
  </si>
  <si>
    <t>At Po Shirajgaon Kasaba, At Po Shirajgaon Kasaba, Shirajgaon Kasaba, At Po Shirajgaon Kasaba</t>
  </si>
  <si>
    <t>mscit2001@gmail.com</t>
  </si>
  <si>
    <t>SKYLAN COMPUTER ACADEMY</t>
  </si>
  <si>
    <t>Plot No 337, Dhammasankul, , Uttam Nagar, Mahadevkhori Road, Amravati</t>
  </si>
  <si>
    <t>skylancompacc@gmail.com</t>
  </si>
  <si>
    <t>Aditya Computers</t>
  </si>
  <si>
    <t>Near Adarsh Vidyalaya Amgaon</t>
  </si>
  <si>
    <t>aditya_itservices@rediffmail.com</t>
  </si>
  <si>
    <t>Gondiya</t>
  </si>
  <si>
    <t>PAL CHOWK,RAIL TOLY,GONDIA</t>
  </si>
  <si>
    <t>igmgondia@yahoo.com</t>
  </si>
  <si>
    <t>Optech Computer Deori</t>
  </si>
  <si>
    <t>Near Water Tank,Shitlamata Mandir</t>
  </si>
  <si>
    <t>sunil.sym@rediffmail.com</t>
  </si>
  <si>
    <t>Nirmal Computers</t>
  </si>
  <si>
    <t>Chaoudhari Bhavan ,Hirapur Road</t>
  </si>
  <si>
    <t>chhaya_cdy@rediffmail.com</t>
  </si>
  <si>
    <t>Aisect Computer Education</t>
  </si>
  <si>
    <t>Civil Line, Tadgaon Road</t>
  </si>
  <si>
    <t>atc_arjunimoregaon@rediffmail.com</t>
  </si>
  <si>
    <t>Chirayu Computers</t>
  </si>
  <si>
    <t>MAIN ROAD GAJBHIYE COMPLEX SHOP NO.22 FIRST FLOWER,AMGAON</t>
  </si>
  <si>
    <t>yelne_dh@rediffmail.com</t>
  </si>
  <si>
    <t>PBS.Net Computing Goregaon</t>
  </si>
  <si>
    <t>C/O Parvati Vocational Training Center Near Grain Market, Durga Chouk, Goregoan</t>
  </si>
  <si>
    <t>shrileela_comp@rediff.com</t>
  </si>
  <si>
    <t>VENUS CAREER ACADEMY</t>
  </si>
  <si>
    <t>Near Gayatri mandir, Ring Road Lohiya ward</t>
  </si>
  <si>
    <t>mdraikwar@rediffmail.com</t>
  </si>
  <si>
    <t>Pcei Computer Education</t>
  </si>
  <si>
    <t>Chudaman Chowk, Matatoli</t>
  </si>
  <si>
    <t>pceicomputereducation@yahoo.co.in</t>
  </si>
  <si>
    <t>Bs Computer Education</t>
  </si>
  <si>
    <t>C/O. Shri Sai Medicose, Nawegaon/Bandh.</t>
  </si>
  <si>
    <t>alc54210054@rediffmail.com</t>
  </si>
  <si>
    <t>Google Computer Education</t>
  </si>
  <si>
    <t>1St FLOOR DHANWANTARI MEDICAL</t>
  </si>
  <si>
    <t>jitubramhankar@gmail.com</t>
  </si>
  <si>
    <t>ARYAN INFOTECH DEORI</t>
  </si>
  <si>
    <t>352-1, NEAR MASJID, WARD NO. 3, DEORI</t>
  </si>
  <si>
    <t>aryaninfotech@yahoo.com</t>
  </si>
  <si>
    <t>Alfa Computers</t>
  </si>
  <si>
    <t>745, Laxmi Niwas, Satpur Colony, Satpur, Nasik</t>
  </si>
  <si>
    <t>ravi_dbhardwaj@yahoo.co.in</t>
  </si>
  <si>
    <t>Nashik</t>
  </si>
  <si>
    <t>Master Infocom</t>
  </si>
  <si>
    <t>ASG - 62, Opp. Ambad Police Station ,Ashwin nagar, Nasik</t>
  </si>
  <si>
    <t>mastercadd@rediffmail.com</t>
  </si>
  <si>
    <t>Brite Computers</t>
  </si>
  <si>
    <t>Last Lane, Nayapura, Malegaon[Nashik]</t>
  </si>
  <si>
    <t>imtiyaz_ans777@yahoo.co.in</t>
  </si>
  <si>
    <t>Adarsh Computers</t>
  </si>
  <si>
    <t>Adarsh Computer, Gajlaxmi bldg. Bela D'souza Road, Near Dr.Parag Patil Clinic, Jail Road, Nashik Road</t>
  </si>
  <si>
    <t>adarshcomp1993@yahoo.co.in</t>
  </si>
  <si>
    <t>Ascent Computer Education</t>
  </si>
  <si>
    <t>A-3 First flower, Guru Ashish Soc, Opp. Gurudwara Nr. Bytco College, Nasik Road</t>
  </si>
  <si>
    <t>ascent_iway@yahoo.com</t>
  </si>
  <si>
    <t>Infocom Computer Institute</t>
  </si>
  <si>
    <t>1 Floor, Dalawala Complex, Near Ambika Hotel, Panchavati Karanja</t>
  </si>
  <si>
    <t>infoa_04@yahoo.com</t>
  </si>
  <si>
    <t>Itct Computers</t>
  </si>
  <si>
    <t>ITCT computers, J. K. Tower, Opp. R. B. H. Kanya Vidyalaya, College Road, Malegaon</t>
  </si>
  <si>
    <t>kashyap_shah1@rediffmail.com</t>
  </si>
  <si>
    <t>Korus Computers</t>
  </si>
  <si>
    <t>Plot No. 39, Sawarkar Nagar, Front of Sangat Bar, Ashok Nagar, Satpur</t>
  </si>
  <si>
    <t>korus_kiran@yahoo.com</t>
  </si>
  <si>
    <t>New Tech Computers</t>
  </si>
  <si>
    <t>Madhavrao Patil Vyaparsankul,1st floor Near saptashrungi mandir , yeola</t>
  </si>
  <si>
    <t>yeolanewtech@yahoo.co.in</t>
  </si>
  <si>
    <t>5,ami sagar society opp to Burkule Hall, Ambad link road, Cidco</t>
  </si>
  <si>
    <t>avinash_chikhale1@yahoo.com</t>
  </si>
  <si>
    <t>Global.Com</t>
  </si>
  <si>
    <t>Behind ''SAPAT TEA' Near Pawan Nagar Bus Stop, Pawan Nagar,JD-1/22/3 Cidco Nashik</t>
  </si>
  <si>
    <t>globalbhat@rediffmail.com</t>
  </si>
  <si>
    <t>Lotus Computers</t>
  </si>
  <si>
    <t>Sai Plaza, Shop No.2, 1st Floor, Nr. Bytco College, Nashik Road, Nashik-422101.</t>
  </si>
  <si>
    <t>lotus_computers@hotmail.com</t>
  </si>
  <si>
    <t>Lifeline Computers</t>
  </si>
  <si>
    <t>N-43,CA-1/11/8 TRIMURTI CHOWK CIDCO NASHIK</t>
  </si>
  <si>
    <t>lifelinecomputer@yahoo.com</t>
  </si>
  <si>
    <t>Mahendra Computers</t>
  </si>
  <si>
    <t>COLLECTER PATTA BEHIND NISARAG HOTEL,NEAR KRISHNA MANDIR SANGMESHWAR</t>
  </si>
  <si>
    <t>mahendra_computer@yahoo.com</t>
  </si>
  <si>
    <t>Next Computers</t>
  </si>
  <si>
    <t>11, Murkute Colony, New Pandit Colony,</t>
  </si>
  <si>
    <t>nextcomputers_nashik@yahoo.co.in</t>
  </si>
  <si>
    <t>Panchavati Computer Center</t>
  </si>
  <si>
    <t>Manasi Apartment, Makhamalabad Naka Panchavati, Nashik-422003.</t>
  </si>
  <si>
    <t>janataseva@sancharnet.in</t>
  </si>
  <si>
    <t>Sam Computer Academy</t>
  </si>
  <si>
    <t>1st Floor ,Golden Towers,Sardar Patel Road</t>
  </si>
  <si>
    <t>sam_com123@rediffmail.com</t>
  </si>
  <si>
    <t>Shweta Computers</t>
  </si>
  <si>
    <t>F1-F3 Purab paschim Plaza, Next to Divya Multiplex, Trimurty Chowk, Patil Nagar CIDCO, Nasik 422008</t>
  </si>
  <si>
    <t>koushalkumar@yahoo.com</t>
  </si>
  <si>
    <t>Shree Swami Samartha Computer Institute</t>
  </si>
  <si>
    <t>At Post - Abhona,Tal - kalvan,Dist - Nashik</t>
  </si>
  <si>
    <t>patiljayvant@yahoo.co.in</t>
  </si>
  <si>
    <t>Vaishnavi Computer</t>
  </si>
  <si>
    <t>Nr. Bus Stop, At post Ghoti</t>
  </si>
  <si>
    <t>vinodkale@sify.com</t>
  </si>
  <si>
    <t>New Tech Computer</t>
  </si>
  <si>
    <t>Shop no.6-7, Karambalkar Towers, Nr. Siddhivinayak Ganesh temple, Raviwar Peth, Nasik.</t>
  </si>
  <si>
    <t>panprit@yahoo.com</t>
  </si>
  <si>
    <t>Sagar Computers</t>
  </si>
  <si>
    <t>Sagar Comouters, Lakhamapur Vivdh Karyakari Society.</t>
  </si>
  <si>
    <t>sapresuresh@yahoo.co.in</t>
  </si>
  <si>
    <t>Parth Infotech</t>
  </si>
  <si>
    <t>Ramnarayan Kabra shopping complex,1st floor,Near panchayat samiti,vinchur road,Yeola</t>
  </si>
  <si>
    <t>parthyeola@rediffmail.com</t>
  </si>
  <si>
    <t>Jayesh Computers</t>
  </si>
  <si>
    <t>Taharabad road,Patil Chal Satana</t>
  </si>
  <si>
    <t>pracom_satana@yahoo.com</t>
  </si>
  <si>
    <t>Syspro Computers</t>
  </si>
  <si>
    <t>Malegon Road, Nandgaon</t>
  </si>
  <si>
    <t>prashant_kulkarni99@yahoo.com</t>
  </si>
  <si>
    <t>Flat No 06, Bhagat Apartment, Lal Chowk Near Mahalaxmi Tempel Sinnar Dist (Nashik).</t>
  </si>
  <si>
    <t>shreecomputers.scr@gmail.com</t>
  </si>
  <si>
    <t>Wideline Computers</t>
  </si>
  <si>
    <t>4, Anntswami Apt, old saikheda Road, Near Vittal Mangal Karyalaya, Jail Road, Nasik Road</t>
  </si>
  <si>
    <t>widelinecomputers@yahoo.co.in</t>
  </si>
  <si>
    <t>Hindustan Infotech</t>
  </si>
  <si>
    <t>Paras Bunglow No. 14, B/H Suvidha Gas. Chetona Nagar, Nashik</t>
  </si>
  <si>
    <t>ashwingujarathi@rediffmail.com</t>
  </si>
  <si>
    <t>Pcit Computer Education</t>
  </si>
  <si>
    <t>A/p,Saikheda,college road</t>
  </si>
  <si>
    <t>rameshwarrajole@rediffmail.com</t>
  </si>
  <si>
    <t>Vt`S Computers</t>
  </si>
  <si>
    <t>Behind Kunde mangal Karyalaya,sfurti housing society</t>
  </si>
  <si>
    <t>vdavts@yahoo.com</t>
  </si>
  <si>
    <t>Suyash Computer Institute</t>
  </si>
  <si>
    <t>At / Po- Deola.</t>
  </si>
  <si>
    <t>suyash_deola@gmail.com</t>
  </si>
  <si>
    <t>Alpha Computers</t>
  </si>
  <si>
    <t>N-9/E-21/4, New Cidco, Ranapratap Chowk.</t>
  </si>
  <si>
    <t>alphaacompu@rediffmail.com</t>
  </si>
  <si>
    <t>Shivani Computer</t>
  </si>
  <si>
    <t>Ad Post Lahavit Tal Dist Nasthiu</t>
  </si>
  <si>
    <t>shivanimuthal@yahoo.co.in</t>
  </si>
  <si>
    <t>Ankita Computers</t>
  </si>
  <si>
    <t>Tarwala Nagar, Dindori Road</t>
  </si>
  <si>
    <t>ankita_brahmankar@yahoo.co.in</t>
  </si>
  <si>
    <t>Global Career</t>
  </si>
  <si>
    <t>1689, MHB Colony, Near Ambedkar Market.</t>
  </si>
  <si>
    <t>globalcarrier@rediffmail.com</t>
  </si>
  <si>
    <t>Atharva Computers</t>
  </si>
  <si>
    <t>Yashodhan Compex, Near S. T. Stand Surgana, A/P Tal- Surgana Dist- Nashik</t>
  </si>
  <si>
    <t>atharvacomp7@rediffmail.com</t>
  </si>
  <si>
    <t>Newsoft Computer</t>
  </si>
  <si>
    <t>2, Status Complex, Main Road, Deolali Camp</t>
  </si>
  <si>
    <t>newsoft_computers@yahoo.com</t>
  </si>
  <si>
    <t>Ekdant Computers</t>
  </si>
  <si>
    <t>Geeta Laxmi Appartment, Shop No. 20, Geeta Nagar, Dindori Road</t>
  </si>
  <si>
    <t>ekdant01@yahoo.co.in</t>
  </si>
  <si>
    <t>Sarthak Computers</t>
  </si>
  <si>
    <t>8,Navkar Plaza ,Opp,KBH High School,Malegaon Camp</t>
  </si>
  <si>
    <t>sarthak.comp@rediffmail.com</t>
  </si>
  <si>
    <t>Infosoft Computers</t>
  </si>
  <si>
    <t>Vitthal Park, (Commercial Building), Gangapur Road, Near Ashok Stambh, Nashik.</t>
  </si>
  <si>
    <t>ssssnnnpp@rediffmail.com</t>
  </si>
  <si>
    <t>LOTUS COMPUTERS TSF 4-1/2, NEAR JANALAXMI BANK, NTPS EKLAHARE COLONY</t>
  </si>
  <si>
    <t>Shree Yashgandh Computers</t>
  </si>
  <si>
    <t>SHIVTEJ HOS. SOC., BASMENT, MAHALXMI ROAD, MAIN ROAD, ADGOAN, NASHIK 3</t>
  </si>
  <si>
    <t>yashgandh@yahoo.co.in</t>
  </si>
  <si>
    <t>Siddhi Infotech</t>
  </si>
  <si>
    <t>Behind Rural Hospital,Lonari Nagar,Kopargaon Road,Yeola.</t>
  </si>
  <si>
    <t>siddhiinfotech_com@yahoo.co.in</t>
  </si>
  <si>
    <t>Sudip Computers</t>
  </si>
  <si>
    <t>S-6, Rajavi Enclave New Pandit Colony, Nashik</t>
  </si>
  <si>
    <t>ddlele@yahoo.com</t>
  </si>
  <si>
    <t>Perfect Computers</t>
  </si>
  <si>
    <t>shop no.24,Laxmi Darshan Tower,Chehadi Shiv,Nashik Road</t>
  </si>
  <si>
    <t>perfect_tuch@yahoo.co.in</t>
  </si>
  <si>
    <t>Prime-Tech Computers</t>
  </si>
  <si>
    <t>SHOP NO.11&amp; 3 DREAM SANKUL &amp; RAJ LAXMI APPT., BEHIND DESHMUKH BHAVAN, CHANDRESHWAR NAGAR, OLD-SAI KHEDA ROAD, JAIL ROAD, NASIK ROAD.</t>
  </si>
  <si>
    <t>primetech_com@rediffmail.com</t>
  </si>
  <si>
    <t>Systech Infocom Computers</t>
  </si>
  <si>
    <t>N-10, M-1/10/4, Maharana Pratap Chowk, New Cidco, Nashik-422009</t>
  </si>
  <si>
    <t>systech_786@rediffmail.com</t>
  </si>
  <si>
    <t>Dinyog Computer Institute</t>
  </si>
  <si>
    <t>At Post Mohadi, Tal. - Dindori</t>
  </si>
  <si>
    <t>dinyog@gmail.com</t>
  </si>
  <si>
    <t>Computer World</t>
  </si>
  <si>
    <t>Mahadev Nagar (Khalchi Peth) House No.695</t>
  </si>
  <si>
    <t>shital_gade73@yahoo.co.in</t>
  </si>
  <si>
    <t>Venus Computers</t>
  </si>
  <si>
    <t>Shop No.4, Behind Grampanchyat</t>
  </si>
  <si>
    <t>gawandevin@yahoo.co.in</t>
  </si>
  <si>
    <t>ahilyabhai chowk, near kalika mandir, gangapur goan gangapur</t>
  </si>
  <si>
    <t>Sunrise Infotech</t>
  </si>
  <si>
    <t>Shop No.8, Anandsagar Park, Near Filteration Plant, Tapovan Link Road, Kathe Galli,</t>
  </si>
  <si>
    <t>sunriseatc@rediffmail.com</t>
  </si>
  <si>
    <t>Destiny Computers</t>
  </si>
  <si>
    <t>A/p-Shinde</t>
  </si>
  <si>
    <t>destiny_iway@yahoo.com</t>
  </si>
  <si>
    <t>E-Tech Computer Education</t>
  </si>
  <si>
    <t>Taharabad Road, Near Hira Hardware, Dr.Nagraj Patil Building, 1st Floor, A/P Satana, Tal.Baglan, Dist.Nashik Pin-423301</t>
  </si>
  <si>
    <t>etechcomputer@hotmail.com</t>
  </si>
  <si>
    <t>Asmi Computers</t>
  </si>
  <si>
    <t>Basement, Pitruchaya Apartment, Ghankar Lane, Raviwar Peth, Nashik</t>
  </si>
  <si>
    <t>asmicomputers@gmail.com</t>
  </si>
  <si>
    <t>Yashwant Computer Education</t>
  </si>
  <si>
    <t>"Krushnachintan apt" Pune haiway,near waje petrol pump,sinnar</t>
  </si>
  <si>
    <t>pallavi.s.more@gmail.com</t>
  </si>
  <si>
    <t>Shweta Computers (Sca)</t>
  </si>
  <si>
    <t>B-36 STATE GOVT. EMPLOYEES HSG SOC. BEHIND ASHOK NAGAR LAST BUS STOP , ASHOK NAGAR , SATPUR ,NASIK -12</t>
  </si>
  <si>
    <t>Site Computer Education</t>
  </si>
  <si>
    <t>At Post Sangavi</t>
  </si>
  <si>
    <t>site_lsg@rediffmail.com</t>
  </si>
  <si>
    <t>Shivneri Computers</t>
  </si>
  <si>
    <t>FLAT NO. 2, MAHESH VIHAR, , SHIVAJI NAGAR, JAIL ROAD, NASHIK ROAD.</t>
  </si>
  <si>
    <t>shivneri_computers@yahoo.in</t>
  </si>
  <si>
    <t>Panchavati Computer</t>
  </si>
  <si>
    <t>Vrundavan Sankul, Shantinagar, Makhmalabad,</t>
  </si>
  <si>
    <t>Shop No 13, Grapecity, Aurangabad Road, Nandur Naka, Nandur</t>
  </si>
  <si>
    <t>the.one.santosh@gmail.com</t>
  </si>
  <si>
    <t>Net Computer Education</t>
  </si>
  <si>
    <t>8,Sukhdham Society,Opp St.Fransis High School,Tidke colony,Nashik</t>
  </si>
  <si>
    <t>pjnewnet@yahoo.in</t>
  </si>
  <si>
    <t>YASH COMPUTERS</t>
  </si>
  <si>
    <t>Gala No.10, Grampanchayat Complex, Vadangali , Vangali Grampanchat , Vadangali, NASHIK</t>
  </si>
  <si>
    <t>yashcomputers.ppc@gmail.com</t>
  </si>
  <si>
    <t>TANISHAQ INSTITUTE OF INFORMATION TECHNOLOGY</t>
  </si>
  <si>
    <t>SHOP NO. 1,PRATIK COMPLEX, NEAR BUS STAND, AT POST- MAKHALABAD, MAKHAMALABAD</t>
  </si>
  <si>
    <t>tanishaq.nrs@gmail.com</t>
  </si>
  <si>
    <t>ROSHAN COMPUTERS</t>
  </si>
  <si>
    <t>A/P-NANDURSHINGOTE, ROSHAN MANJIL, NASHIK-PUNA ROAD, NANDURSHINGOTE</t>
  </si>
  <si>
    <t>roshan_computers@rediffmail.com</t>
  </si>
  <si>
    <t>PRERNA BAHU-UDDESHIYA SANSTHA ,S, SHREE COMPUTEER</t>
  </si>
  <si>
    <t>PRERNA BAHU-UDDESHIYA SANSTHA'S' SHREE COMPUTER,A/PO.BOARGAON ,07 PAWAR NIVAS,BEHIND HANUMAN TEMPLE,ABHONA ROAD., 07 PAWAR NIVAS, ABHONA ROAD, BORGAON</t>
  </si>
  <si>
    <t>s.shirsath78@gmail.com</t>
  </si>
  <si>
    <t>AT/POST : GONDE, GONDE - DAPUR ROAD, SINNAR (GONDE)</t>
  </si>
  <si>
    <t>shreecomputers.nsp@gmail.com</t>
  </si>
  <si>
    <t>Tejas Computers</t>
  </si>
  <si>
    <t>KEKENAGAR A/P- BRAMHANWADE, , KEKENAGAR, NAIGAON-SHINDE ROAD, Sinnar</t>
  </si>
  <si>
    <t>nagare.prakash@yahoo.com</t>
  </si>
  <si>
    <t>Shop No., 11 &amp; 12,1st Floor, Prakash Kunj,V.N.Purav Marg, Near Akbar Alli,Opp. Vodafone Mobile Gallery,Chembur Naka</t>
  </si>
  <si>
    <t>chembur123_keerti@rediffmail.com</t>
  </si>
  <si>
    <t>Keerti Computer Institute, 173/9, Talav Co-op Hsg Society, Next To Sheetal Cinema, Near State Bank of India, LBS Marg, Kurla (W)</t>
  </si>
  <si>
    <t>keerti_kurla@rediffmail.com</t>
  </si>
  <si>
    <t>Shell Computer Academy</t>
  </si>
  <si>
    <t>F-A-7,Mukti Nagar,N.G.,Acharya Marg,Chembur,Mumbai-400 071</t>
  </si>
  <si>
    <t>shellca123@yahoo.com</t>
  </si>
  <si>
    <t>N.G. Acharya Marg, Near Natural Dairy, Road No.3, Op. Arun Niwas, Subhash Nagar, Chembur.</t>
  </si>
  <si>
    <t>keerti_chemburnew@rediffmail.com</t>
  </si>
  <si>
    <t>SH B 1 22 NEAR AB. BANK NEHRU</t>
  </si>
  <si>
    <t>vijay_uj@rediffmail.com</t>
  </si>
  <si>
    <t>47/9, Khot Chawl, Gramasth Mandal, Shivaji Nagar Gala, Takia Ward, Kurla (W), Mumbai -400 070</t>
  </si>
  <si>
    <t>Shop No. CLH-155, S.G.Barve Road, Nehru Nagar, Kurla (E), Mumbai-400024</t>
  </si>
  <si>
    <t>keerti.kurlaeast@gmail.com</t>
  </si>
  <si>
    <t>Pace Training Center Chembur</t>
  </si>
  <si>
    <t>Pace Training Center Hari Niwas Building, Gr.Floor, Postal Colony Road, Near Maa Hospital, Chembur Mumbai -71, Hari Niwas building, Postal Colony Road, Chembur</t>
  </si>
  <si>
    <t>anil.shishupal@gmail.com</t>
  </si>
  <si>
    <t>Cmh Computer Institute, Armori</t>
  </si>
  <si>
    <t>Near New Bus stop,Burdi Road, At-Post-Tal- Armori</t>
  </si>
  <si>
    <t>mukulcmh@sify.com</t>
  </si>
  <si>
    <t>Gadchiroli</t>
  </si>
  <si>
    <t>Varun Computer Academy</t>
  </si>
  <si>
    <t>SUB DISTRICT RURAL HOSPITAL SQUARE, IN FRONT OF PWD REST HOUSE</t>
  </si>
  <si>
    <t>n_shirbhayye@rediffmail.com</t>
  </si>
  <si>
    <t>Warjurkar Bhavan, Brahmapuri Road, Desaiganj, Wadsa, Gadchiroli</t>
  </si>
  <si>
    <t>dynamicj@rediffmail.com</t>
  </si>
  <si>
    <t>Shree Gajanan Computer Education</t>
  </si>
  <si>
    <t>DANSUR CHOWK, NEAR TDC OFFICE, TRASERY ROAD, AHERI</t>
  </si>
  <si>
    <t>shri_gajanan888@rediffmail.ocm</t>
  </si>
  <si>
    <t>SHREE VYANKATESH COMPUTER INSTITUTE</t>
  </si>
  <si>
    <t>Near Bomnwar collegeManoj Palarpwar complex chamorshi, Tahshi office road chamorshi, Chamorashi</t>
  </si>
  <si>
    <t>joshi.ashish19@yahoo.com</t>
  </si>
  <si>
    <t>NAVARANG PLAZA,OFFICE NO.25,TINGARE NAGAR,VISHRANTWADI</t>
  </si>
  <si>
    <t>atc67210002@gmail.com</t>
  </si>
  <si>
    <t>Com Mec Computers</t>
  </si>
  <si>
    <t>1676, BUSINESS SQUARE ,2ND FLOOR, OPP S. P. COLLEGE, SADASHIV PETH, PUNE</t>
  </si>
  <si>
    <t>atc67210005@gmail.com</t>
  </si>
  <si>
    <t>Byte Computers</t>
  </si>
  <si>
    <t>Sarpanch Wasti ,Behind Mane Hospital ,Gopalwadi Road ,Daund</t>
  </si>
  <si>
    <t>atc67210006@gmail.com</t>
  </si>
  <si>
    <t>A/P-Prerna Phata,OM Sai complex, Near Surya Jim ,Taluka Haveli,Dist-Pune,Pincode-412216 , Tal-Shirur, Dist-Pune</t>
  </si>
  <si>
    <t>atc67210011@gmail.com</t>
  </si>
  <si>
    <t>Next It</t>
  </si>
  <si>
    <t>NEXT IT, Plot No. 21, Servey No. 37/1, Near Ram Mandir, Near Father Michel Society, SantoshNagar, TingreNagar, Pune - 411015</t>
  </si>
  <si>
    <t>atc67210028@gmail.com</t>
  </si>
  <si>
    <t>Perfect Computer</t>
  </si>
  <si>
    <t>KEDGAON ST OPP.TO PDCC BANK</t>
  </si>
  <si>
    <t>atc67210029@gmail.com</t>
  </si>
  <si>
    <t>Gurudatta Computer Education</t>
  </si>
  <si>
    <t>a/p MANDAVAGAN PHARATA, TAL-SHIRUR ,DIST-PUNE</t>
  </si>
  <si>
    <t>atc67210058@gmail.com</t>
  </si>
  <si>
    <t>Creative Computers</t>
  </si>
  <si>
    <t>GRAMPANCHYAT COMPLEX TAKLI HAJI</t>
  </si>
  <si>
    <t>atc67210063@gmail.com</t>
  </si>
  <si>
    <t>Sanjivani Computer Education</t>
  </si>
  <si>
    <t>A/p- Kurkumbh, Near Primary School, Daund Road</t>
  </si>
  <si>
    <t>atc67210064@gmail.com</t>
  </si>
  <si>
    <t>Vaibhav Infotech</t>
  </si>
  <si>
    <t>Shop no-1, Gangotri Appt.,Shalimar Chowk, Daund.</t>
  </si>
  <si>
    <t>atc67210075@gmail.com</t>
  </si>
  <si>
    <t>Queen Mary`S Technical Institute For Disabled Soldiers</t>
  </si>
  <si>
    <t>Queen Mary`s Technical Institute For Disabled Soldiers Park Road,Range Hills,Khadki-Pune</t>
  </si>
  <si>
    <t>atc67210076qmti@gmail.com</t>
  </si>
  <si>
    <t>Sarathi Shikshan Prasarak Mandal</t>
  </si>
  <si>
    <t>Sarathi Shikshan Prasarak Mandal, Near Mundhwa Bridge, Khardi gaon Pune-14</t>
  </si>
  <si>
    <t>atcs67210079@gmail.com</t>
  </si>
  <si>
    <t>Elite Computers</t>
  </si>
  <si>
    <t>A/P-Welhe</t>
  </si>
  <si>
    <t>elitevelha@rediff.com</t>
  </si>
  <si>
    <t>Pixelnet Computer Education</t>
  </si>
  <si>
    <t>A/p - Pabal-Loni Road,</t>
  </si>
  <si>
    <t>Get Comp System</t>
  </si>
  <si>
    <t>1523,Ananad Shilp Building,Sadashiv Peth.</t>
  </si>
  <si>
    <t>atcs67210088@gmail.com</t>
  </si>
  <si>
    <t>Balaji Computer</t>
  </si>
  <si>
    <t>Sr.No.53/58,Yadwade Classes,Sainath Nagar,Wadgaon Sheri,Pune 14</t>
  </si>
  <si>
    <t>atcs67210089@gmail.com</t>
  </si>
  <si>
    <t>A/P Khed Shivapur,Nr Shivbhumi Vidyalaya,Tal Haveli, Dist Pune</t>
  </si>
  <si>
    <t>atcs67210091@gmail.com</t>
  </si>
  <si>
    <t>Jai Vaishnavi Computer Institute</t>
  </si>
  <si>
    <t>Shop no 2, ground floor, plot no 129, s no 34/2, dhanori, vidyanagar,pune</t>
  </si>
  <si>
    <t>atcs67210093@gmail.com</t>
  </si>
  <si>
    <t>SHRI SANTRAJ YOGI EDUCATION SANSTA</t>
  </si>
  <si>
    <t>"Trimurti Complex",Khutbav, Main Chouk, Tal Dound, Dist Pune.</t>
  </si>
  <si>
    <t>atc67210111@gmail.com</t>
  </si>
  <si>
    <t>VARAD VINAYAK INFOTECH</t>
  </si>
  <si>
    <t>SHOP NO 7, GANDAHMNAGAR, ALANDI ROAD, PUNE</t>
  </si>
  <si>
    <t>agashe.prakash@gmail.com</t>
  </si>
  <si>
    <t>GOLDEN JUBILEE TECHNICAL INSTITUTE</t>
  </si>
  <si>
    <t>647, BHAWANI PETH, , MCB/GJE TRUST'S GOLDEN JUBILEE TECHNICAL INSTITUTE, HARAKA NAGAR, PUNE</t>
  </si>
  <si>
    <t>shamsayyed@yahoo.co.in</t>
  </si>
  <si>
    <t>frequency academy of computer technology</t>
  </si>
  <si>
    <t>Shop no 27., Raviraj Heritage Apartments, Bhau Patil Road, Bopodi Pune</t>
  </si>
  <si>
    <t>rohitgaikwad777@yahoo.com</t>
  </si>
  <si>
    <t>sarathi shikshan prasarak mandal</t>
  </si>
  <si>
    <t>Sr.37, Nutan madhyamik vidyalaya, sasane colony, pune</t>
  </si>
  <si>
    <t>Auxilium welfare Centre</t>
  </si>
  <si>
    <t>S.No.14/A4 &amp; 15 Koregoan Park Lane - G, Auxilium Welfare Centre, Lane -G, Koregaon Park</t>
  </si>
  <si>
    <t>auxpune6721@gmail.com</t>
  </si>
  <si>
    <t>Shree Samarth Computer</t>
  </si>
  <si>
    <t>Sr. No. 0142,Opp-Someshwar pathsantha, Pune-Nagar Road, Lonikand.</t>
  </si>
  <si>
    <t>yogesh.pawargeet@gmail.com</t>
  </si>
  <si>
    <t>Maharashtra Computer Education</t>
  </si>
  <si>
    <t>Malthan-Bhijabal Pales, Tal-Shirur,Dist-Pune</t>
  </si>
  <si>
    <t>kailasbhosale89@gmail.com</t>
  </si>
  <si>
    <t>Shakambari Infotech &amp; Cyber Zone</t>
  </si>
  <si>
    <t>Sr. No-05, Shiv-Shankar Nivas, Mundhwa, Pune</t>
  </si>
  <si>
    <t>naikshashi.naik@gmail.com</t>
  </si>
  <si>
    <t>Laxmi Computer Education</t>
  </si>
  <si>
    <t>Near by S.T.Stand Ranjangaon Ganpati, Near by S.T.Stand Ranjangaon Ganpati, Pune - Nager Road, Ranjangaon Ganpati</t>
  </si>
  <si>
    <t>laxmicomputermscit@gmail.com</t>
  </si>
  <si>
    <t>B-205, Pranav Plaza 2nd Floor M.G.Road, Above shivsena shakha, Near Mensa Classes,Mulund (W).Mumbai-80.</t>
  </si>
  <si>
    <t>keerti.mulundwest@gmail.com</t>
  </si>
  <si>
    <t>Ranes Computer Institute</t>
  </si>
  <si>
    <t>7,Lingeshwar Apartment,Bhatwadi, Barve Nagar, Near Saraswat Bank, Ghatkopar(W)</t>
  </si>
  <si>
    <t>ranescomputer@gmail.com</t>
  </si>
  <si>
    <t>219/3107, Station Rd,opp. Saraswat Bank, Tagore Nagar, Vikhroli (E)Mumbai-400083.</t>
  </si>
  <si>
    <t>vikhroli_keerti@rediffmail.com</t>
  </si>
  <si>
    <t>Shop No -5 , Shiv Shakti heights ,Janta Society marg,Raigad Chawk, Ghatkopar (E)</t>
  </si>
  <si>
    <t>keerti_ghatkopareast@rediffmail.com</t>
  </si>
  <si>
    <t>Keerti Computer Institute (A Division Of Keerti Software &amp; Hardware Infotech Pvt. Ltd.)</t>
  </si>
  <si>
    <t>207 A, Gheewala Bldg., 2nd floor , Above Cotton King, Opp New India Co.op.Bank, M.P. Road, Mulund (E), Mumbai -400081.</t>
  </si>
  <si>
    <t>mulund.east@keerti.org</t>
  </si>
  <si>
    <t>PRATHAM INFOTECH FOUNDATION</t>
  </si>
  <si>
    <t>Pratham Community Center, Vikhroli Parksite, Pratik Society, Ambedkar Nagar, Mumbai</t>
  </si>
  <si>
    <t>prajakta.pratham@gmail.com</t>
  </si>
  <si>
    <t>Siddhi Computer Education</t>
  </si>
  <si>
    <t>Paccha Batti Naka, Sambhaji Path, Sonar Ali, Jawhar</t>
  </si>
  <si>
    <t>siddhicomputers01@gmail.com</t>
  </si>
  <si>
    <t>Thane</t>
  </si>
  <si>
    <t>Prasad Academy</t>
  </si>
  <si>
    <t>Row House No. 3, Amar Co-op. Hsg Society, Opp. Sri Ram High School Sector-3,Airoli, Navi Mumbai- 400708</t>
  </si>
  <si>
    <t>prasadacademy.airoli@gmail.com</t>
  </si>
  <si>
    <t>Nextstep Education</t>
  </si>
  <si>
    <t>Sai Baba Plaza, Shop No. 19, Plot No. 20, Sector 15, Airoli, Navi MumbaiI - 400 708</t>
  </si>
  <si>
    <t>nextstepeducation@gmail.com</t>
  </si>
  <si>
    <t>Keerti Computer Institute, Ambernath</t>
  </si>
  <si>
    <t>Plot no. 4, Satyam Naware Arcade, Opp. Navare Hospital, Shiv Mandir Road , Ambernath (E)</t>
  </si>
  <si>
    <t>ambernathkeerti@gmail.com</t>
  </si>
  <si>
    <t>Keerti Computer Institute, Kalyan (E)</t>
  </si>
  <si>
    <t>Shop No. 6, Devi Dayal Tower, B wing First Floor, Opp. Kolsewadi Police Station kalyan(E) Thane</t>
  </si>
  <si>
    <t>keerti.kalyaneast@gmail.com</t>
  </si>
  <si>
    <t>U S A Computers(P.C.Point)</t>
  </si>
  <si>
    <t>U.S.A. Computers, C/o. P.C.Point, 1st Floor, Shop No.9, Sai- Siddhi Bldg, Near Canara Bank, Opp Hotel Shree Rath, Station Road, Ambernath( E)</t>
  </si>
  <si>
    <t>usacomputersamb@gmail.com</t>
  </si>
  <si>
    <t>Atm Computer Service</t>
  </si>
  <si>
    <t>ATM Computer Service,1st Floor, Chikni pada, Opp Fine arts Photo , Tisgaon Road, Kalyan (E)</t>
  </si>
  <si>
    <t>aniletam@gmail.com</t>
  </si>
  <si>
    <t>Keerti Computer Institute, Vasai</t>
  </si>
  <si>
    <t>2nd Floor,shriniketan,above Omkar jewellers,Nr.NKGSB Bank, Opp:Rly Stn,Vasai Road (W)-401202</t>
  </si>
  <si>
    <t>keerti.vsi@gmail.com</t>
  </si>
  <si>
    <t>Keerti Computer Institute, Dombivli (W)</t>
  </si>
  <si>
    <t>Shop No 1, Ground Floor, Sai Paradise Building, G Gupte Road, Vishnunagar, Dombivli (W)</t>
  </si>
  <si>
    <t>dombivliwkeerti@gmail.com</t>
  </si>
  <si>
    <t>Keerti Computer Institute, Badlapur (W)</t>
  </si>
  <si>
    <t>1st Floor, Daddy's Champion Health Club, Gymnasium, Near ST Bus Stand, Badlapur (W)</t>
  </si>
  <si>
    <t>badlapurkeerti@gmail.com</t>
  </si>
  <si>
    <t>Keerti Computer Institute, Kalyan (W1)</t>
  </si>
  <si>
    <t>Shop No.1, Gr.Floor, Pandit Niwas Near Khidki Vada, Ramwadi, Tilak Chowk, Kalyan (West),</t>
  </si>
  <si>
    <t>kalyanwkeerti@gmail.com</t>
  </si>
  <si>
    <t>Keerti Computer Institute, Virar</t>
  </si>
  <si>
    <t>205, Kapadia House,Next to Plat form No 1,Behind S.T Depot,Virar (W)</t>
  </si>
  <si>
    <t>keerti.vir@gmail.com</t>
  </si>
  <si>
    <t>Keerti Computer Institute, Vashi</t>
  </si>
  <si>
    <t>Shop No - 428, `A` wing, second floor, Vashi plaza, sector-17, Vashi</t>
  </si>
  <si>
    <t>zamirkapdi@gmail.com</t>
  </si>
  <si>
    <t>Kasat Technologies</t>
  </si>
  <si>
    <t>16, Uma Nilkanth Bldg.,Mahim Road,Palghar</t>
  </si>
  <si>
    <t>kasattechnologies@gmail.com</t>
  </si>
  <si>
    <t>Global Career Academy</t>
  </si>
  <si>
    <t>Aasha park Gala No. 15, Near Model Eng, Sch. Pandurang wadi, Dombivli(E)</t>
  </si>
  <si>
    <t>varshayeolekar@gmail.com</t>
  </si>
  <si>
    <t>Flash Computer Education</t>
  </si>
  <si>
    <t>Basment , Krishna Leela Apt.,BHATIA Chowk NETAJI-KURLA rd.,NEAR SHANTI PRAKASH STATUE, ULHASNAGAR-421004.</t>
  </si>
  <si>
    <t>flashcomputereducation@gmail.com</t>
  </si>
  <si>
    <t>Unicorn Computer Education</t>
  </si>
  <si>
    <t>Unicorn Computer,Shop No.5, Ibrahim Tower, Near Ashok Raaj Electronics, Station Road, Bhayandar (W)</t>
  </si>
  <si>
    <t>uce.education93@gmail.com</t>
  </si>
  <si>
    <t>Siddhakala Computer Education</t>
  </si>
  <si>
    <t>SHOP NO.3, GANGARAM PARK, KHAREGAON, KALWA (W),THANE</t>
  </si>
  <si>
    <t>ravindrasolkar@gmail.com</t>
  </si>
  <si>
    <t>Vini Computers</t>
  </si>
  <si>
    <t>102, 1st Floor, Rajhans Bldg, Above Rajmal Lakhichand Jewellers, Opp Gaondevi Bus Depot, Naupada, Thane(W)</t>
  </si>
  <si>
    <t>vinicomputers@gmail.com</t>
  </si>
  <si>
    <t>D Infotech Computer Institute</t>
  </si>
  <si>
    <t>G/1, Om Shree Swami Samarth CHS, Veer Savarkar Nagar, Thane (W)</t>
  </si>
  <si>
    <t>comdelta4@gmail.com</t>
  </si>
  <si>
    <t>Pentasoft Technologies</t>
  </si>
  <si>
    <t>30, Ground Floor, Janardan Arcade, Main Rd., Opp. Bank of Baroda, Dahnau Rd., Dahanu 401 602</t>
  </si>
  <si>
    <t>jinesh.mail@gmail.com</t>
  </si>
  <si>
    <t>Impact Computer Education</t>
  </si>
  <si>
    <t>Shop No. 1, Saket Tower, Mhasoba Chowk, Kolsewadi, Kalyan (e)</t>
  </si>
  <si>
    <t>impactice@gmail.com</t>
  </si>
  <si>
    <t>Apeksha Computers</t>
  </si>
  <si>
    <t>At / Post Kasa ( Behind Government Hospital ), Tal Dahanu</t>
  </si>
  <si>
    <t>apekshacomputers@gmail.com</t>
  </si>
  <si>
    <t>Shree Dattakrupa Computer Academy</t>
  </si>
  <si>
    <t>Shop No.12, Grampanchayat Vyapari Sankul, Main Rd., Murbad</t>
  </si>
  <si>
    <t>mohangadge101@gmail.com</t>
  </si>
  <si>
    <t>Keerti Computer Institute, Palghar</t>
  </si>
  <si>
    <t>Gala No.34, Ambar Shopping Mall, 1st floor, Nr. Bhaji market, Palghar (W)</t>
  </si>
  <si>
    <t>keerti.palghar@gmail.com</t>
  </si>
  <si>
    <t>Acme Educational &amp; Social Institute</t>
  </si>
  <si>
    <t>ACME institute, 2nd Floor ,Manikpur-Chulna Road, Vasai (w), Dist- Thane 401202</t>
  </si>
  <si>
    <t>acme.inst@gmail.com</t>
  </si>
  <si>
    <t>Art Infotech Computer Education</t>
  </si>
  <si>
    <t>ART INFOTECH COMPUTER EDUCATION RADHIKA APARTMENT, SHOP NO 6, GROUND FLOOR, NEAR ST. MARY'S SCHOOL, CHAKKI NAKA, KALYAN (E) - 421306</t>
  </si>
  <si>
    <t>2008infotech@gmail.com</t>
  </si>
  <si>
    <t>34, 2nd Floor, Thakur Arcade, Opp. Virar Railway Station, Virar(W)</t>
  </si>
  <si>
    <t>Light pada, Near Ratnadeep Build., Satpati. Palghar</t>
  </si>
  <si>
    <t>suyashcomputerssatpati@gmail.com</t>
  </si>
  <si>
    <t>Ace Computer Systems</t>
  </si>
  <si>
    <t>At &amp; Post-Manor Fahim Apt., Gala no-7, near manor post Office, Tal-Palghar, Dist-Thane, Pin code-401403.</t>
  </si>
  <si>
    <t>acecomputersystems@gmail.com</t>
  </si>
  <si>
    <t>Keerti Computer Institute, Ulhasnagar</t>
  </si>
  <si>
    <t>Shop No.8, Prabhudarshan Aprt., Behind Fire Brigade, Near Hotel Shiv sagar, Netaji Kurla Road, Ulhas Nagar -5</t>
  </si>
  <si>
    <t>keerti.ulhasnagar@rediffmail.com</t>
  </si>
  <si>
    <t>Hrishi Computer Education</t>
  </si>
  <si>
    <t>207, Vardhaman Shopping Center, Abv. Tungareshwar Sweet Mart, Vasai Station</t>
  </si>
  <si>
    <t>hrishicomputersbhosale@gmail.com</t>
  </si>
  <si>
    <t>Ventura Informatics Institute</t>
  </si>
  <si>
    <t>Above SBI Bank, 786(A), NH-8, Talasari</t>
  </si>
  <si>
    <t>venturainfoins@gmail.com</t>
  </si>
  <si>
    <t>Keerti Computer Institute, Mira Road</t>
  </si>
  <si>
    <t>Shop-6, Shanti Enclave Bldg, Near Mira road Station, Mira Road (East)-401107</t>
  </si>
  <si>
    <t>keerti.miraroad@gmail.com</t>
  </si>
  <si>
    <t>Om Computers</t>
  </si>
  <si>
    <t>11, Indrapast Complex, Chinchani Rd. Vangoan (W)</t>
  </si>
  <si>
    <t>omcomputersmscit@gmail.com</t>
  </si>
  <si>
    <t>Apeksha Computers, Ground Floor,Sai Suman Apartment Bldg, Wada Road,Vikramgad. Pin 401605.</t>
  </si>
  <si>
    <t>apekshacomputersvikramgarh@gmail.com</t>
  </si>
  <si>
    <t>Kumawat Academy</t>
  </si>
  <si>
    <t>Shop No. 2, gr. floor, CHANDRAMA Co-op.hsg.scty.ltd. , Govind Bachhaji Road,Near Dagadi School, Charai ,Thane(W). 400602</t>
  </si>
  <si>
    <t>kumawatacademy@gmail.com</t>
  </si>
  <si>
    <t>Keerti Computer Institute, Nallasopara</t>
  </si>
  <si>
    <t>Shop No.5 &amp;6, Yashomangal Shopping Centre, 1St Floor, Opp. Stamp Duty Office</t>
  </si>
  <si>
    <t>keerti.nalasopara@gmail.com</t>
  </si>
  <si>
    <t>Creative Computer Institute, Talasari</t>
  </si>
  <si>
    <t>Jangal kamgar society, Talasari, udhava road, opp.post office, Tal-talasari</t>
  </si>
  <si>
    <t>creative.talasari@gmail.com</t>
  </si>
  <si>
    <t>Vedastu Infotech</t>
  </si>
  <si>
    <t>Shop No 1, Vijeta Society, Station Cross Road, Near Monginis Cake Shop, Thakurli [East]</t>
  </si>
  <si>
    <t>vedastuinfotech@gmail.com</t>
  </si>
  <si>
    <t>VRComputer Academy</t>
  </si>
  <si>
    <t>Shop no.2, Phase 8, Vasant leela, Mahalaxmi shopping center, Godbunder road, Wagbill</t>
  </si>
  <si>
    <t>tanmayshinge@gmail.com</t>
  </si>
  <si>
    <t>Net Space Net Cafe &amp; Computer Institute</t>
  </si>
  <si>
    <t>Gala no.1. Ashok apartment, Kap Alley Juna S.T. Stand, Dandekarwadi post office, Bhiwandi</t>
  </si>
  <si>
    <t>netspace.institute@gmail.com</t>
  </si>
  <si>
    <t>Shree Education Academy</t>
  </si>
  <si>
    <t>shop no.11, , manassarovar co.hos. soc., opp Mohindar Kabulsingh school, KALYAN</t>
  </si>
  <si>
    <t>shreecom_kalyan@rediffmail.com</t>
  </si>
  <si>
    <t>Divine Computers</t>
  </si>
  <si>
    <t>G-6, Regina Apartment, Plot No.18, Sector 20D, Airoli-Thane -400708.</t>
  </si>
  <si>
    <t>divinecomputers@live.in</t>
  </si>
  <si>
    <t xml:space="preserve">Question :- Using Sort option sort District column A to Z and then by Totoal Column Largest to Smallest order </t>
  </si>
  <si>
    <t>Centre Code</t>
  </si>
  <si>
    <t xml:space="preserve">Question :- Using "VLOOKUP" function find out these values "Center name", "District", "Total" With the Healp of "Q17" Sheet. </t>
  </si>
  <si>
    <t>Sai Computer Education,ahmednanagrNear M.P Society,Market Yard Postal/Zip Code: 413705 Taluka: Rahuri</t>
  </si>
  <si>
    <t>ASRA towers, Chikali Road, Buldhana Tah &amp; Dist Buldhana Postal/Zip Code: 443001 Taluka: Buldhana</t>
  </si>
  <si>
    <t>Bhalchandra Nagar, Kambli Galli, Petkar Building IInd Floor Postal/Zip Code: 416602 Taluka: Kankavli</t>
  </si>
  <si>
    <t>Shop No.1, Plot No.40, Aalay Apartment, Datar Colony, Bhandup (E) Postal/Zip Code: 400042 Taluka: Kurla</t>
  </si>
  <si>
    <t>6, Bhagyarekha Bldg, Opp. Shivaji Hospital Kalwa Postal/Zip Code: 400605 Taluka: Thane</t>
  </si>
  <si>
    <t>11/1,mangalwar Peth,Shivganga Mandir Road,Solapur Postal/Zip Code: 413002 Taluka: Solapur(n)</t>
  </si>
  <si>
    <t>Vaidya Building, Ground floor, Opp. St.John School`s main entrance,Old Mumbai Road,Thane(W) Postal/Zip Code: 400601 Taluka: Thane</t>
  </si>
  <si>
    <t>Solanki Sadan, 1st floor, Room No. 8, Shivaji Path, Thane (W) Postal/Zip Code: 400601 Taluka: Thane</t>
  </si>
  <si>
    <t>Opp. Janata vidyalaya A/P:Abhona,Tal:Kalwan Postal/Zip Code: 423502 Taluka: Kalvan</t>
  </si>
  <si>
    <t>106/B, Guruwar Ward, Bohri Lane, Malegaon Postal/Zip Code: 423203 Taluka: Malegaon</t>
  </si>
  <si>
    <t>New Godbole Plots,Akola Postal/Zip Code: 444002 Taluka: Akola</t>
  </si>
  <si>
    <t>459,Raviwar Peth,Opp.Malhar Get Police Chowki,Gujrani Sankul Postal/Zip Code: 422001 Taluka: Nashik</t>
  </si>
  <si>
    <t>27,Pramod colony,Shankar nagar road,Rajapeth Postal/Zip Code: 444606 Taluka: Amravati</t>
  </si>
  <si>
    <t>25,26,P.E.,Tatya Super Market,Savda Road, Postal/Zip Code: 425508 Taluka: Raver</t>
  </si>
  <si>
    <t>Plot no 2, Natraj Society ,Karvenagar Pune Postal/Zip Code: 411052 Taluka: Haveli</t>
  </si>
  <si>
    <t>1704, Savitri Kunj, Kenwadekar Niwas, Somwar Peth Postal/Zip Code: 416606 Taluka: Malvan</t>
  </si>
  <si>
    <t>Near ganesh temple,In front of SBI branch,Old city Postal/Zip Code: 444002 Taluka: Akola</t>
  </si>
  <si>
    <t>13, RASIKLAL PATEL NAGAR, ENGINEERING COLLEGE ROAD, NEAR NIMZARI NAKA, OPP. 4 BUNGLOWS, AT&amp;PO-SHIRPUR Postal/Zip Code: 425405 Taluka: Shirpur</t>
  </si>
  <si>
    <t>Behind Jain Bhavan, C/o B.N.Nimbalkar House, Balaji Ward Postal/Zip Code: 442402 Taluka: Chandrapur</t>
  </si>
  <si>
    <t>Near S.T. Stand Postal/Zip Code: 413109 Taluka: Malshiras</t>
  </si>
  <si>
    <t>Guru Krupa, Chintamani Nagar, Handewadi Road, Opp. jain Township, Hadpsar Postal/Zip Code: 411028 Taluka: Haveli</t>
  </si>
  <si>
    <t>Kamgar Bhavan, Ramaanand Nagar, Kirloskarwadi Postal/Zip Code: 416308 Taluka: Palus</t>
  </si>
  <si>
    <t>3rd Floor, Tulasi Complex, Opp. Ravidarshan Bldg., Near Sadhana Sah. Bank, Pune-Solapur Road, Gadital, Hadapsar, Pune-28. Postal/Zip Code: 411028 Taluka: Haveli</t>
  </si>
  <si>
    <t>207/19, Gururaj,Vitthal Rakhumai Hsg soc, A.V.Apte Colony, Sinhagad Road, Hingne (Khurd) Pune Postal/Zip Code: 411051 Taluka: Haveli</t>
  </si>
  <si>
    <t>House No.2, Lbs Nagar, Near Dr.Kulkarni Hospital, Khopoli Postal/Zip Code: 410203 Taluka: Khalapur</t>
  </si>
  <si>
    <t>2nd Floor, Kamal Kunj bldg, Central Avenue Road, Chembur Postal/Zip Code: 400071 Taluka: Kurla</t>
  </si>
  <si>
    <t>N-42-C-E3-28-6, Shiv Shakti Nagar, Near Trimurti Chowk, ITI Road, Opp. Ajinkya Village, Cidco-4 Postal/Zip Code: 422008 Taluka: Nashik</t>
  </si>
  <si>
    <t>2nd.Floor Shri Prithvi Complex,. Near Janseva Sah. Bank Sasane Nagar Postal/Zip Code: 411028 Taluka: Haveli</t>
  </si>
  <si>
    <t>202,Sudarshan Apt-Nr.Flyover Bridge Near Tiranga hotel, Above Ramesh dying, Paud phata,Paud road.Pune38 Postal/Zip Code: 411038 Taluka: Haveli</t>
  </si>
  <si>
    <t>Durgakesh Building, Deshmukh Lane, A/P Chakan, Tal. Khed (Rajgurunagar), Postal/Zip Code: 410501 Taluka: Khed</t>
  </si>
  <si>
    <t>C-18, 1st Wing, Bhosale Garden, Hadapsar Postal/Zip Code: 411028 Taluka: Haveli</t>
  </si>
  <si>
    <t>340/341, Rasta Peth, Prerna Society,C-Wing Basement, Vijay Shanti Arcade Postal/Zip Code: 411011 Taluka: Haveli</t>
  </si>
  <si>
    <t>101, Shivganga Chambers, Appa Balwant Chowk, Nr. Prabhat Talkies Postal/Zip Code: 411002 Taluka: Haveli</t>
  </si>
  <si>
    <t>Sai Shopping Complex, First Floor - 108-109, Chitralaya, Tarapur Road, Boisar Postal/Zip Code: 401504 Taluka: Palghar</t>
  </si>
  <si>
    <t>Yashovardhan Apts., Near Gavdevi Temple, R G Gadkari Road Postal/Zip Code: 410206 Taluka: Panvel</t>
  </si>
  <si>
    <t>633/2/D/1, Unity Heights, Nr.,Bharat Jyoti Bus Stop, Bibwewadi Postal/Zip Code: 411037 Taluka: Haveli</t>
  </si>
  <si>
    <t>D/207 Bussiness Court, Mukundnagar pune 37 Postal/Zip Code: 411037 Taluka: Haveli</t>
  </si>
  <si>
    <t>1st Floor, Karad-Chiplun Road, Near New ST Stand. Tal: Patan, Dist: Satara Postal/Zip Code: 415206 Taluka: Patan</t>
  </si>
  <si>
    <t>8-B, Satyabodh, Sunderbaug, Dapodi Postal/Zip Code: 411012 Taluka: Haveli</t>
  </si>
  <si>
    <t>Behind B.H.J. college Vasant Nagar Postal/Zip Code: 441614 Taluka: Gondiya</t>
  </si>
  <si>
    <t>Shop No.6, Nirdhar Co-op Hsg. Soc., Pant Nagar, Ghatkopar (E) Postal/Zip Code: 400075 Taluka: Kurla</t>
  </si>
  <si>
    <t>C/o Matrubhoomi Mahavidyalaya, Behind LIC Office, Degloor Road Postal/Zip Code: 413517 Taluka: Udgeer</t>
  </si>
  <si>
    <t>S-247, Shree Sadan, Sector No - 4, Shridhar Hospital Lane, Airoli Postal/Zip Code: 400708 Taluka: Thane</t>
  </si>
  <si>
    <t>Shop no-5, Irani Chawl, Dattaram Lad Marg,Kalachowki Postal/Zip Code: 400033 Taluka: Mumbai</t>
  </si>
  <si>
    <t>K. M. E. Societys Aqueel Mushtaque Faqih Computer centre, Rais High school campaus,Thane Road, Bhiwandi. Postal/Zip Code: 421302 Taluka: Bhiwandi</t>
  </si>
  <si>
    <t>56/2561, Gandhi Nagar, Near M. G. Cricket Club Postal/Zip Code: 400051 Taluka: Mumbai</t>
  </si>
  <si>
    <t>Madhavrao Patil Vyaparsankul,1st floor Near saptashrungi mandir , yeola Postal/Zip Code: 423401 Taluka: Yeole</t>
  </si>
  <si>
    <t>4, 1st Floor, Nagarpalika Shopping Centre,New Nagar Road, Sangamner Postal/Zip Code: 422605 Taluka: Sangamner</t>
  </si>
  <si>
    <t>16, Uma Nilkanth Bldg.,Mahim Road,Palghar Postal/Zip Code: 401404 Taluka: Palghar</t>
  </si>
  <si>
    <t>'Aishwarya Residecy', Shop. No. 2, Near Karad Urban Bank Building, Laxminagar. Tal: Phaltan, Dist: Satara Postal/Zip Code: 415523 Taluka: Phaltan</t>
  </si>
  <si>
    <t>Yadav Vyapar Bhawan, 2nd floor, 602, Shukrawar Peth, Shivaji Road, Pune Postal/Zip Code: 411002 Taluka: Haveli</t>
  </si>
  <si>
    <t>Vaidya Wada,Civil Lines Postal/Zip Code: 444803 Taluka: Daryapoor</t>
  </si>
  <si>
    <t>201,2ND FLOOR, LUCKY PALACE, ABOVE AXIS BANK, NAVGHAR, VASAI RD(w),PIN 401202 Postal/Zip Code: 401202 Taluka: Vasai</t>
  </si>
  <si>
    <t>Sir Elly Kadoori School &amp; Jr. College,Shivdas Chapsi Marg,Tadwadi Postal/Zip Code: 400010 Taluka: Mumbai</t>
  </si>
  <si>
    <t>Darshan Complex, Basement, Near S.T. Stand, Main Road. Tal: Khatav, Dist: Satara. Postal/Zip Code: 415102 Taluka: Khatav</t>
  </si>
  <si>
    <t>'MITCON Prabodhini, 1st Floor, Behind DIC Office,Agriculture College Campus,Shivajinagar,SHIVAJINAGAR Postal/Zip Code: 411005 Taluka: Haveli</t>
  </si>
  <si>
    <t>Sarswati Bhavan Vijaygad, Near Bus Stand Postal/Zip Code: 431714 Taluka: Kandhar</t>
  </si>
  <si>
    <t>shivaji Nagar Postal/Zip Code: 431401 Taluka: Parbhani</t>
  </si>
  <si>
    <t>Basement 6 ,7, Mirza Shopping Centre, Opp. Railway Bridge, Virar E - 401305 Postal/Zip Code: 401305 Taluka: Vasai</t>
  </si>
  <si>
    <t>Sali lane,Near Nagar palika,Yeola Postal/Zip Code: 423401 Taluka: Yeole</t>
  </si>
  <si>
    <t>Killa vibhag,karmala Postal/Zip Code: 413203 Taluka: Karmala</t>
  </si>
  <si>
    <t>Plot No 43, Sector 19, Nerul, Navi Mumbai Postal/Zip Code: 400706 Taluka: Thane</t>
  </si>
  <si>
    <t>Ratnadeep Corner, B wing, Ground Floor, Near Canara Bank, Tilak Lane Naka, Ratnagiri Postal/Zip Code: 415612 Taluka: Ratnagiri</t>
  </si>
  <si>
    <t>6,vijaywadi,Hanuman Chowk,opp,Police chowki,L.T.road,Mulund,(E), Mumbai. Postal/Zip Code: 400081 Taluka: Kurla</t>
  </si>
  <si>
    <t>Soft-Tech Computers,201, Satshil Complex, Hutatma Chowk, Palghar. Postal/Zip Code: 401404 Taluka: Palghar</t>
  </si>
  <si>
    <t>Mahajan Building, In Front of BDCC Bank, Near Bank Of Maharashtra, Postal/Zip Code: 443001 Taluka: Buldhana</t>
  </si>
  <si>
    <t>IITCP, 40, 3rd Floor, Bismilla Bldg, Above Pinge`s Classes, Opp. Dadar Rly. Station, Dadar(W), Mumbai - 28. Postal/Zip Code: 400028 Taluka: Mumbai</t>
  </si>
  <si>
    <t>Near State Bank of Hydrabad, Nagar Road, Beed Postal/Zip Code: 431122 Taluka: Beed</t>
  </si>
  <si>
    <t>98,CHAITNYA NAGAR, NARI ROAD,opp ramai buddhha vihar Postal/Zip Code: 440026 Taluka: Nagpur</t>
  </si>
  <si>
    <t>Shop No. 10, Krishna Complex, Ghee Bazar Postal/Zip Code: 425412 Taluka: Nandurbar</t>
  </si>
  <si>
    <t>Shree Vinayak Sankul, Tapadiya Nagar,Akola Postal/Zip Code: 444001 Taluka: Akola</t>
  </si>
  <si>
    <t>Near Ceat Tyre Shoppe, Nagpur Road, Civil Line, Chandrapur. Postal/Zip Code: 442401 Taluka: Chandrapur</t>
  </si>
  <si>
    <t>Mahatma Phule School Complex, Opp. MSEB Division Office, Jintur Road Parbhani. Postal/Zip Code: 431401 Taluka: Parbhani</t>
  </si>
  <si>
    <t>Near T V Centre Postal/Zip Code: 413501 Taluka: Osmanabad</t>
  </si>
  <si>
    <t>11, Parimal, Near Wai Urban Bank, Krishnanagar, Satara Koregaon Road Tal: Satara, Dist: Satara Postal/Zip Code: 415003 Taluka: Satara</t>
  </si>
  <si>
    <t>Mayur Computer,Plot No.62, Room No.21, Gharkul Hsg. Soc. Ltd., Behind Swami Vivekand International School, Gorai-1, Borivali-(W). Postal/Zip Code: 400091 Taluka: Boriwali</t>
  </si>
  <si>
    <t>Pethpura ward No.3, A/P Hiwarkhed Postal/Zip Code: 444103 Taluka: Telhara</t>
  </si>
  <si>
    <t>Shree Talkies chawk, Shegaon tah Shegaon Dist Buldhana Postal/Zip Code: 444203 Taluka: Shegaon</t>
  </si>
  <si>
    <t>Civil Colony, Behind Bus Stand, Deulgaonraja Tah Deulgaon Raja Dist Buldhana Postal/Zip Code: 443204 Taluka: Deulgaonraja</t>
  </si>
  <si>
    <t>SANJAY GANDHI BY-PASS ROAD, DURGA CHOWK, JALGAON JAMOD, AT+PO+TQ:- JALGAON JAMOD, DIST:-BULDHANA - 443402 Postal/Zip Code: 443402 Taluka: Jalagaon</t>
  </si>
  <si>
    <t>Sahayog Society, Prashant Niwas Nandura Tah Nandura Dist Buldhana Postal/Zip Code: 443404 Taluka: Nandura</t>
  </si>
  <si>
    <t>Swanand Prof. Colony, A/P Pandharkawada Postal/Zip Code: 445302 Taluka: Kelapur</t>
  </si>
  <si>
    <t>Samarthwadi,A/P Yawatmal Postal/Zip Code: 445001 Taluka: Yavatmal</t>
  </si>
  <si>
    <t>Near Prasad Printing, Wamanghat Road, A/P Wani Postal/Zip Code: 445304 Taluka: Vani</t>
  </si>
  <si>
    <t>52, Jawahar colony, Near Runmochan Ganesh Mandir, ,Aurangabad Postal/Zip Code: 431005 Taluka: Aurangabad</t>
  </si>
  <si>
    <t>25, Chatrapati colony,Near Tasil office, Old Jalna, A/P Jalna Postal/Zip Code: 431213 Taluka: Jalna</t>
  </si>
  <si>
    <t>Flat No. 9, 'C' Wing, 3rd Floor, Vivina Society, Near Andheri Station bus depot, Opp. Railway station Andheri (W), Postal/Zip Code: 400058 Taluka: Andheri</t>
  </si>
  <si>
    <t>C1, Rajkamal Co.Hos.Society Near Hindusabha Hospital, Ghatkopar (w). Postal/Zip Code: 400086 Taluka: Kurla</t>
  </si>
  <si>
    <t>16, GuruKrupa Prasad Estate, Near Amarpali BMC Bldg, Tagore Nagar - 1, Station Road, Vikhroli (E), Mumbai - 83. Postal/Zip Code: 400083 Taluka: Kurla</t>
  </si>
  <si>
    <t>Shop No. 33, Pipermintwala Estate, Opp. Gangar Eye Nation, L.B.S Road, Bhandup (w). Postal/Zip Code: 400078 Taluka: Kurla</t>
  </si>
  <si>
    <t>Shop No.12, Krishna CHS, Opp. Sona Cinema ,Near HDFC Bank, Shantivan Boriwali(E) Postal/Zip Code: 400066 Taluka: Boriwali</t>
  </si>
  <si>
    <t>1st flr., Opp. Samarth Hospital, Bandrekarwadi, Jogeshwari(E) Postal/Zip Code: 400060 Taluka: Andheri</t>
  </si>
  <si>
    <t>Shop No 5, Shree Siddh Rameshwar Chhaya, Plot No B-8, Sector-20, Opp Goodwill Arcade, Nerul Postal/Zip Code: 400706 Taluka: Thane</t>
  </si>
  <si>
    <t>Room No-9,1st Floor, V.R.D.Bldg, Ayurvedic Hospital Compound, Next to Our lady High School, Near Sion Rly Stn.Sion, Mumbai - 400022 Postal/Zip Code: 400022 Taluka: Kurla</t>
  </si>
  <si>
    <t>Shop No.7,Ambani Cottage,Near Pushpapark Highway Busstop,Kurar,Malad-e,Mumbai. Postal/Zip Code: 400097 Taluka: Boriwali</t>
  </si>
  <si>
    <t>3 A, Shiv Ashish Apartment,1St Floor, Kelkar Road,Opp. C.K.P. Bank, Dombivli (E)Dis:Thane- 421201 Postal/Zip Code: 421201 Taluka: Kalyan</t>
  </si>
  <si>
    <t>Abhas, 1st floor, Oak Baug, New stn. road, Kalyan (W) Postal/Zip Code: 421301 Taluka: Kalyan</t>
  </si>
  <si>
    <t>401,402 4th floor , prestige Chamber, Opp Mourya Hotel,Opp Thane Station Postal/Zip Code: 400602 Taluka: Thane</t>
  </si>
  <si>
    <t>102 - A, Vasundhara Apt., Navghar Rd.,Opp.Rly Stn.,Nr.Tirupati Gas service,Bhayander (E) Postal/Zip Code: 401105 Taluka: Thane</t>
  </si>
  <si>
    <t>2nd floor. Bhagwandas Mansion, Shivaji chowk, Kalyan (W) Postal/Zip Code: 421301 Taluka: Kalyan</t>
  </si>
  <si>
    <t>Padhye wadi, Opp Bank of India, Alibag, Raigad Postal/Zip Code: 402201 Taluka: Alibag</t>
  </si>
  <si>
    <t>Near Riddhi Siddhi Supermarket,Bajrang Chowk Narkesari Ward Postal/Zip Code: 441904 Taluka: Bhandara</t>
  </si>
  <si>
    <t>2nd Floor ,24-A,AyodhyaNagar,Near Old Post Office,Nagpur Postal/Zip Code: 440024 Taluka: Nagpur</t>
  </si>
  <si>
    <t>Opp.Janta Vidyalaya,Near Bank Of Maharastra,Vardhaman Complex, A/P Abhone Postal/Zip Code: 423502 Taluka: Kalvan</t>
  </si>
  <si>
    <t>above Fashion Corner, Subhash Peth, Kalwan Postal/Zip Code: 423501 Taluka: Kalvan</t>
  </si>
  <si>
    <t>C/O Dr. D. D. Lad,Near Sandesh Cinemax, A/P Malegaon Postal/Zip Code: 423203 Taluka: Malegaon</t>
  </si>
  <si>
    <t>Aasha park Gala No. 15, Near Model Eng, Sch. Pandurang wadi, Dombivli(E) Postal/Zip Code: 421201 Taluka: Kalyan</t>
  </si>
  <si>
    <t>Shraddha Tower, Nashik Ves, Sinnar Postal/Zip Code: 422103 Taluka: Sinnar</t>
  </si>
  <si>
    <t>Near Shani Mandir,Niphad, A/P Niphad Postal/Zip Code: 422303 Taluka: Niphad</t>
  </si>
  <si>
    <t>Shop-15, Landmark Apt., D`Souza Colony, College Road, Nashik Postal/Zip Code: 422005 Taluka: Nashik</t>
  </si>
  <si>
    <t>3, Bombay house, Near Bank of Maharashtra, Upanagar, Nashik Postal/Zip Code: 422006 Taluka: Nashik</t>
  </si>
  <si>
    <t>Subhash road No.1, A/P Satana Postal/Zip Code: 423301 Taluka: Baglan</t>
  </si>
  <si>
    <t>"Shrirang", Near Last Bus Stop, Ashok Nagar Postal/Zip Code: 422012 Taluka: Nashik</t>
  </si>
  <si>
    <t>Bhagawati Shopping center,opp water tank,Vani Postal/Zip Code: 422215 Taluka: Dindori</t>
  </si>
  <si>
    <t>Saideep complex,Pabal Road,(Rakshewadi)Rajgurunagar, Postal/Zip Code: 410505 Taluka: Khed</t>
  </si>
  <si>
    <t>3rd Floor, Janai Heights, Pune Nashik Road, Near PMT Chowk, Bhosari, Pune- 33 Postal/Zip Code: 411039 Taluka: Haveli</t>
  </si>
  <si>
    <t>Near Ashok cinema, Power house road, Pimpri, Pune Postal/Zip Code: 411017 Taluka: Haveli</t>
  </si>
  <si>
    <t>NEAR NEW ST STAND MAHABRE COMPLEX BODKENAGAR JUNNAR A/P Junnar Postal/Zip Code: 410502 Taluka: Junnar</t>
  </si>
  <si>
    <t>G/1, Om Shree Swami Samarth CHS, Veer Savarkar Nagar, Thane (W) Postal/Zip Code: 400606 Taluka: Thane</t>
  </si>
  <si>
    <t>Burud galli, Opp. Londhe Hospital, A/P Baramati, Postal/Zip Code: 413102 Taluka: Baramati</t>
  </si>
  <si>
    <t>165/1, Bazartal, Behind Nagarpalika, A/P Indapur Postal/Zip Code: 413106 Taluka: Indapur</t>
  </si>
  <si>
    <t>1, Pushpa Appartment, Paud Road, Above Union Bank of India, Postal/Zip Code: 411038 Taluka: Haveli</t>
  </si>
  <si>
    <t>Himagauri Appts, Third Floor, Opp Ambar Hall, Karve Road, Kothrud, Pune 38 Postal/Zip Code: 411038 Taluka: Haveli</t>
  </si>
  <si>
    <t>House No D-333, Main Road, Near Dr. Modase Hospital. Tal: Man, Dist: Satara Postal/Zip Code: 415509 Taluka: Man</t>
  </si>
  <si>
    <t>1097/B, Shanta Apt., Opp. Hotel Osho, Mirajkar Tikati, Binkhambi Rd., Kolhapur Postal/Zip Code: 416012 Taluka: Karveer</t>
  </si>
  <si>
    <t>IITS, ST Stand,Tasgaon Tal: Tasgaon Dist : Sangli Postal/Zip Code: 416312 Taluka: Tasgaon</t>
  </si>
  <si>
    <t>Shivaji Chowk,Near Tahasil Office,A/P Devrukh Postal/Zip Code: 415804 Taluka: Sangameshwar</t>
  </si>
  <si>
    <t>A4-VISHNU COMMPLEX OPP ITI NANDED. Postal/Zip Code: 431602 Taluka: Nanded</t>
  </si>
  <si>
    <t>5/56, Dr. R. P. Road, Near Bhide hospital Bilding, A/P:- Ichalkaranji Postal/Zip Code: 416115 Taluka: Hatkanangale</t>
  </si>
  <si>
    <t>Shivajinagar,Akola Road Postal/Zip Code: 431513 Taluka: Hingoli</t>
  </si>
  <si>
    <t>664/A, Kisan Veer Chowk, Dharmpuri,Wai, Dist: Satara Postal/Zip Code: 412803 Taluka: Wai</t>
  </si>
  <si>
    <t>Mandi Chawk Postal/Zip Code: 445001 Taluka: Yavatmal</t>
  </si>
  <si>
    <t>Vasant nagar,A/P Umarkhed Postal/Zip Code: 445206 Taluka: Umarkhed</t>
  </si>
  <si>
    <t>Shaniwar Bazar Rd., A/P Gangakhed Postal/Zip Code: 431514 Taluka: Gangakhed</t>
  </si>
  <si>
    <t>KIIT, YC College Campus, Annexe Building, 2nd Floor, Satara-Karad Road, Godoli. Tal: Satara, Dist: Satara Postal/Zip Code: 415001 Taluka: Satara</t>
  </si>
  <si>
    <t>Ruikar Rd., Near Gandhi Sagar Lake, A/P Nagpur Postal/Zip Code: 440018 Taluka: Nagpur</t>
  </si>
  <si>
    <t>Main Building, 1st Floor, Opp. MSEB Sub Station, Satara Solapur Road. Tal: Man, Dist: Satara. Postal/Zip Code: 415508 Taluka: Man</t>
  </si>
  <si>
    <t>S.S.G.M. College, Kopargaon Postal/Zip Code: 423601 Taluka: Kopargaon</t>
  </si>
  <si>
    <t>Anant Chember,Ashok Stambh, Nashik Postal/Zip Code: 422002 Taluka: Nashik</t>
  </si>
  <si>
    <t>Swami Vivekanand Nagar, Near Debco Pharmacutical, Chikali Road , At post: Deulgaon Raja, Taluka Delgaon Raja Dist Buldhana Postal/Zip Code: 443204 Taluka: Deulgaonraja</t>
  </si>
  <si>
    <t>Plot No.10, Shri Ganesh Hsg. Scoiety, Jijamata Chowk Postal/Zip Code: 410506 Taluka: Maval</t>
  </si>
  <si>
    <t>Govt. Industrial Institute Morshi Rd. Postal/Zip Code: 444602 Taluka: Amravati</t>
  </si>
  <si>
    <t>Vitthal Mandir Road, Hawaldarpura,Wardha Postal/Zip Code: 442001 Taluka: Wardha</t>
  </si>
  <si>
    <t>Narharshettiwar Brother's, Bandewar Bldg., Ward No.32, Near Bhagatsing chawk, Ramnagar, Wardha Postal/Zip Code: 442001 Taluka: Wardha</t>
  </si>
  <si>
    <t>Bijwar Technical Institute,Near Arti Talkies,Vidya Nagar,Nagpur Road,Wardha Postal/Zip Code: 442001 Taluka: Wardha</t>
  </si>
  <si>
    <t>INDO- LOTUS COMPUTER INSTITUTE Sainath Apartments,Ground floor,opp. military camp,Boargaon Katol Road,nagpur Postal/Zip Code: 440013 Taluka: Nagpur</t>
  </si>
  <si>
    <t>Opp. Kherwadi, Munciple School, Kherwadi, Bandra(East) Postal/Zip Code: 400051 Taluka: Andheri</t>
  </si>
  <si>
    <t>Infotech Computer Education, B-1, 1st Floor, Shantiganga Apts., Station Road, Opp. Railway Station, Near Monginis Cake Shop, Bhayandar(East)-401105. Postal/Zip Code: 401105 Taluka: Thane</t>
  </si>
  <si>
    <t>Maharshi Karve Stree Shikshan Samstha, Karvenagar, Postal/Zip Code: 411052 Taluka: Haveli</t>
  </si>
  <si>
    <t>Shriram Darshan Apt., Near Nitin Raj Reastaurent, Puna Link Road, Katemanevali Kalyan (E) Postal/Zip Code: 421306 Taluka: Kalyan</t>
  </si>
  <si>
    <t>Near Mahadeo Mandir Postal/Zip Code: 444704 Taluka: Chandur bazar</t>
  </si>
  <si>
    <t>SB Computers New Mondha,Majalgaon, Tq Majalgaon Dist. Beed. Postal/Zip Code: 431131 Taluka: Majalgaon</t>
  </si>
  <si>
    <t>At Post Kinhavali, Nr.S.T.Stand, Khapre Chal , Tal-Shahapur Postal/Zip Code: 421405 Taluka: Shahapur</t>
  </si>
  <si>
    <t>17, Gurudatta Colony, Near Swami Samrth Kendra, Ganesh Colony, Jalgaon Postal/Zip Code: 425001 Taluka: Jalgaon</t>
  </si>
  <si>
    <t>1st Floor, Geet Ganga Appartment,Above SHIV-MISTAN BHANDAR Tiranga Chowk,Near Sangam Talkies,Nagpur Postal/Zip Code: 440009 Taluka: Nagpur</t>
  </si>
  <si>
    <t>First Floor,Sonar Galli,Sadar Bazar Postal/Zip Code: 431513 Taluka: Hingoli</t>
  </si>
  <si>
    <t>Swami Samarth Mandir, Near Bus Stand, Amalner Postal/Zip Code: 425401 Taluka: Amalner</t>
  </si>
  <si>
    <t>Gogadev mandir, Near Sablok petrol pump, Sarjepura Postal/Zip Code: 414001 Taluka: Ahmednagar</t>
  </si>
  <si>
    <t>Deshpande Colony Postal/Zip Code: 413531 Taluka: Latur</t>
  </si>
  <si>
    <t>At post : Wambori,Tal:Rahuri Postal/Zip Code: 413704 Taluka: Rahuri</t>
  </si>
  <si>
    <t>Yeshwant Colony Postal/Zip Code: 444905 Taluka: Morshi</t>
  </si>
  <si>
    <t>GADGE WADI , PATUR Postal/Zip Code: 444501 Taluka: Patur</t>
  </si>
  <si>
    <t>First Floor, Sai Vihar Apartment, Opp. Vasind Rly. Station, Vasind (W), Tal. Shahapur, Dist. Thane, Pin - 421 604 Postal/Zip Code: 421604 Taluka: Shahapur</t>
  </si>
  <si>
    <t>2nd Floor, Jijamata Vyapari Sankul, Shivaji Chowk, Bhagur,Ta:Nashik Postal/Zip Code: 422502 Taluka: Nashik</t>
  </si>
  <si>
    <t>Near Nagreshwar Mandir New Sarafa Postal/Zip Code: 431717 Taluka: Deglur</t>
  </si>
  <si>
    <t>Sawarkar Chawk Kumbhar Lane Postal/Zip Code: 413701 Taluka: Shrigonda</t>
  </si>
  <si>
    <t>Nagar Road, Tisgaon Postal/Zip Code: 414106 Taluka: Pathardi</t>
  </si>
  <si>
    <t>1ST FLOOR Rajendra General Stores Navi Peth Postal/Zip Code: 414102 Taluka: Pathardi</t>
  </si>
  <si>
    <t>Mhasoba Gate KARJAT TAL KARJAT DIST AHMEDNAGAR Postal/Zip Code: 414402 Taluka: Karjat</t>
  </si>
  <si>
    <t>Opp. Khandelwal Jwellers Ratanlal Plots, LRT Commerce College Road, Akola Postal/Zip Code: 444001 Taluka: Akola</t>
  </si>
  <si>
    <t>Shriram Towers, Dabki Road, Old City, Postal/Zip Code: 444002 Taluka: Akola</t>
  </si>
  <si>
    <t>Friendsnet computer Education,near telephone exchange,Main road,murtizapur Postal/Zip Code: 444107 Taluka: Murtijapur</t>
  </si>
  <si>
    <t>Athawadi Bazar, Renuka Nagar, Postal/Zip Code: 444102 Taluka: Akola</t>
  </si>
  <si>
    <t>Near Lothe Pathalogy, Chira Chowk, Patur, Postal/Zip Code: 444501 Taluka: Patur</t>
  </si>
  <si>
    <t>Near Natraj Electronics, Mahatma Phuley Square Postal/Zip Code: 444906 Taluka: Warud</t>
  </si>
  <si>
    <t>Tilak Chowk,Near Jama Masjid Postal/Zip Code: 444709 Taluka: Dhamangaon</t>
  </si>
  <si>
    <t>10,Deshpande Plot,Brahmansabha Colony , Behind Madan Mahal, Paratwada Postal/Zip Code: 444805 Taluka: Achalpur</t>
  </si>
  <si>
    <t>Fharshi Stop, Dastur Nagar Road Postal/Zip Code: 444606 Taluka: Amravati</t>
  </si>
  <si>
    <t>Nirbhay Complex, Krushi Bazar Shop No 1, Amravati Road Postal/Zip Code: 444905 Taluka: Morshi</t>
  </si>
  <si>
    <t>Near Navarang Papad Industries, Behind Harne's House, Main Road, Moti Nagar Postal/Zip Code: 444606 Taluka: Amravati</t>
  </si>
  <si>
    <t>Shiombora Road Postal/Zip Code: 444905 Taluka: Morshi</t>
  </si>
  <si>
    <t>First Floor, B1 &amp; B2 Suyash Complex, Near Kalda Corner Shreya Nagar Postal/Zip Code: 431005 Taluka: Aurangabad</t>
  </si>
  <si>
    <t>PISHOR NAKA, NEAR TIRUPATI HOSPITAL ,CHALISGAON ROAD, KANNAD,DIST - AURANGABAD Postal/Zip Code: 431103 Taluka: Kannad</t>
  </si>
  <si>
    <t>12,GURUKRUPA' BEHIND AGRAWAL PLYWOOD KHOKADPURA OPP. SHIVAJI H. SCHOOL Postal/Zip Code: 431001 Taluka: Aurangabad</t>
  </si>
  <si>
    <t>Plot No 55, N-11, Yadao Nagar, Hudco Corner, Postal/Zip Code: 431003 Taluka: Aurangabad</t>
  </si>
  <si>
    <t>SHOP NO.5 SHAHID BHAGATSING MARKET VITTHALNAGAR CIDCO , N-2A, Postal/Zip Code: 431210 Taluka: Aurangabad</t>
  </si>
  <si>
    <t>1St Floor, Jyotirmay Corner, Bajarang Chowk, N-7 Cidco, Postal/Zip Code: 431003 Taluka: Aurangabad</t>
  </si>
  <si>
    <t>N-9, M-2, Opp. Ganpati Mandir, Hudco, Postal/Zip Code: 431003 Taluka: Aurangabad</t>
  </si>
  <si>
    <t>RAJMAL LAKHICHAND PARK OLDJEEN MAIN MARKET SILLOD Postal/Zip Code: 431112 Taluka: Sillod</t>
  </si>
  <si>
    <t>Gajanan Shopping Complex, Infront of Maharashtra Gramin Bank, Dharur Postal/Zip Code: 431124 Taluka: Dharur</t>
  </si>
  <si>
    <t>Shree Colony Corner, Majalgaon Postal/Zip Code: 431131 Taluka: Majalgaon</t>
  </si>
  <si>
    <t>Softech Computers, Court Road, Postal/Zip Code: 414203 Taluka: Ashti</t>
  </si>
  <si>
    <t>Shriram nagar, behind New bus stop, near Ramdevbaba Patanjali Chikitsalay, Tumsar Postal/Zip Code: 441912 Taluka: Tumsar</t>
  </si>
  <si>
    <t>Ram Nagar, Ward No - 8, Near M.E.S. Art and com sr college Mehkar , Tah Mehekar, Dist - Buldhana Postal/Zip Code: 443301 Taluka: Mehekar</t>
  </si>
  <si>
    <t>C/o D.R.BHUTEKAR, Opposite Bus Stand Postal/Zip Code: 443201 Taluka: Chikhali</t>
  </si>
  <si>
    <t>C/O Prof V.K.Tale Ward No 17, Gandhinagar.near BahetI Ginning Factory Chikhali Tah Chikhali Dist Buldhana Postal/Zip Code: 443201 Taluka: Chikhali</t>
  </si>
  <si>
    <t>Laxmi Bhawan, Gadchandur Road Rajura Postal/Zip Code: 442905 Taluka: Rajura</t>
  </si>
  <si>
    <t>Saokar Layout, Bus-Stand Road, Bramhapur Postal/Zip Code: 441206 Taluka: Brahmapuri</t>
  </si>
  <si>
    <t>Urjanagar, Wrc Club Chandrapur Postal/Zip Code: 442404 Taluka: Chandrapur</t>
  </si>
  <si>
    <t>Chandani Chowk,Rajiv Ratan Hospital Road,Wani Road Ghugus Road Bus Stand Guhugus Postal/Zip Code: 442505 Taluka: Chandrapur</t>
  </si>
  <si>
    <t>Near Shinde College, Santaji Nagar, Main Road, Bhadrawati Postal/Zip Code: 442902 Taluka: Bhadrawati</t>
  </si>
  <si>
    <t>Near Mahatma Gandhi Vidyalaya, United Bank Road Postal/Zip Code: 441207 Taluka: Desaiganj</t>
  </si>
  <si>
    <t>Shaher Peth,Near Shri Satyanarayan Talkies Postal/Zip Code: 431512 Taluka: Basamat</t>
  </si>
  <si>
    <t>9,Ravindra Nagar Opp. Sharda Temple, Mahabal, Postal/Zip Code: 425002 Taluka: Jalgaon</t>
  </si>
  <si>
    <t>Rajesh Sharadchandra Pardeshi D18-20, Golani Market, IInd Floor, Jalgaon Postal/Zip Code: 425001 Taluka: Jalgaon</t>
  </si>
  <si>
    <t>CREATIVE INFOTECH SWAMI COLLEGE ROAD MANTHA Postal/Zip Code: 431504 Taluka: Mantha</t>
  </si>
  <si>
    <t>Opp. New Court, Main Road Jafrabad, Tq.Jafrabad Dist.Jalna Postal/Zip Code: 431206 Taluka: Jaffarabad</t>
  </si>
  <si>
    <t>Sukhshanti nagar, Mantha Road, Postal/Zip Code: 431203 Taluka: Jalna</t>
  </si>
  <si>
    <t>36, Aditya Chamber, R.P. Road,BESIDE NAGAR BANK Postal/Zip Code: 431203 Taluka: Jalna</t>
  </si>
  <si>
    <t>2257/4, 'A', Amar Jeevan Complex, Near Babujamal Talim, Tq. Karveer, Kolhapur Postal/Zip Code: 416012 Taluka: Karveer</t>
  </si>
  <si>
    <t>College Road, Near Varekar Bhojnalaya,Warananagar Postal/Zip Code: 416113 Taluka: Panhala</t>
  </si>
  <si>
    <t>Pt.No.12, Lic Colony, Kalamba Road,kolhapur Postal/Zip Code: 416007 Taluka: Karveer</t>
  </si>
  <si>
    <t>Gojamgunde Arcade, Shahu Chowk Postal/Zip Code: 413512 Taluka: Latur</t>
  </si>
  <si>
    <t>2nd Floor, Kotalwar Bldg, Shivaji Chowk, Mondha Road Postal/Zip Code: 413517 Taluka: Udgeer</t>
  </si>
  <si>
    <t>Shop C-8, Golden Plza, Ground Floor, Nehru Nagar Kurla(East), Mumbai Off S.G. Barve Road Postal/Zip Code: 400024 Taluka: Kurla</t>
  </si>
  <si>
    <t>Vaibhav Bldg. 1St Floor Mg Road, Postal/Zip Code: 400080 Taluka: Kurla</t>
  </si>
  <si>
    <t>Near Bank Of India, Katol Road,Kalmeshwar Postal/Zip Code: 441501 Taluka: Kalameshwar</t>
  </si>
  <si>
    <t>Mankapur, Koradi Road, Postal/Zip Code: 440030 Taluka: Nagpur</t>
  </si>
  <si>
    <t>Block No.2 Vividh Karyakari building,Infront of Police station , Hingna Postal/Zip Code: 441110 Taluka: Hingana</t>
  </si>
  <si>
    <t>Shinde Complex Vivek Nagar corner, Shri Nagar Nanded Postal/Zip Code: 431605 Taluka: Nanded</t>
  </si>
  <si>
    <t>Rangar Galli, Sarafa Postal/Zip Code: 431604 Taluka: Nanded</t>
  </si>
  <si>
    <t>Opp. Pharmacy College, Shyamnagar, Nanded. Postal/Zip Code: 431602 Taluka: Nanded</t>
  </si>
  <si>
    <t>3/A,Vidyavardhani Colony, Bhupesh Nagar Road,Karwand Naka,Shirpur Postal/Zip Code: 425405 Taluka: Shirpur</t>
  </si>
  <si>
    <t>'Sahakar Bhavan'opp.old telephone office, Nehru Chowk, Nandurbar. Postal/Zip Code: 425412 Taluka: Nandurbar</t>
  </si>
  <si>
    <t>Nildeep, Triveni Chowk, College Road, Postal/Zip Code: 423105 Taluka: Malegaon</t>
  </si>
  <si>
    <t>Madhav Nagar, Budhalwadi, Postal/Zip Code: 423104 Taluka: Nandgaon</t>
  </si>
  <si>
    <t>Deore Sankul Somvarpeth Postal/Zip Code: 423101 Taluka: Chandwad</t>
  </si>
  <si>
    <t>Near Old Hydrabad Bank,Koshti Galli Postal/Zip Code: 413504 Taluka: Bhoom</t>
  </si>
  <si>
    <t>Savali, S.T.Colony Postal/Zip Code: 413601 Taluka: Tulajapur</t>
  </si>
  <si>
    <t>Karche Building, Opp Tahasil Office Postal/Zip Code: 413606 Taluka: Omarga</t>
  </si>
  <si>
    <t>Near Bank of Maharashtra, Main Road N.H.9,Yenegur Postal/Zip Code: 413604 Taluka: Omarga</t>
  </si>
  <si>
    <t>Near Super Market Postal/Zip Code: 431401 Taluka: Parbhani</t>
  </si>
  <si>
    <t>Above Maroti Mandir, In front of Manwath Urban Bank, Main Road Postal/Zip Code: 431505 Taluka: Manvat</t>
  </si>
  <si>
    <t>Near Tahsil Office, Opp. J &amp; M Court Ghodegaon, Tal - Ambegaon, Dist. Pune. Postal/Zip Code: 412408 Taluka: Ambegaon</t>
  </si>
  <si>
    <t>26,Lic Colony, 47/2-B, Parvati, Opp. Surabhi Mangal Karyalaya, Sahakar Nagar, Postal/Zip Code: 411009 Taluka: Haveli</t>
  </si>
  <si>
    <t>106, Siddhi Terrace,Opp. Ellora Palace,Nityanand Soc. Lane Dhankawadi, Pune Postal/Zip Code: 411043 Taluka: Haveli</t>
  </si>
  <si>
    <t>Survey No. 13, Satavwadi, Lokhandi Bridge Road, Hadapsar, Pune - 411028. Postal/Zip Code: 411028 Taluka: Haveli</t>
  </si>
  <si>
    <t>S. No. 74,Eastern Court Building Shop No-1, B T Kavade Road, Ghorpadi Pune Postal/Zip Code: 411001 Taluka: Haveli</t>
  </si>
  <si>
    <t>A/P - Jejuri, Near S. T. Stand, Postal/Zip Code: 412303 Taluka: Purandar</t>
  </si>
  <si>
    <t>Angel Arc,Shop No.13,Plot No-23,Sec-8, Postal/Zip Code: 410218 Taluka: Panvel</t>
  </si>
  <si>
    <t>1/3, Ashiana Complex, Shivaji Road, Near Hotel Welcome, Mahad Raigad Postal/Zip Code: 402301 Taluka: Mahad</t>
  </si>
  <si>
    <t>1, Dabir Complex, Postal/Zip Code: 402109 Taluka: Roha</t>
  </si>
  <si>
    <t>Plot R-14 Shreebaug, No 3, Near Bus Stand Postal/Zip Code: 402201 Taluka: Alibag</t>
  </si>
  <si>
    <t>205, Parkar Complex, Chiplun Postal/Zip Code: 415605 Taluka: Chiplun</t>
  </si>
  <si>
    <t>At/post - sawarde, tal - chiplun, dist - ratnagiri Main Road Postal/Zip Code: 415606 Taluka: Chiplun</t>
  </si>
  <si>
    <t>Kureshiwada,A.P.: Atpadi Tal: Atpadi Postal/Zip Code: 415301 Taluka: Aatpadi</t>
  </si>
  <si>
    <t>1853, B, Nr.Maruti Temple,Islampur Postal/Zip Code: 415409 Taluka: Walva</t>
  </si>
  <si>
    <t>Gurvarpeth, Near Ganpati Mandir Postal/Zip Code: 416312 Taluka: Tasgaon</t>
  </si>
  <si>
    <t>C/O. Shri. Bhaisaheb Sawant Madhyamik Vidyalay Postal/Zip Code: 416510 Taluka: Savantwadi</t>
  </si>
  <si>
    <t>2/277 Near Lic, Teli Alli, Postal/Zip Code: 416602 Taluka: Kankavli</t>
  </si>
  <si>
    <t>G-37 Sanhayani Palace,Tatya Pandit Marg, Postal/Zip Code: 416510 Taluka: Savantwadi</t>
  </si>
  <si>
    <t>A/P: Katta, Near Bank of Maharashtra Postal/Zip Code: 416604 Taluka: Malvan</t>
  </si>
  <si>
    <t>10,Adarsh Park, Opp. Kirti Hotel, Postal/Zip Code: 416520 Taluka: Kudal</t>
  </si>
  <si>
    <t>688, Sakhar Peth, Jodbasavanna Chowk, Postal/Zip Code: 413005 Taluka: Solapur(n)</t>
  </si>
  <si>
    <t>46, Matruchhaya, Manisha Nagar, Postal/Zip Code: 413304 Taluka: Pandharpur</t>
  </si>
  <si>
    <t>Tanaji Chowk, Kacheri Road, Barshi- 413411, Postal/Zip Code: 413411 Taluka: Barshi</t>
  </si>
  <si>
    <t>Mhada Colony,Hig-93 Shop 9-11,Opp Birla Coll. Gate No.2, Chikanghar, Kalyan (W). Postal/Zip Code: 421301 Taluka: Kalyan</t>
  </si>
  <si>
    <t>Mirza Shopping Center, 1st floor, Block No 27/28, Above Majithia Shop, Opp Railway Bridge, Virar (East) Postal/Zip Code: 401305 Taluka: Vasai</t>
  </si>
  <si>
    <t>Sant Tukdoji Ward, Behind Malahari Petrol Pump,Nandori Chowk, Hinganghat Postal/Zip Code: 442301 Taluka: Hinganghat</t>
  </si>
  <si>
    <t>At Patanbori, Tq-Kelapur, Dist-Yavatmal-445305 Postal/Zip Code: 445305 Taluka: Kelapur</t>
  </si>
  <si>
    <t>Nagarpalika Complex, Nearadministrative Building, Postal/Zip Code: 445302 Taluka: Kelapur</t>
  </si>
  <si>
    <t>43,44.45,46.N. P. COMPLEX, L.T.COLLEGE ROAD, WANI, TAH.WANI, DIST.YAVATMAL Postal/Zip Code: 445304 Taluka: Vani</t>
  </si>
  <si>
    <t>SOFTECH COMPUTER EDUCATION At. Post Ralegaon, Postal/Zip Code: 445402 Taluka: Ralegaon</t>
  </si>
  <si>
    <t>Near Resthouse Washim Road, Postal/Zip Code: 445204 Taluka: Pusad</t>
  </si>
  <si>
    <t>156,Gopal Smriti,Trimbakeshwar Postal/Zip Code: 422212 Taluka: Trimbakeshwar</t>
  </si>
  <si>
    <t>A/P - Nhavare, Tal-shirur, Dist-Pune Postal/Zip Code: 412211 Taluka: Shirur</t>
  </si>
  <si>
    <t>S. No. 33/17,Guruprasad Apts.,Bharti Vidyapeth,Ambegaon Bhudruk. Behind Shani Maruti Mandir Postal/Zip Code: 411046 Taluka: Haveli</t>
  </si>
  <si>
    <t>Vaishali Hight, 2nd floor, Malwadi Road Postal/Zip Code: 411028 Taluka: Haveli</t>
  </si>
  <si>
    <t>K.J.Somaiya Industrial Training Centre, behind Somaiya Polytechnic Hostel, Somaiya Campus,Vidyavihar(East) Postal/Zip Code: 400077 Taluka: Kurla</t>
  </si>
  <si>
    <t>Suyash Computers 1693, Sadashiv Peth,Saideep Apartments,Khajina Vihir Chowk, Near Tilak Road Postal/Zip Code: 411030 Taluka: Haveli</t>
  </si>
  <si>
    <t>Onkar Nagar,Parik Park,Jalgaon Postal/Zip Code: 425001 Taluka: Jalgaon</t>
  </si>
  <si>
    <t>Sonali Computer Specials,Shop6, Snehal Tower Savarpada, Chogale Nagar Postal/Zip Code: 400066 Taluka: Boriwali</t>
  </si>
  <si>
    <t>6, Mangal Jivan, Chittaranjan Das road , Ramnagar, Dombivli (E). Postal/Zip Code: 421201 Taluka: Kalyan</t>
  </si>
  <si>
    <t>1 st. Floor, Nirman Plaza, Roha S.T. Stand, Postal/Zip Code: 402109 Taluka: Roha</t>
  </si>
  <si>
    <t>20/963, Mhb Colony, S. L. Raheja Marg, Mahim Postal/Zip Code: 400016 Taluka: Mumbai</t>
  </si>
  <si>
    <t>Gurukripa,B-2,14/9, Near Shiv Mandir, Sector 16,Vashi. Postal/Zip Code: 400703 Taluka: Thane</t>
  </si>
  <si>
    <t>1st Flr, Dadar Department Stores, Nr. Kabutar Khana, M.C.Jawle Marg, Dadar -w Postal/Zip Code: 400028 Taluka: Mumbai</t>
  </si>
  <si>
    <t>GIRI-TARA ARKED,Near STATE BANK Of INDIA,SHIVAJINAGER Postal/Zip Code: 431001 Taluka: Aurangabad</t>
  </si>
  <si>
    <t>Shop No - 428, `A` wing, second floor, Vashi plaza, sector-17, Vashi Postal/Zip Code: 400703 Taluka: Thane</t>
  </si>
  <si>
    <t>205, Kapadia House,Next to Plat form No 1,Behind S.T Depot,Virar (W) Postal/Zip Code: 401303 Taluka: Vasai</t>
  </si>
  <si>
    <t>203/PI239, RDP 6, A wing, Kesar Plaza, MHADA Colony, Above Noble Chemist, Charkop Market, Kandivali (W), Mumbai-400 067. Postal/Zip Code: 400067 Taluka: Mumbai</t>
  </si>
  <si>
    <t>2nd Floor, New BMC Bldg., Near Telephone Exchange, Opp. Railway Station, Borivli (W) Postal/Zip Code: 400092 Taluka: Boriwali</t>
  </si>
  <si>
    <t>Shop No.1, Gr.Floor, Pandit Niwas Near Khidki Vada, Ramwadi, Tilak Chowk, Kalyan (West), Postal/Zip Code: 421301 Taluka: Kalyan</t>
  </si>
  <si>
    <t>1,Gr. Floor, Noble House,Dr. Batliwala Road, Next to Vivekanand Classes,Parel Mumbai Postal/Zip Code: 400012 Taluka: Mumbai</t>
  </si>
  <si>
    <t>B-26/201, Anand nagar,Vakola Bridge nehru road , Santacruz (E) Postal/Zip Code: 400055 Taluka: Mumbai</t>
  </si>
  <si>
    <t>Shop No 9, New Shopping Centre,Near Chetna College, Govt. Colony,Bandra (E) Postal/Zip Code: 400051 Taluka: Andheri</t>
  </si>
  <si>
    <t>Shop No., 11 &amp; 12,1st Floor, Prakash Kunj,V.N.Purav Marg, Near Akbar Alli,Opp. Vodafone Mobile Gallery,Chembur Naka Postal/Zip Code: 400071 Taluka: Kurla</t>
  </si>
  <si>
    <t>1st Floor, Daddy's Champion Health Club, Gymnasium, Near ST Bus Stand, Badlapur (W) Postal/Zip Code: 421503 Taluka: Ambarnath</t>
  </si>
  <si>
    <t>Keerti Computer Institute, 173/9, Talav Co-op Hsg Society, Next To Sheetal Cinema, Near State Bank of India, LBS Marg, Kurla (W) Postal/Zip Code: 400070 Taluka: Kurla</t>
  </si>
  <si>
    <t>B-205, Pranav Plaza 2nd Floor M.G.Road, Above shivsena shakha, Near Mensa Classes,Mulund (W).Mumbai-80. Postal/Zip Code: 400080 Taluka: Kurla</t>
  </si>
  <si>
    <t>Shop No 1, Ground Floor, Sai Paradise Building, G Gupte Road, Vishnunagar, Dombivli (W) Postal/Zip Code: 421202 Taluka: Kalyan</t>
  </si>
  <si>
    <t>Flat No 308, Shyamkamal 'A' Bldg, West Wing, Tejpal Road, V.S.Khandekar Marg, Opp. Rly Stn. Vile Parle (E) Postal/Zip Code: 400057 Taluka: Andheri</t>
  </si>
  <si>
    <t>168/B, Sakhar Peth,Near Padma Talkies Postal/Zip Code: 413005 Taluka: Solapur(n)</t>
  </si>
  <si>
    <t>2nd Floor,shriniketan,above Omkar jewellers,Nr.NKGSB Bank, Opp:Rly Stn,Vasai Road (W)-401202 Postal/Zip Code: 401202 Taluka: Vasai</t>
  </si>
  <si>
    <t>Sayeeda Apt, Ground Floor., opp. Power House, Shastri Nagar, Kalyan Road, Bhiwandi-421302 Postal/Zip Code: 421302 Taluka: Bhiwandi</t>
  </si>
  <si>
    <t>F-9, Gokhale Park, Gharpure Ghat Lane, Ashok Stumbh, Nashik-2 Postal/Zip Code: 422002 Taluka: Nashik</t>
  </si>
  <si>
    <t>311/15,273,Sasane nagar,Hadapsar,Pune Postal/Zip Code: 411028 Taluka: Haveli</t>
  </si>
  <si>
    <t>Vyanktesh Complex, Chalisgaon Road, Kannad Tal. Kannad Dist Aurangabad - 431103 Postal/Zip Code: 431103 Taluka: Kannad</t>
  </si>
  <si>
    <t>101, Ishan,Above IDBI Bank Mahatma Phule Road, Vishnunagar, Dombivali (W). Postal/Zip Code: 421202 Taluka: Kalyan</t>
  </si>
  <si>
    <t>SHOP NO.16, SUNIL SHOPPING CENTRE, OPP. NAVRANG CINEMA, J.P.ROAD, Postal/Zip Code: 400058 Taluka: Andheri</t>
  </si>
  <si>
    <t>Opp. Shri shivaji college,Akot road,Akola Postal/Zip Code: 444003 Taluka: Akola</t>
  </si>
  <si>
    <t>Siddharth nagar,Shirpur Postal/Zip Code: 425405 Taluka: Shirpur</t>
  </si>
  <si>
    <t>C-3/S-3, Sakalnagar shopping Complex, Baner Road Postal/Zip Code: 411007 Taluka: Haveli</t>
  </si>
  <si>
    <t>Near Chinchecha Ganapati, Chawadi Chowk, Vadgaon-Maval, Postal/Zip Code: 412106 Taluka: Maval</t>
  </si>
  <si>
    <t>Patil Complex, Near Bachat Bhavan Postal/Zip Code: 445202 Taluka: Darva</t>
  </si>
  <si>
    <t>1 St Floor Gurukrupa Market Mahaveer Chowk Nanded Postal/Zip Code: 431601 Taluka: Nanded</t>
  </si>
  <si>
    <t>GF-8, Pandav kund C.H.Soc., Nardas Nagar, T.P Road, Near Br.Nath Pai School, Bhandup(W) Postal/Zip Code: 400078 Taluka: Kurla</t>
  </si>
  <si>
    <t>BOWGWARE COMPLEX,SHIVAJI CHOWK,OPP SBH GANGAPUR Postal/Zip Code: 431109 Taluka: Gangapur</t>
  </si>
  <si>
    <t>2nd Floor kohinoor Plaza,Near khadki Bazar Petrol Pump, Above Cosmos Bank Khadki Pune -3 Postal/Zip Code: 411003 Taluka: Haveli</t>
  </si>
  <si>
    <t>Abhinav Computers, Pune 36,Rajelakshme.1st floor Abhinav Society,near kakasahaeb gadgil udyan kaman,Padmavati Postal/Zip Code: 411009 Taluka: Haveli</t>
  </si>
  <si>
    <t>Divekar Chowk,Jatharpeth Postal/Zip Code: 444005 Taluka: Akola</t>
  </si>
  <si>
    <t>Nr. Shivaji High School 2nd floor,Rodewar Building, Cidco, New Nanded Postal/Zip Code: 431603 Taluka: Nanded</t>
  </si>
  <si>
    <t>Nr. Grampanchayat Umadi, A/p : Umadi Tal: Jath Dist :Sangli Postal/Zip Code: 416413 Taluka: Jat</t>
  </si>
  <si>
    <t>1st Floor ,Golden Towers,Sardar Patel Road Postal/Zip Code: 423104 Taluka: Nandgaon</t>
  </si>
  <si>
    <t>Opp. Ambika Nagar Bus stop ,Nagar Pune Road Kedgaon Devi ,Ahmednagar Postal/Zip Code: 414005 Taluka: Ahmednagar</t>
  </si>
  <si>
    <t>65,Prabhat Centre,Sector-6,CBD-Belapur,Navi Mumbai Postal/Zip Code: 400614 Taluka: Thane</t>
  </si>
  <si>
    <t>221, 2nd Floor, Siddhi Vinayak Arcade, Above Monginis, Oak Baug, Station Road, Kalyan(w) 421 301 Postal/Zip Code: 421301 Taluka: Kalyan</t>
  </si>
  <si>
    <t>In Front of Tahsil Office Postal/Zip Code: 413201 Taluka: Jamkhed</t>
  </si>
  <si>
    <t>21,Dr. Ambedkar Housing Society, Near Ujani Colony, Behind Architecture College, Postal/Zip Code: 413003 Taluka: Solapur(n)</t>
  </si>
  <si>
    <t>6, Chandrakant Complex,1st Floor,Near Aurangapura Signal Postal/Zip Code: 431001 Taluka: Aurangabad</t>
  </si>
  <si>
    <t>C/O Parvati Vocational Training Center Near Grain Market, Durga Chouk, Goregoan Postal/Zip Code: 441801 Taluka: Goregaon</t>
  </si>
  <si>
    <t>Wankhede Layout ,Girad Road,Near Ashirwad Mangalam Postal/Zip Code: 441203 Taluka: Umred</t>
  </si>
  <si>
    <t>Near Ashirwad Tech , Pul Galli,Shirala Postal/Zip Code: 415408 Taluka: Shirala</t>
  </si>
  <si>
    <t>Behind Pawade Nursing Home,Ravindranath Tagore Marg,Gond Plot, Wardha Postal/Zip Code: 442001 Taluka: Wardha</t>
  </si>
  <si>
    <t>C/o Pramod Sahare, First Floor, House No 1275, Pole No C/547, waghoba chowk Road, Tukum Postal/Zip Code: 442401 Taluka: Chandrapur</t>
  </si>
  <si>
    <t>Sonal Nagar, Near Railway Station,Jalna Postal/Zip Code: 431203 Taluka: Jalna</t>
  </si>
  <si>
    <t>Near Shivaji Chowk, Wardha Postal/Zip Code: 442001 Taluka: Wardha</t>
  </si>
  <si>
    <t>Near Laxmi Talkies,Main Road, Sindewahi Postal/Zip Code: 441222 Taluka: Sindevahi</t>
  </si>
  <si>
    <t>Moti Chowk, Behind New Gram Panchayat, Postal/Zip Code: 410505 Taluka: Khed</t>
  </si>
  <si>
    <t>Main Road, At and Post - Palasdev, Tal - Indapur, Dist - Pune Postal/Zip Code: 413132 Taluka: Indapur</t>
  </si>
  <si>
    <t>1/A Pramod Nagar Near ITI Vijapur Road Postal/Zip Code: 413004 Taluka: Solapur(n)</t>
  </si>
  <si>
    <t>C/o Fatima Girls High School, Quaiser Colony Postal/Zip Code: 431001 Taluka: Aurangabad</t>
  </si>
  <si>
    <t>Kanadi Road, Near D.C.C. Bank Postal/Zip Code: 431123 Taluka: Kaij</t>
  </si>
  <si>
    <t>Raviwar Peth,Near Nageshwar Temple,Junnar Postal/Zip Code: 410502 Taluka: Junnar</t>
  </si>
  <si>
    <t>ATM Computer Service,1st Floor, Chikni pada, Opp Fine arts Photo , Tisgaon Road, Kalyan (E) Postal/Zip Code: 421306 Taluka: Kalyan</t>
  </si>
  <si>
    <t>U.S.A. Computers, C/o. P.C.Point, 1st Floor, Shop No.9, Sai- Siddhi Bldg, Near Canara Bank, Opp Hotel Shree Rath, Station Road, Ambernath( E) Postal/Zip Code: 421501 Taluka: Ambarnath</t>
  </si>
  <si>
    <t>Near Water Tank Kalyan Nagar Postal/Zip Code: 431603 Taluka: Nanded</t>
  </si>
  <si>
    <t>1St Floor,Bazar Samiti, Yawal Road, Postal/Zip Code: 425503 Taluka: Yaval</t>
  </si>
  <si>
    <t>Byte, Near Aadarsh Hotel,Behind Alok Clinic,Prabhu Ali,Panvel. Postal/Zip Code: 410206 Taluka: Panvel</t>
  </si>
  <si>
    <t>18/A Sindhi Society Postal/Zip Code: 400071 Taluka: Kurla</t>
  </si>
  <si>
    <t>1st floor Shivneri Complex Mosampul Malegaon Dist-Nashik Postal/Zip Code: 423203 Taluka: Malegaon</t>
  </si>
  <si>
    <t>Deesha Computer Edu.Vishnuprasad Appartment,Behind Old Octroi Naka, Vishrambaug,Sangli Postal/Zip Code: 416415 Taluka: Miraj</t>
  </si>
  <si>
    <t>COLLECTER PATTA BEHIND NISARAG HOTEL,NEAR KRISHNA MANDIR SANGMESHWAR Postal/Zip Code: 423203 Taluka: Malegaon</t>
  </si>
  <si>
    <t>54, Trishul South West ,Bombay-Pune Rd,Dehu road,Pune Postal/Zip Code: 412101 Taluka: Haveli</t>
  </si>
  <si>
    <t>Webpro Infotech Computer Education,Matruchhaya Bldg., Opp. Grampanchayat Office, Shahapur, Thane. Postal/Zip Code: 421601 Taluka: Shahapur</t>
  </si>
  <si>
    <t>9/15, Sahakar Niwas, Bharat Nagar,Near Bldg No.7,Station Rd,Nr Land Mark P.&amp; M Co.Op.Bank, Tagore Nagar, Vikhroli (E). Postal/Zip Code: 400083 Taluka: Kurla</t>
  </si>
  <si>
    <t>Apexx Computer Education, 2013/6, Nirman Plaza, Block No,6,7,8,9 Firstfloor, Behind Civil Court,Gujar Mala,Shirur,Pune Postal/Zip Code: 412210 Taluka: Shirur</t>
  </si>
  <si>
    <t>IN FRONT OF NAGAR PARISHAD, BAZAR WARD, MAIN ROAD, BHADRAWATI, TA. BHADRAWATI, DIST. CHANDRAPUR Postal/Zip Code: 442902 Taluka: Bhadrawati</t>
  </si>
  <si>
    <t>Nikhil Computers, Gandhi Park, Parbhani. Postal/Zip Code: 431401 Taluka: Parbhani</t>
  </si>
  <si>
    <t>104,B Wing, Shivkala Arcade, Near Kotak Bank Boisar Postal/Zip Code: 401501 Taluka: Palghar</t>
  </si>
  <si>
    <t>Near HVPM UPPER PLATEAU Postal/Zip Code: 444807 Taluka: Chikhaldara</t>
  </si>
  <si>
    <t>CREATIVE COMPUTERS, IN FRONT OF COTTAGE HOSPITAL, 40 BIGHA, MALKAPUR Postal/Zip Code: 443101 Taluka: Malkapur</t>
  </si>
  <si>
    <t>Opp. RTO police station, Kalwa-Belapur road, Near Gavdevi Mandir, Vitava, Thane Postal/Zip Code: 400605 Taluka: Thane</t>
  </si>
  <si>
    <t>'Nandanvan', 1st Flr.,Opp. Panchayat Samiti, Kacheri road, A/P Wada. Postal/Zip Code: 421303 Taluka: Vada</t>
  </si>
  <si>
    <t>Near Range Forest Office, Main road,A/P Jawhar, Postal/Zip Code: 401603 Taluka: Jawhar</t>
  </si>
  <si>
    <t>565, Main Road,A/P Tal: Mokhada Postal/Zip Code: 401604 Taluka: Mokhada</t>
  </si>
  <si>
    <t>158,Guruprasad nagar,Duttawadi, Nagpur Postal/Zip Code: 440023 Taluka: Nagpur Rural</t>
  </si>
  <si>
    <t>Sai mangal karyalay complex, Jogani plot, A/P Pulgaon, Postal/Zip Code: 442302 Taluka: Deoli</t>
  </si>
  <si>
    <t>2nd Floor, Rajdeep Chambers, Phavde Lane, Raviwar Karanja, Nashik, Postal/Zip Code: 422001 Taluka: Nashik</t>
  </si>
  <si>
    <t>1st Floor, Yashwantrao Chavan Shopping Center,Niphad Phata, Pimpalgaon (B) Postal/Zip Code: 422209 Taluka: Niphad</t>
  </si>
  <si>
    <t>Shah Shivji Tejpal Compound, Station Road, Postal/Zip Code: 424101 Taluka: Chalisgaon</t>
  </si>
  <si>
    <t>Mangaldas park, Near State Bank,A/P Navapur Postal/Zip Code: 425418 Taluka: Navapur</t>
  </si>
  <si>
    <t>1120, Nagar road,Near Bank of Mahrashtra,Yerawada,Pune Postal/Zip Code: 411006 Taluka: Haveli</t>
  </si>
  <si>
    <t>HERAMBH SOCIETY, OPP. MORAYA GARDEN, CHINCHWADGAON Postal/Zip Code: 411033 Taluka: Haveli</t>
  </si>
  <si>
    <t>Near Sadguru Hospital, Savarkar nagar, A/P Vita Postal/Zip Code: 415311 Taluka: Khanapur</t>
  </si>
  <si>
    <t>Bhaji Market, Sarafa road, A/P Paithan Postal/Zip Code: 431107 Taluka: Paithan</t>
  </si>
  <si>
    <t>115, Himalaya House, Palton Road, Opp J J School Of Art, Mumbai-1 Postal/Zip Code: 400001 Taluka: Mumbai</t>
  </si>
  <si>
    <t>S.R.P.F. Gr.VIII W.E. High way, South gate, Opp. Jay coach, Jogeshwari(E) Postal/Zip Code: 400065 Taluka: Mumbai</t>
  </si>
  <si>
    <t>Thakur college of science and commerce,Thakur Village thakur shyamnarayan marg , Kandivali(E) Postal/Zip Code: 400101 Taluka: Mumbai</t>
  </si>
  <si>
    <t>35,Vasant Colony,Market Yard, Sangli-Miraj Road, Sangli Postal/Zip Code: 416416 Taluka: Miraj</t>
  </si>
  <si>
    <t>F1-F3 Purab paschim Plaza, Next to Divya Multiplex, Trimurty Chowk, Patil Nagar CIDCO, Nasik 422008 Postal/Zip Code: 422008 Taluka: Nashik</t>
  </si>
  <si>
    <t>Near marathwada Gramin Bank First Floor n.p. complex main road Postal/Zip Code: 431514 Taluka: Gangakhed</t>
  </si>
  <si>
    <t>1st floor , satkar complex ambad road , jalna ta Postal/Zip Code: 431213 Taluka: Jalna</t>
  </si>
  <si>
    <t>Apurva Hospital Compound Nutan Road Postal/Zip Code: 431503 Taluka: Selu</t>
  </si>
  <si>
    <t>Shop no-5,Kamalabai Agarwal Girls High School Complex, Station Road, Postal/Zip Code: 425508 Taluka: Raver</t>
  </si>
  <si>
    <t>7,Lingeshwar Apartment,Bhatwadi, Barve Nagar, Near Saraswat Bank, Ghatkopar(W) Postal/Zip Code: 400084 Taluka: Kurla</t>
  </si>
  <si>
    <t>A/p Saswad, Solanki Complex, Second Floor, Near ST Stand Postal/Zip Code: 412301 Taluka: Purandar</t>
  </si>
  <si>
    <t>KALPATRU PLOT NO 96,OPP. MEGNATH CITY SCAN CENTER,NEAR JAKHOTIA HOSPITAL SHASTRI NAGAR Postal/Zip Code: 410203 Taluka: Khalapur</t>
  </si>
  <si>
    <t>Thakkar Plaza, Jambhali naka, opp. Siddhivinayak Temple, A/P Thane Postal/Zip Code: 400601 Taluka: Thane</t>
  </si>
  <si>
    <t>2nd Floor, White House, Near Sablok Petrol Pump, Sarjepura, Tal.&amp; Dist. Ahmednagar Postal/Zip Code: 414001 Taluka: Ahmednagar</t>
  </si>
  <si>
    <t>2 nd Floor, Amit Plaza, Plot no. 55 A, S.No. 215, Indraprastha, Near Annasaheb Magar College, Hadapsar, Postal/Zip Code: 411028 Taluka: Haveli</t>
  </si>
  <si>
    <t>Shop No. 11, First Floor, Behind Jain Nagari Pathsanstha, Arunoday Market, Parali-V Postal/Zip Code: 431515 Taluka: Parali</t>
  </si>
  <si>
    <t>Near Dr. Shah's Hospital &amp; Old S.T. Stand, Opp. Someshwar Police Chowky, Above Sunil Gaikwad Gas Agency, Karanje Pool Postal/Zip Code: 412306 Taluka: Baramati</t>
  </si>
  <si>
    <t>Above Mahavir Bhavan, Main Road Postal/Zip Code: 441801 Taluka: Goregaon</t>
  </si>
  <si>
    <t>Library Building, 1st Floor, Behind YC College, Opp. Collector Office, Godoli. Tal: Satara, Dist: Satara. Postal/Zip Code: 415001 Taluka: Satara</t>
  </si>
  <si>
    <t>S.M.Joshi college,Hadapsar Postal/Zip Code: 411028 Taluka: Haveli</t>
  </si>
  <si>
    <t>Bebal Colony,Gr. Floor, Room no.1, DBJ College Road, Near Shivaji Nagar S.T Stand mumbai -Goa highway Postal/Zip Code: 415605 Taluka: Chiplun</t>
  </si>
  <si>
    <t>Opp. Bank Of Baroda, 1st Floor, Navi Peth, Tal: Khandala, Dist: Satara. Postal/Zip Code: 415521 Taluka: Khandala</t>
  </si>
  <si>
    <t>530 b/5, Shivneri Complex, D, Basement, Science College Road, Powai Naka. Tal: Satara, Dist: Satara Postal/Zip Code: 415002 Taluka: Satara</t>
  </si>
  <si>
    <t>Aisect Com.Ins.Near Chidderwar Jwellers Ganesh Ward , Pusad, Yavatmal Postal/Zip Code: 445204 Taluka: Pusad</t>
  </si>
  <si>
    <t>Oxford Computer Education,Shastri Nagar, Datte College Road, Thakare Sadan, Yavatmal Postal/Zip Code: 445001 Taluka: Yavatmal</t>
  </si>
  <si>
    <t>IDEAL COMPUTER INST.Bangar Nagar, Waghapur Road, Yavatmal Postal/Zip Code: 445001 Taluka: Yavatmal</t>
  </si>
  <si>
    <t>53 B,Om Colony,Yavatmal. Vaibhavbhirangi@Rediffmail.Com, 9423625420 Postal/Zip Code: 445001 Taluka: Yavatmal</t>
  </si>
  <si>
    <t>Warjurkar Bhavan, Brahmapuri Road, Desaiganj, Wadsa, Gadchiroli Postal/Zip Code: 441207 Taluka: Desaiganj</t>
  </si>
  <si>
    <t>karkhana Road,Vairag Postal/Zip Code: 413402 Taluka: Barshi</t>
  </si>
  <si>
    <t>Main Road, Near Sagar Jewellers, Ashta. Postal/Zip Code: 416301 Taluka: Walva</t>
  </si>
  <si>
    <t>Near Narsing Vidhayalaya Akola Road,Akot Postal/Zip Code: 444101 Taluka: Akot</t>
  </si>
  <si>
    <t>Mainline Ward, main road Postal/Zip Code: 444709 Taluka: Dhamangaon</t>
  </si>
  <si>
    <t>6, Adarsha Complex, Opp. Rajsarathi Soc., Indira Nagar, Nashik Postal/Zip Code: 422009 Taluka: Nashik</t>
  </si>
  <si>
    <t>2nd Floor, Sanmitra Complex, Near Mahsul Colony, Behind New Bus Stand, Akola Postal/Zip Code: 444001 Taluka: Akola</t>
  </si>
  <si>
    <t>Near water tank Cidco, New Nanded Postal/Zip Code: 431603 Taluka: Nanded</t>
  </si>
  <si>
    <t>Shivaji Nagar Postal/Zip Code: 402303 Taluka: Poladpur</t>
  </si>
  <si>
    <t>11, Murkute Colony, New Pandit Colony, Postal/Zip Code: 422002 Taluka: Nashik</t>
  </si>
  <si>
    <t>G-1,Mirani Nagar, Opp.Sarvodaya Society, Kopri,Thane (E) Postal/Zip Code: 400603 Taluka: Thane</t>
  </si>
  <si>
    <t>102, 1st Floor, Rajhans Bldg, Above Rajmal Lakhichand Jewellers, Opp Gaondevi Bus Depot, Naupada, Thane(W) Postal/Zip Code: 400602 Taluka: Thane</t>
  </si>
  <si>
    <t>Shop no-11, Jivanjyoti Kasturba Cr. Rd.No 1 Borivali(E) Postal/Zip Code: 400066 Taluka: Boriwali</t>
  </si>
  <si>
    <t>B-4,5 Udhan Complex,Basement floor,Opp Killa Jin, Mastgadh Old Jalna, Jalna Postal/Zip Code: 431203 Taluka: Jalna</t>
  </si>
  <si>
    <t>Sardar Vallabh bhai Patel Complex, Postal/Zip Code: 425503 Taluka: Yaval</t>
  </si>
  <si>
    <t>Opp Old Bus stand, Next to Post office Postal/Zip Code: 413544 Taluka: Shirur Anantpal</t>
  </si>
  <si>
    <t>Near Gayatri mandir, Ring Road Lohiya ward Postal/Zip Code: 441614 Taluka: Gondiya</t>
  </si>
  <si>
    <t>Sai Computer Institute,Sai Mangal Karalaya, Civil lines Wardha Postal/Zip Code: 442001 Taluka: Wardha</t>
  </si>
  <si>
    <t>1, Standview Bh ST bus depot,panvel Postal/Zip Code: 410206 Taluka: Panvel</t>
  </si>
  <si>
    <t>Ratan Abad soc, TJ Road, bhatia Hospital Lane, Opp. Wallace Appt.,Grant Road -West Postal/Zip Code: 400007 Taluka: Mumbai</t>
  </si>
  <si>
    <t>Herambha Heights, Shop No 1, Near Mamta Apt; Kharegaon Naka, Kalwa. Postal/Zip Code: 400605 Taluka: Thane</t>
  </si>
  <si>
    <t>Lalit Kala Bhawan 1st Flr MHB Colony, Abhyudaya Nagar Kalachowki Mumbai-40033. Postal/Zip Code: 400033 Taluka: Mumbai</t>
  </si>
  <si>
    <t>Behind GGP, English Medium School, Ratnagiri Postal/Zip Code: 415612 Taluka: Ratnagiri</t>
  </si>
  <si>
    <t>Neharu Road,Deola,Tal ;Deola Postal/Zip Code: 423102 Taluka: Deola</t>
  </si>
  <si>
    <t>aerolite compusystems,C/O CEP(COMPUTER EDUCATION POINT), OPP. SANNATA PRESS,DADMAHAL WARD chandrapur 442402. Postal/Zip Code: 442402 Taluka: Chandrapur</t>
  </si>
  <si>
    <t>Ashirwad Building, Oppt. Manjul Mangal Karyalaya, Jail Road, Nasik Road. C/o Yogesh C. Ugale Vajreshwary Nagar, Behind Ganesh Temple,Saaykheda Road (E), Jail Road, Nashik Road, Nashik Postal/Zip Code: 422101 Taluka: Nashik</t>
  </si>
  <si>
    <t>Institute of Advance Technology Bh DR Potdar Nursing Home, A/P Kalameshwar, Nagpur Postal/Zip Code: 441501 Taluka: Kalameshwar</t>
  </si>
  <si>
    <t>Adishri Apartment, Behind Bidwe Hospital, Near State Bank of India, Daund Postal/Zip Code: 413801 Taluka: Daund</t>
  </si>
  <si>
    <t>S-32, 2nd Floor, Fulsundar Super Market, Pune-Nasik Road, Narayangaon, Tal: Junnar, Postal/Zip Code: 410504 Taluka: Junnar</t>
  </si>
  <si>
    <t>MG Road, Opp. Kadam Hosptil Postal/Zip Code: 413515 Taluka: Ahmadpur</t>
  </si>
  <si>
    <t>Warana Sahakari Sakar Karkhana Vyapari Sankul, Opp. Post Office, Warananagar, Tal. Panhala, Dist Kolhapur Postal/Zip Code: 416113 Taluka: Panhala</t>
  </si>
  <si>
    <t>4, Venunad Apt., Mate Nursery Road, Savarkar Nagar, Gangapur Road. Postal/Zip Code: 422013 Taluka: Nashik</t>
  </si>
  <si>
    <t>Ketki Apartment, Shop No.11, G.V.Scheme Road No.2, Near Municipal School,Opp. Shamrao Vithal Bank ,Mulund (East), Postal/Zip Code: 400081 Taluka: Kurla</t>
  </si>
  <si>
    <t>Main Road, Front of Sarwajanik Wachanalay, First Floor, Shivaji Nagar Postal/Zip Code: 423501 Taluka: Kalvan</t>
  </si>
  <si>
    <t>721,Balaji complex,shop no 5,Rashtrabhushan chowk,Guruwar peth,Pune Postal/Zip Code: 411042 Taluka: Haveli</t>
  </si>
  <si>
    <t>43/2,Dattanagar,Ambegaon Bk. , Behind Aroha Mangal Karyalay, Dattanagar, Ambegaon Bk.Katraj Postal/Zip Code: 411046 Taluka: Haveli</t>
  </si>
  <si>
    <t>2nd Floor of hotel khusbag, khusbag Manglwar peth, Kolhapur Postal/Zip Code: 416008 Taluka: Karveer</t>
  </si>
  <si>
    <t>Nehru Chowk,Armori Postal/Zip Code: 441208 Taluka: Armori</t>
  </si>
  <si>
    <t>Shop No 3 &amp; 4, Opp. Ambivali Railway Station, Ambivali (W) Postal/Zip Code: 421102 Taluka: Kalyan</t>
  </si>
  <si>
    <t>Above DCC bank, Beed Road. Postal/Zip Code: 431127 Taluka: Georai</t>
  </si>
  <si>
    <t>Main Road Opp. State Bank of India, Shivaji Nagar, Shirur Kasar Postal/Zip Code: 413249 Taluka: Shirur (Kasar)</t>
  </si>
  <si>
    <t>Opp. New Bus Stand, Shivaji Chowk, Majalgaon . Tq Majalgaon Dist. Beed Postal/Zip Code: 431131 Taluka: Majalgaon</t>
  </si>
  <si>
    <t>Shop No. 30, Raje Shiv Chhatrapati Shopping Complex, Shivaji Chowk Postal/Zip Code: 431517 Taluka: Ambejogai</t>
  </si>
  <si>
    <t>Shop No 15 Nagar Parishad Shopping Complex, Nagar Parishad Campus, Ambajogai Postal/Zip Code: 431517 Taluka: Ambejogai</t>
  </si>
  <si>
    <t>Behind Nath Theatre, Parli - Vaijnath, Tal.parali, Dist.Beed. Postal/Zip Code: 431515 Taluka: Parali</t>
  </si>
  <si>
    <t>Microtech Computers, Shivaji Nagar, Beed Postal/Zip Code: 431122 Taluka: Beed</t>
  </si>
  <si>
    <t>Main Road Postal/Zip Code: 413520 Taluka: Ausa</t>
  </si>
  <si>
    <t>Near Rajiv Gandhi English School, Vikas Nagar Postal/Zip Code: 413510 Taluka: Latur</t>
  </si>
  <si>
    <t>Mugale Complex, Near Bedge Bhandi Stores, Main Road Postal/Zip Code: 413521 Taluka: Nilanga</t>
  </si>
  <si>
    <t>Shivaji Chowk, Main Road Postal/Zip Code: 413515 Taluka: Ahmadpur</t>
  </si>
  <si>
    <t>Tal.Rahuri, Dist.Ahmednagar. Postal/Zip Code: 413705 Taluka: Rahuri</t>
  </si>
  <si>
    <t>Baldawa Bldg., Infront of Ganapati Mandir, Bazar Peth, East of Shivaji Chowk Tal.Shevgaon, Dist.Ahmednagar. Postal/Zip Code: 414502 Taluka: Shevgaon</t>
  </si>
  <si>
    <t>Shop No. 33,Market Yard Shopping Complex,Station ;Road. Shrigonda Postal/Zip Code: 413701 Taluka: Shrigonda</t>
  </si>
  <si>
    <t>'Shakuntala' Apts,. Professor Colony chowk, Savedi, Dist.Ahmednagar. Postal/Zip Code: 414003 Taluka: Ahmednagar</t>
  </si>
  <si>
    <t>"systel Residency",W.B.Road,Deopur,Dhule Postal/Zip Code: 424002 Taluka: Dhule</t>
  </si>
  <si>
    <t>47/16, Erandwane,karve Road, Pune 411004 Postal/Zip Code: 411004 Taluka: Haveli</t>
  </si>
  <si>
    <t>11,TECAHER COLONY , BEHIND TAH - OFFICE Postal/Zip Code: 441224 Taluka: Mul</t>
  </si>
  <si>
    <t>M. L. Dahanukar College of Commerce, Dahanukar Institute of Management, Computrain Centre, Dixit Road, Vile Parle East Postal/Zip Code: 400057 Taluka: Andheri</t>
  </si>
  <si>
    <t>Mulund college of Commerce, Institute of Management and Professional Studies-Computrain Centre, Sarojini Naidu Road, Mulund West Postal/Zip Code: 400080 Taluka: Kurla</t>
  </si>
  <si>
    <t>Children's Complex, 590, Ali Yavar Jung Marg, Kherwadi, Bandra (E), Mumbai. Postal/Zip Code: 400051 Taluka: Andheri</t>
  </si>
  <si>
    <t>Bright Computer Institute, Manik Chowk, Siddhi Arcade Bldg, Chakan, Tal: Khed, Dist pune Postal/Zip Code: 410501 Taluka: Khed</t>
  </si>
  <si>
    <t>BITS Computer Education 1104, E, Arham Plaza, First Floor, opp. Shahaji Law College, Shahupuri 4th Lane, Postal/Zip Code: 416001 Taluka: Karveer</t>
  </si>
  <si>
    <t>Opp. Platinium Jubilee High School, Chamarshi Road, Gazdchiroli Postal/Zip Code: 442605 Taluka: Gadchiroli</t>
  </si>
  <si>
    <t>Flat No.53/26, Vikas Nagar, Wanawori, SRP Gate No.2 Postal/Zip Code: 411040 Taluka: Haveli</t>
  </si>
  <si>
    <t>Plot No.17, Hanuman Nagar, Postal/Zip Code: 440009 Taluka: Nagpur</t>
  </si>
  <si>
    <t>Kalpataru Complex, Plot No.51, Shop No.23, Sector 9, Khanda Colony,New Panvel (W), Raigad Postal/Zip Code: 410206 Taluka: Panvel</t>
  </si>
  <si>
    <t>178,/27A, Ashish Bunglow, Nigdi, Pradhikaran Postal/Zip Code: 411044 Taluka: Haveli</t>
  </si>
  <si>
    <t>Near Amruteshwar Temple, Shani Mandir Road, Old Jalna Postal/Zip Code: 431203 Taluka: Jalna</t>
  </si>
  <si>
    <t>Near More Hospital, Samarth Nagar Postal/Zip Code: 413504 Taluka: Bhoom</t>
  </si>
  <si>
    <t>"Ajikaytara", Zilha Sainik Welfare Office Campus, Basement, Below Bank of Baroda, Near Tahsil Office, Powai Naka, Tal: Satara, Dist: Satara Postal/Zip Code: 415001 Taluka: Satara</t>
  </si>
  <si>
    <t>Jogad-Teke Complex,Nr.Mayani Road Petrol Pump, Vita Tal :Khanapur Dist : Sangli Postal/Zip Code: 415311 Taluka: Khanapur</t>
  </si>
  <si>
    <t>Akot Road, Gandhi Chowk, Banosa Postal/Zip Code: 444803 Taluka: Daryapoor</t>
  </si>
  <si>
    <t>Primary Teacher Society building,Gandhi Ward, Kurkheda Postal/Zip Code: 441209 Taluka: Karakheda</t>
  </si>
  <si>
    <t>Takali Road, Mhetre Mala, Near Godad Mala, Miraj Postal/Zip Code: 416410 Taluka: Miraj</t>
  </si>
  <si>
    <t>A-1009, Mayuresh City Mall Commercial Centre, Ground floor, Sector-19, Opp. to ICL School, Turbhe, Navi Mumbai Postal/Zip Code: 400705 Taluka: Thane</t>
  </si>
  <si>
    <t>Room No 6, Sena Nagar, Behind Veena Bina Apts., A. D. Marg, Sewree Postal/Zip Code: 400015 Taluka: Mumbai</t>
  </si>
  <si>
    <t>Mahajan Complex, Ravindranath Tagore Nagar, Kanheri Road, Behind Rajashthan Vidyalaya Postal/Zip Code: 413512 Taluka: Latur</t>
  </si>
  <si>
    <t>Post Box No 1,Chowk Bazar Postal/Zip Code: 431702 Taluka: Kalamanuri</t>
  </si>
  <si>
    <t>Mondha Postal/Zip Code: 431503 Taluka: Selu</t>
  </si>
  <si>
    <t>Near Adarsh Vidyalaya Amgaon Postal/Zip Code: 441902 Taluka: Amgaon</t>
  </si>
  <si>
    <t>Opp.Saptapadi hall,Near Baliram patil h.school , 21,Gayatri society,N-8,Cidco aurangabad Postal/Zip Code: 431003 Taluka: Aurangabad</t>
  </si>
  <si>
    <t>Khatri Vanijya Shikshan Sanstha, (OM Bhavan) Tilak Chowk, Hinganghat DIST. WARDHA PIN- 442301 Postal/Zip Code: 442301 Taluka: Hinganghat</t>
  </si>
  <si>
    <t>Unicorn Computer,Shop No.5, Ibrahim Tower, Near Ashok Raaj Electronics, Station Road, Bhayandar (W) Postal/Zip Code: 401101 Taluka: Thane</t>
  </si>
  <si>
    <t>Near Baleshwar Naka, Sulakhe High School Campus , Barshi Dist - Solapur Barshi - 413 411 Postal/Zip Code: 413411 Taluka: Barshi</t>
  </si>
  <si>
    <t>11/841,Krishna sahara niketan,Jai maharashtra nagar,Tata power house,Magathane, Borivali-(E) Postal/Zip Code: 400066 Taluka: Boriwali</t>
  </si>
  <si>
    <t>Navayojana Bldg, Fr. Floor, Nr. Diana Cinema, Opp. Kapasi Bhide, Tardeo, Mumbai Central (W) Postal/Zip Code: 400034 Taluka: Mumbai</t>
  </si>
  <si>
    <t>1st Floor, Block No. 105, Ruby Complex, Next to Madhuram Hall, Opp. Royal Plaza, Harishankar Joshi Rd., Dahisar (E), Mumbai - 400 068 Postal/Zip Code: 400068 Taluka: Mumbai</t>
  </si>
  <si>
    <t>13, Anand Plaza, Adityanagar, Sutgirni T-Point, Garkheda, Aurangabad Postal/Zip Code: 431005 Taluka: Aurangabad</t>
  </si>
  <si>
    <t>2nd Floor, Balaji Tower, Datta Mandir Chauk, Deopur Dhule Postal/Zip Code: 424005 Taluka: Dhule</t>
  </si>
  <si>
    <t>HRITIK COMPUTER, 39 SHIVPRABHA PANZARA KAN COLONY SAKRI C/O ABOVE YUSUF BROTHER'S LAXMI ROAD SAKRI TAL SAKRI DIST DHULE Postal/Zip Code: 424304 Taluka: Sakri</t>
  </si>
  <si>
    <t>Jilhewar Complex,Ganesh Nagarpawadewadi Road Nanded Postal/Zip Code: 431602 Taluka: Nanded</t>
  </si>
  <si>
    <t>PAL CHOWK,RAIL TOLY,GONDIA Postal/Zip Code: 441614 Taluka: Gondiya</t>
  </si>
  <si>
    <t>NARSI NAKA, NARSI ROAD MUKHED Postal/Zip Code: 431715 Taluka: Mukhed</t>
  </si>
  <si>
    <t>SABOO APT.,OPP Z.P.GIRLS HIGH SCHOOL,NEHRU CHOWK, CANTTONMENT, AURANGABAD Postal/Zip Code: 431002 Taluka: Aurangabad</t>
  </si>
  <si>
    <t>Near Govt. Iti, Ful Market Sillod Road, Bhokardan Postal/Zip Code: 431114 Taluka: Bhokardan</t>
  </si>
  <si>
    <t>Near Ganpati Galli, Old Jalna, Jalna Postal/Zip Code: 431213 Taluka: Jalna</t>
  </si>
  <si>
    <t>Near Bank of Maharashtra, Ambedkar chowk, Warora Postal/Zip Code: 442907 Taluka: Warora</t>
  </si>
  <si>
    <t>Near Bus Stand, Talegaon road, At -ARVI Postal/Zip Code: 442201 Taluka: Arvee</t>
  </si>
  <si>
    <t>Jm Patel College Road, Bhandara Postal/Zip Code: 441904 Taluka: Bhandara</t>
  </si>
  <si>
    <t>Near old Bus Stand, Gadge baba market, infront of HP Gas Postal/Zip Code: 444904 Taluka: Chandur Railway</t>
  </si>
  <si>
    <t>2nd Floor above Surya Hotel , Opp. WNC Company Vimannagar corner,Nagar Road, Pune Postal/Zip Code: 411014 Taluka: Haveli</t>
  </si>
  <si>
    <t>Datapro Infoworld, Pune Vaibhav Theatre Compound, Hadapsar, PUNE Postal/Zip Code: 411028 Taluka: Haveli</t>
  </si>
  <si>
    <t>Pitru Chaya Bldg Opp. S.T. Stand Pirangut Tal : Mulshi Dist : Pune Postal/Zip Code: 411042 Taluka: Mulshi</t>
  </si>
  <si>
    <t>Kurekar House, Rajendra Ward, Teachers Colony Ballarpur Postal/Zip Code: 442701 Taluka: Ballarpur</t>
  </si>
  <si>
    <t>S.No.1, Plot No.1, BEHIND HANUMAN MANDIR,LAXMI NAGAR, NIGDI , PUNE Postal/Zip Code: 411044 Taluka: Haveli</t>
  </si>
  <si>
    <t>Behind Maharashtra odawari Bank, Ganesh Chowck, Nutan Colony, Gangapur Postal/Zip Code: 431109 Taluka: Gangapur</t>
  </si>
  <si>
    <t>Opp. Wani Mangal karayalay (Galli) Shriram Colony, Hiwarkheda Road, Kannad Dist. Aurangabad Postal/Zip Code: 431103 Taluka: Kannad</t>
  </si>
  <si>
    <t>First Floor, Opp. Bus Depot,depo road Postal/Zip Code: 423701 Taluka: Vaijapur</t>
  </si>
  <si>
    <t>Near Nath Mandir,Beside Vachanalaya,Nath Galli, Postal/Zip Code: 431107 Taluka: Paithan</t>
  </si>
  <si>
    <t>1st Floor, Bhalerao Bldg. Vishnu Nagar,Vasmat Road Postal/Zip Code: 431401 Taluka: Parbhani</t>
  </si>
  <si>
    <t>Megapro Computers,Near Anti-Corruption Office,Juna Bazar Postal/Zip Code: 431001 Taluka: Aurangabad</t>
  </si>
  <si>
    <t>Shop No. 15, 1st Floor, Municipal Shopping Complex, Gandhi Chowk Postal/Zip Code: 413512 Taluka: Latur</t>
  </si>
  <si>
    <t>3rd Floor, Gaikwad Cushion works, Nath Road,Parli Postal/Zip Code: 431515 Taluka: Parali</t>
  </si>
  <si>
    <t>above maharashtra Gramin bank,bhanudas nagar,jawahar colony road Aurangabad Postal/Zip Code: 431005 Taluka: Aurangabad</t>
  </si>
  <si>
    <t>AT. CHONDHI PO. CHONDHI,ALIBAG, RAIGAD Postal/Zip Code: 402201 Taluka: Alibag</t>
  </si>
  <si>
    <t>P.M.G. P COLONY, 7/256, MANKHURD MUMBAI Postal/Zip Code: 400043 Taluka: Kurla</t>
  </si>
  <si>
    <t>REVDANDA, MARUTI ALIPAR-NAKA Postal/Zip Code: 402202 Taluka: Alibag</t>
  </si>
  <si>
    <t>Sky Computer Center Ambejogai-"Shivsmruti "Ambedkar Chowk, Netaji Road, Beed Postal/Zip Code: 431517 Taluka: Ambejogai</t>
  </si>
  <si>
    <t>NEAR M.J.F. SCHOOL, HYDERABAD RAOD RAJURA TA RAJURA DIST CHANDRAPUR Postal/Zip Code: 442905 Taluka: Rajura</t>
  </si>
  <si>
    <t>RH-60,INDRAPRASTHA COLONY,M.I.D.C., BAJAJ NAGAR,WALUJ,AURANGABAD Postal/Zip Code: 431136 Taluka: Gangapur</t>
  </si>
  <si>
    <t>Near Gajanan Maharaj Mandir, Vishnu Wadi, Buldhana Tah &amp; Buldhana Postal/Zip Code: 443001 Taluka: Buldhana</t>
  </si>
  <si>
    <t>58/392, Ratnasindhu CHS, Jogeshwari ? (E), Mumbai ? 400 060.Sarvodaya Nagar, Jogeshwari E Postal/Zip Code: 400060 Taluka: Andheri</t>
  </si>
  <si>
    <t>A/P Renapur Postal/Zip Code: 413527 Taluka: Renapur</t>
  </si>
  <si>
    <t>717, Budhwar Peth, DIC Building,Opp Jijamata Baug, Pune-2 Postal/Zip Code: 411002 Taluka: Haveli</t>
  </si>
  <si>
    <t>Ashadeep Peratishthai, Ashok Sil Mills com. shree sant Rohit rd Dharavi Postal/Zip Code: 400017 Taluka: Mumbai</t>
  </si>
  <si>
    <t>Design Comp- Tech Systems, alibagAT POST NAGAON -OFFICE Postal/Zip Code: 402204 Taluka: Alibag</t>
  </si>
  <si>
    <t>Wing -A, Orange Plaza, Near Bus Stand, Main Road Katol Postal/Zip Code: 441302 Taluka: Katol</t>
  </si>
  <si>
    <t>Flat No. 2, Kundan Cornor, 8 &amp; 9, New Khadki Bazar, opp.Khadki Bus Stop,Near Dargha,Khadki,Pune Postal/Zip Code: 411003 Taluka: Haveli</t>
  </si>
  <si>
    <t>Off No - 20/23/24, 'L' Type shopping center, sector-8,plot no. 8, Nerul, Navi Mumbai. Postal/Zip Code: 400706 Taluka: Thane</t>
  </si>
  <si>
    <t>Degloorkar S.B Postal/Zip Code: 431719 Taluka: Mukhed</t>
  </si>
  <si>
    <t>Shop No.6, A-Block,Bhiwandiwala Building,Ganapatrao Kadam Marg,Worli Naka, Postal/Zip Code: 400018 Taluka: Mumbai</t>
  </si>
  <si>
    <t>S-1, SHIVRAJ COMPLEX, HIGHSCHOOL ROAD, MIRAJ Postal/Zip Code: 416410 Taluka: Miraj</t>
  </si>
  <si>
    <t>3, DIAMOND CHAMBERS, G K MARG, WORLI NAKA, MUMBAI Postal/Zip Code: 400018 Taluka: Mumbai</t>
  </si>
  <si>
    <t>205, SUKH SAGOR, HUGHES ROAD CHOWPATTY Postal/Zip Code: 400007 Taluka: Mumbai</t>
  </si>
  <si>
    <t>Sukhada Computers, Nathnagar,Near Shivaji Chowk,Parli VaijnathDist. Beed pin 431515 Postal/Zip Code: 431515 Taluka: Parali</t>
  </si>
  <si>
    <t>Shrikant Computers, Shop No. 3, Samarth Complex, Dhankawadi Near Last Bus Stop, Dhankawadi, Postal/Zip Code: 411043 Taluka: Haveli</t>
  </si>
  <si>
    <t>Basment , Krishna Leela Apt.,BHATIA Chowk NETAJI-KURLA rd.,NEAR SHANTI PRAKASH STATUE, ULHASNAGAR-421004. Postal/Zip Code: 421004 Taluka: Ulhasnagar</t>
  </si>
  <si>
    <t>Manasi Apartment, Makhamalabad Naka Panchavati, Nashik-422003. Postal/Zip Code: 422003 Taluka: Nashik</t>
  </si>
  <si>
    <t>A/P- Korhale Bk.,Near S.T. Bus Stand,Tal. Baramati, Dist. Pune Postal/Zip Code: 412103 Taluka: Baramati</t>
  </si>
  <si>
    <t>'Sugo Mahal', Dhanori Road,Bhairavnagar, Pune - 411015 Postal/Zip Code: 411015 Taluka: Haveli</t>
  </si>
  <si>
    <t>301/MP-1, Jail Road, Near Netaji Subhashchandra Bose High School New Kirkee, Yerawada Postal/Zip Code: 411006 Taluka: Haveli</t>
  </si>
  <si>
    <t>150, Balabhau Peth, Milind Nagar, Nagpur Postal/Zip Code: 440017 Taluka: Nagpur</t>
  </si>
  <si>
    <t>Near Raizada Hospital, Jail Road, Wardha Postal/Zip Code: 442001 Taluka: Wardha</t>
  </si>
  <si>
    <t>Near New Bus stop,Burdi Road, At-Post-Tal- Armori Postal/Zip Code: 441208 Taluka: Armori</t>
  </si>
  <si>
    <t>Shop No. 6/7, Vitthal Edke Chawl, Opp. Adarsha Vidya Mandir, Kurar village, Malad (East), Mumbai Postal/Zip Code: 400097 Taluka: Boriwali</t>
  </si>
  <si>
    <t>Shop. No.1, Near Samarth Hospital(Dr.Valanju), Bandrekar Wadi, Jogeshwari (East), Mumbai- 400060. Postal/Zip Code: 400060 Taluka: Andheri</t>
  </si>
  <si>
    <t>MAHAKALI WARD NEAR GURUMAULI MANDIR, CHANDRAPUR Postal/Zip Code: 442401 Taluka: Chandrapur</t>
  </si>
  <si>
    <t>IGM Computer Education,C/O Cyber Den,Mouni Vidhyapeeth Road,Gargoti, Taluka - Bhudargad,District - Kolhapur Postal/Zip Code: 416209 Taluka: Bhudargad</t>
  </si>
  <si>
    <t>Vshnu Wadi, Circular Road, Ward No 15, Buldhana Tah &amp; Dist Buldhana Postal/Zip Code: 443001 Taluka: Buldhana</t>
  </si>
  <si>
    <t>Govt. College of Education, Bording Road, Ratnagiri Postal/Zip Code: 415612 Taluka: Ratnagiri</t>
  </si>
  <si>
    <t>Main Road, Kaij Postal/Zip Code: 431123 Taluka: Kaij</t>
  </si>
  <si>
    <t>Bazarpeth Kankavali, Opp Sawantwadi Urbun Bank, Kankavali Postal/Zip Code: 416602 Taluka: Kankavli</t>
  </si>
  <si>
    <t>J-17, N2 Cidco, Sant Rohidas Arogya Kendra, Near MUKUNDAWADI bhaji Mandai, Aurangabad Postal/Zip Code: 431005 Taluka: Aurangabad</t>
  </si>
  <si>
    <t>6/1, Shiv Darshan CHS, Opp Bus stop, Kisan Nagar No. 3, Wagle Estate Postal/Zip Code: 400604 Taluka: Thane</t>
  </si>
  <si>
    <t>Nutan Road selu Postal/Zip Code: 431503 Taluka: Selu</t>
  </si>
  <si>
    <t>SUCCESS CHAMBERS,OPP, RAJESHTHAN CLOTH CENTER MAHAVEER PATH,BARAMATI Postal/Zip Code: 413102 Taluka: Baramati</t>
  </si>
  <si>
    <t>147 RASTA PETH,"LAXMI KESHAV" SHIRAL SHET LANE OPP KARANDE PHUWALE PUNE Postal/Zip Code: 411011 Taluka: Haveli</t>
  </si>
  <si>
    <t>Bldg no. 66/2857, Near MIG. Cricket Club, Gandhi Nagar,Mangal Co-op Hsg Soc.,Bandra (E). Postal/Zip Code: 400051 Taluka: Andheri</t>
  </si>
  <si>
    <t>Maratha Complex, Near Nagar Parishad, Taloda Postal/Zip Code: 425413 Taluka: Taloda</t>
  </si>
  <si>
    <t>GANESH GARDEN, FAMOUS CHOWK, OPP. SHITOLE EMPIRE, MAIN RD, NEW SANGAVI, PUNE 411027 Postal/Zip Code: 411027 Taluka: Haveli</t>
  </si>
  <si>
    <t>Tamboli Bldg., Bhd. bank of India, Abooseth Road, Behind Bank Of India, Dehu Road, Pune Postal/Zip Code: 412101 Taluka: Haveli</t>
  </si>
  <si>
    <t>Basement Lathi Plaza, Opp. Shahu Maharaj Complex Postal/Zip Code: 425001 Taluka: Jalgaon</t>
  </si>
  <si>
    <t>SHOP NO 9, Chattrapati Shivaji COMPLEX, MHB , YERWADA Postal/Zip Code: 411006 Taluka: Haveli</t>
  </si>
  <si>
    <t>Near Water Tank,Shitlamata Mandir Postal/Zip Code: 441901 Taluka: Devara</t>
  </si>
  <si>
    <t>1/1,MAHADEV JAGTAP CHAWL,RAM JOSHI MARG, BHATWADI, GHATKOPAR (W) Postal/Zip Code: 400084 Taluka: Kurla</t>
  </si>
  <si>
    <t>First FloorNear Jaikalika Mata Mahila Bank,Society Market, Postal/Zip Code: 431512 Taluka: Basamat</t>
  </si>
  <si>
    <t>Above Damini gift center,Near Wange Hospital, Shivaji Chowk, Parli-v Postal/Zip Code: 431515 Taluka: Parali</t>
  </si>
  <si>
    <t>MANE COMPLEXBEHIND REST HOUSEVIDHYA NAGER (WEST) Postal/Zip Code: 431122 Taluka: Beed</t>
  </si>
  <si>
    <t>A-1, Chamunda Empire, Jawahar Nagar Chowk, Opp. Hotel Surbhi, Akola Postal/Zip Code: 444001 Taluka: Akola</t>
  </si>
  <si>
    <t>Opp. Dr. Rayte Hospital, Tower-Ganeshpar Road, Postal/Zip Code: 431515 Taluka: Parali</t>
  </si>
  <si>
    <t>Chaoudhari Bhavan ,Hirapur Road Postal/Zip Code: 441801 Taluka: Goregaon</t>
  </si>
  <si>
    <t>Sai Plaza, Shop No.2, 1st Floor, Nr. Bytco College, Nashik Road, Nashik-422101. Postal/Zip Code: 422101 Taluka: Nashik</t>
  </si>
  <si>
    <t>Behind State Bank, Shivaji Nagar, Banosa Postal/Zip Code: 444803 Taluka: Daryapoor</t>
  </si>
  <si>
    <t>Shop No.2 trimurtishilp satavnagar, satavwadi Postal/Zip Code: 411028 Taluka: Haveli</t>
  </si>
  <si>
    <t>Shop No. 17, Market yard, Nira-Baramati Road, A/P-NIRA Postal/Zip Code: 412102 Taluka: Purandar</t>
  </si>
  <si>
    <t>Samarth Chhaya Building, Opp Syndicate Bank, Near Rupee Bank, Block No.6, Talegaon-Chakan Road, Talegaon Station, 410507 Postal/Zip Code: 410507 Taluka: Maval</t>
  </si>
  <si>
    <t>Jirage Nagar, Ambajogai Road, Near Sinchan Bhavan Postal/Zip Code: 431515 Taluka: Parali</t>
  </si>
  <si>
    <t>Menge Market, Kaulkhed Postal/Zip Code: 444004 Taluka: Akola</t>
  </si>
  <si>
    <t>DP ROAD NEAR VAIDYANATH BANK, FRONT OF SIDHIVINAYAK SANKUL, BEED Postal/Zip Code: 431122 Taluka: Beed</t>
  </si>
  <si>
    <t>Diginet Computers,4/5, Jayacharya Complex, Samrat chowk, Pangri Road, Behind Central Bus-stand, Beed Postal/Zip Code: 431122 Taluka: Beed</t>
  </si>
  <si>
    <t>1 floor,shinde Complex, Thodga Road Postal/Zip Code: 413515 Taluka: Ahmadpur</t>
  </si>
  <si>
    <t>1758, Sadashiv Peth, Garden view Apartment,flat No-6 Postal/Zip Code: 411030 Taluka: Haveli</t>
  </si>
  <si>
    <t>81, BUDHAWAR PETH,Bhumi Towers, 2Nd Floor, Flat No. 1, , Near Town Hall. Tal: Karad, Dist: Satara Postal/Zip Code: 415110 Taluka: Karad</t>
  </si>
  <si>
    <t>21,Beturkar Pada Near Dakshta Police Chwoki Kalyan (W) Postal/Zip Code: 421301 Taluka: Kalyan</t>
  </si>
  <si>
    <t>48/1,plot No-10, Icchatrupti Housing Society,Ganesh Nagar,Near Anand Park,Vadgaon Sheri, Pune411014 Postal/Zip Code: 411014 Taluka: Haveli</t>
  </si>
  <si>
    <t>F/2,2nd Floor,Pradip Plaza,Opp. Tahsil Kacheri,Daund, Dist Pune 413801 Postal/Zip Code: 413801 Taluka: Daund</t>
  </si>
  <si>
    <t>Master Infotech computer Edu Mahavir Complex Opp. Raikar Park Below LIC Office Roha Postal/Zip Code: 402109 Taluka: Roha</t>
  </si>
  <si>
    <t>Ahilya Devi Chowk, Near Gajanan Maharaj Mandir, Dhore Nagar, Old Sangvi, Pune 411 027 Postal/Zip Code: 411027 Taluka: Haveli</t>
  </si>
  <si>
    <t>S. No. 31, Raut Baug,DHANKAWADIDhankawadi Postal/Zip Code: 411043 Taluka: Haveli</t>
  </si>
  <si>
    <t>Shiv ColonyNear Deshpande PlotMalegaon Postal/Zip Code: 444503 Taluka: Malegaon</t>
  </si>
  <si>
    <t>Avdhoot Plaza, Bhigwan Road, Near State Bank of India, Baramati. Postal/Zip Code: 413102 Taluka: Baramati</t>
  </si>
  <si>
    <t>S.NO 20/1, DNYANSANKUL , PUNYAI NAGAR OPP.K.K.MARKET, DHANKAWADI, PUNE 43. Postal/Zip Code: 411043 Taluka: Haveli</t>
  </si>
  <si>
    <t>Nr. Bus Stop, At post Ghoti Postal/Zip Code: 422402 Taluka: Igatpuri</t>
  </si>
  <si>
    <t>Near Rural Hospital Postal/Zip Code: 413507 Taluka: Kalamb</t>
  </si>
  <si>
    <t>5-17/39, GandhiNagar, Vinkar Society, South Sadar Bazar,Solapur Postal/Zip Code: 413003 Taluka: Solapur(n)</t>
  </si>
  <si>
    <t>1st Floor, Above Swastik Medical, Opp. Old Municipal Corporation Building, Bhagwan Mahavir Path, Kopargaon Postal/Zip Code: 423601 Taluka: Kopargaon</t>
  </si>
  <si>
    <t>Chudaman Chowk, Matatoli Postal/Zip Code: 441601 Taluka: Gondiya</t>
  </si>
  <si>
    <t>Shikshak colony Postal/Zip Code: 444904 Taluka: Chandur Railway</t>
  </si>
  <si>
    <t>Umagar Building,Beside Gopal Cultural Hall,Osmanpura, Aurangabad, Postal/Zip Code: 431005 Taluka: Aurangabad</t>
  </si>
  <si>
    <t>Pioneer Coaching Classes, Behind ITI Hostel, Nagar Road Postal/Zip Code: 431122 Taluka: Beed</t>
  </si>
  <si>
    <t>Civil Line, Tadgaon Road Postal/Zip Code: 441701 Taluka: Arjuni moregaon</t>
  </si>
  <si>
    <t>1/29 SHINDEWADI BMC SCHOOL SHANKER RAO PALV MARG SHINDEWADI DADAR (E) Postal/Zip Code: 400014 Taluka: Mumbai</t>
  </si>
  <si>
    <t>1st floor, Parijat, Opp. St. John School, Old bombay Road, Thane (w) 400601. Postal/Zip Code: 400601 Taluka: Thane</t>
  </si>
  <si>
    <t>Children Edu Soc. Promises, Next to SAMAJ MANDIR HALL, Opp. MSEB office,B-WARD Matunga Labour Camp, Matunga Postal/Zip Code: 400019 Taluka: Mumbai</t>
  </si>
  <si>
    <t>SHOP NO.3, GANGARAM PARK, KHAREGAON, KALWA (W),THANE Postal/Zip Code: 400605 Taluka: Thane</t>
  </si>
  <si>
    <t>Plot No.5, Hirkani Housing Society, Old Sangvi, Pune-411027 Postal/Zip Code: 411027 Taluka: Haveli</t>
  </si>
  <si>
    <t>Near Z P High School, Akola Road, Mangrulpir Postal/Zip Code: 444403 Taluka: Mangrulpir</t>
  </si>
  <si>
    <t>210, 2nd Floor, Sanman Tower Postal/Zip Code: 431601 Taluka: Nanded</t>
  </si>
  <si>
    <t>Shop No.6, 1st Floor, Sunil Terraces, Bus Stand Postal/Zip Code: 413512 Taluka: Latur</t>
  </si>
  <si>
    <t>Adv.Phade Nivas, Datt Bardi Road Postal/Zip Code: 431712 Taluka: Hadgaon</t>
  </si>
  <si>
    <t>Tilak Ward , Near Tahsil office Mohadi Postal/Zip Code: 441909 Taluka: Mohadi</t>
  </si>
  <si>
    <t>c/o Babasaheb Dhote, Near Nabeera's Girls Hostel, Dhantoli, Katol, Dist. Nagpur Postal/Zip Code: 441302 Taluka: Katol</t>
  </si>
  <si>
    <t>Shivaji Chowk, Pusad Road, Digarasdist -Yavatmal Postal/Zip Code: 445203 Taluka: Digras</t>
  </si>
  <si>
    <t>Shantai Residency, Shop No.7, Pimple Saudagar, Rahatni Road, Kate Nagar, Pune Postal/Zip Code: 411027 Taluka: Haveli</t>
  </si>
  <si>
    <t>2410 A/5B, Surabhi Complex, 1st Floor, Near Mission Hospital, Songirwadi. Tal: Wai, Dist: Satara Postal/Zip Code: 412803 Taluka: Wai</t>
  </si>
  <si>
    <t>A/p:- Bidri(Mouninagar), Opp. Shetakari Sangh, Bidri Road Tal:-kagal Postal/Zip Code: 416208 Taluka: Kagal</t>
  </si>
  <si>
    <t>Wankhade Nagar, Dabki Road,Akola Postal/Zip Code: 444002 Taluka: Akola</t>
  </si>
  <si>
    <t>Plot No. 6, Ranjanvan Society, N-9, M-2 Road, Near Central Bank Of India , Hudco , Aurangabad Postal/Zip Code: 431003 Taluka: Aurangabad</t>
  </si>
  <si>
    <t>Ekta Nagar, In front of Sahyadri Nagar Kaman, Taroda (Bk.) Road NANDED Postal/Zip Code: 431605 Taluka: Nanded</t>
  </si>
  <si>
    <t>DOT COM Computers, BACK SIDE OF KHEDKAR HOSPITAL, PATHARDI, TAL- PATHARDI, DIST-AHMEDNAGAR Postal/Zip Code: 414102 Taluka: Pathardi</t>
  </si>
  <si>
    <t>Sandip Shirbhate Renuka Apartment, Mainde Chowk, Yavatmal 445001. Postal/Zip Code: 445001 Taluka: Yavatmal</t>
  </si>
  <si>
    <t>Langde complex nanded road behind mahadev mandir ARDHAPUR Postal/Zip Code: 431704 Taluka: Ardhapur</t>
  </si>
  <si>
    <t>Shivaji Nagar,Near Gurudev Vidya Mandir Postal/Zip Code: 431715 Taluka: Mukhed</t>
  </si>
  <si>
    <t>5/6, Perpetual Apartments, Opp: SBI, L.B.S marg, Behind Gupta Compound, Kamani, Kurla(W) Postal/Zip Code: 400070 Taluka: Kurla</t>
  </si>
  <si>
    <t>OPP.RESIDENCIAL HIGH SCHOOL &amp; J.COLLAGE, MIRI ROAD, SHEVGAON Postal/Zip Code: 414502 Taluka: Shevgaon</t>
  </si>
  <si>
    <t>8, Patil Wadi, Tank Road, Bhandup (w).Mumbai-400078 Postal/Zip Code: 400078 Taluka: Kurla</t>
  </si>
  <si>
    <t>G/12, Laxmi market premises, Pokhran road no. 1, Vartaknagar, Thane Postal/Zip Code: 400606 Taluka: Thane</t>
  </si>
  <si>
    <t>Shop No.1, Pitre Building, Building No.3,Phadke road, Near Ganesh Mandir, Dombivli (E), Dist - Thane Postal/Zip Code: 421201 Taluka: Kalyan</t>
  </si>
  <si>
    <t>Gandhi Sadan Golibar Chowk, Near Bachat Bhavan, At Post Darwa, Dist.Yavatmal. Postal/Zip Code: 445202 Taluka: Darva</t>
  </si>
  <si>
    <t>Plot No.62, D-3, Rajmata CHS., Savarkar Nagar, Near Lokmanya Bus Depot, Thane(W) Postal/Zip Code: 400606 Taluka: Thane</t>
  </si>
  <si>
    <t>9, Shriram nagar, Wadi Bhokar Road, Deopur Postal/Zip Code: 424002 Taluka: Dhule</t>
  </si>
  <si>
    <t>L-B/18, Laxmi Nagar, Near Water Tank, Nagpur Postal/Zip Code: 440022 Taluka: Nagpur</t>
  </si>
  <si>
    <t>11, S.B.I. Colony, Behind Police Line Takli Anant Nagar, Nagpur. Postal/Zip Code: 440013 Taluka: Nagpur</t>
  </si>
  <si>
    <t>Near Rular Hospital, Bypass Road, Mangrulpir, Postal/Zip Code: 444403 Taluka: Mangrulpir</t>
  </si>
  <si>
    <t>Near Janata College Square, Nagpur Road, Chandrapur Postal/Zip Code: 442401 Taluka: Chandrapur</t>
  </si>
  <si>
    <t>Near Miskin Tank Garden, Postal/Zip Code: 441904 Taluka: Bhandara</t>
  </si>
  <si>
    <t>MIG 5, OPP. S M TRADERS, MHADA COLONY ROAD. KHAT ROAD. Postal/Zip Code: 441904 Taluka: Bhandara</t>
  </si>
  <si>
    <t>18/2, Ramdas Colony, Jillha Peth, Jalgaon. Postal/Zip Code: 425001 Taluka: Jalgaon</t>
  </si>
  <si>
    <t>Eksar Road, Near Maratha Sahakari Bank Ltd., Borivali (W), Mumbai - 400 091. Postal/Zip Code: 400091 Taluka: Boriwali</t>
  </si>
  <si>
    <t>Chandan Laxmi Niwas (Shukla Niwas),Beltika Nagar, 16 No., Thergaon Postal/Zip Code: 411033 Taluka: Haveli</t>
  </si>
  <si>
    <t>2503, Tilak Chowk, Barshi Postal/Zip Code: 413401 Taluka: Barshi</t>
  </si>
  <si>
    <t>"Varadanand" C/o-Arun Naygaonker Behind S. T. Stand, Prashant Nagar, Postal/Zip Code: 431517 Taluka: Ambejogai</t>
  </si>
  <si>
    <t>1817, A Ward, Shivaji Peth, Sai Chambers, Varuntirth Vesh, Kolhapur Postal/Zip Code: 416012 Taluka: Karveer</t>
  </si>
  <si>
    <t>Jijamata Chowk, Shivaji Nagar, A/p. Kudal, Dist. Sindhudurg Postal/Zip Code: 416520 Taluka: Kudal</t>
  </si>
  <si>
    <t>C-96, Station Plaza, Ground Floor, Station Road, Bhandup( W) Postal/Zip Code: 400078 Taluka: Kurla</t>
  </si>
  <si>
    <t>Jalamb Naka, Kela Nagar Road, Civil Line, Khamgaon Tah Khamgaon Dist Buldhana Postal/Zip Code: 444303 Taluka: Khamgaon</t>
  </si>
  <si>
    <t>infront of the S.M.Highschool and Jr.college Near Science Practcal Lab,Malgaon,Tal:-Miraj,Dist:-sangli. Postal/Zip Code: 416407 Taluka: Miraj</t>
  </si>
  <si>
    <t>Near MSEB Office, Near Police Chouki, Akola Road, Akot Postal/Zip Code: 444101 Taluka: Akot</t>
  </si>
  <si>
    <t>Near Court, Shivaji Nagar Postal/Zip Code: 431513 Taluka: Hingoli</t>
  </si>
  <si>
    <t>In Front of Janta College Complex, Buldhana Road MALKAPUR Postal/Zip Code: 443101 Taluka: Malkapur</t>
  </si>
  <si>
    <t>OPP. MAHATMA FULE SCHOOL, KASBA PETH, KACHERI ROAD, BARSHI. TAL. BARSHI, DIST. SOLAPUR Postal/Zip Code: 413411 Taluka: Barshi</t>
  </si>
  <si>
    <t>Pol Sadan, A/P : Kavathe. Tal: Wai, Dist: Satara. Postal/Zip Code: 415516 Taluka: Wai</t>
  </si>
  <si>
    <t>Triveni Niwas, Ajara Road, Nesari, Postal/Zip Code: 416504 Taluka: Gadhinglaj</t>
  </si>
  <si>
    <t>Opp.Saibai Shopping Center, 1st Floor, 103 Kasba Peth, Phaltan. Tal: Phaltan, Dist: Satara. Postal/Zip Code: 415523 Taluka: Phaltan</t>
  </si>
  <si>
    <t>Opp. Panchayat Samitee, Sangli - Kolhapur Road, Hatkanangale Postal/Zip Code: 416109 Taluka: Hatkanangale</t>
  </si>
  <si>
    <t>Plot no.101, Shivprem, Saneguruji vasahat, Radhanagari Road, Kolhapur Postal/Zip Code: 416012 Taluka: Karveer</t>
  </si>
  <si>
    <t>Shop No. 3, Gajanan Palace Bldg. Near Nava Maharashtra Vidyalaya, Pimpri Gaon, Pune. Postal/Zip Code: 411017 Taluka: Haveli</t>
  </si>
  <si>
    <t>10/550, Vardhman Chowk, Ichalkaranji Postal/Zip Code: 416115 Taluka: Hatkanangale</t>
  </si>
  <si>
    <t>A/p. Sawarde, Aliya Complex , Sawarde Bajarpeth. Postal/Zip Code: 415606 Taluka: Chiplun</t>
  </si>
  <si>
    <t>2 Floor, Saraswati Jubili Liberary,Near Kisan Chaowk,Laxmi Market, Miraj Postal/Zip Code: 416410 Taluka: Miraj</t>
  </si>
  <si>
    <t>Shri Vitthal Niwas, Behind ST Stand, Islampur Postal/Zip Code: 415409 Taluka: Walva</t>
  </si>
  <si>
    <t>TIRUPATI COMPLEX, College Road Atpadi Postal/Zip Code: 415301 Taluka: Aatpadi</t>
  </si>
  <si>
    <t>Near New LIC Office, Keshav Nagar, Ambejogai Road Postal/Zip Code: 413531 Taluka: Latur</t>
  </si>
  <si>
    <t>Chhaya Sadan, Nehru Nagar, At post - Ghatanji, Dist - Yavatmal Postal/Zip Code: 445301 Taluka: Ghatanji</t>
  </si>
  <si>
    <t>7, Kapileshwar Apartment, Ranpise Nagar, Tal.Akola Postal/Zip Code: 444001 Taluka: Akola</t>
  </si>
  <si>
    <t>Shop 18, Venkatesh Plaza Building, Balaji Nagar, Near To Station, Bhayandar (W), Dist - Thane Postal/Zip Code: 401101 Taluka: Thane</t>
  </si>
  <si>
    <t>NEEL KAMAL DHAM CO. OP. HSG. SOC. LTD., FLAT NO 2, NEAR NEW ENGLISH HIGH SCHOOL, Opp Durga Temple, MAJIWADE , THANE (W) Postal/Zip Code: 400601 Taluka: Thane</t>
  </si>
  <si>
    <t>Sukh Suraj, Gattani Buliding, Near Oswal Bhavan, Mudholkar Peth Postal/Zip Code: 444602 Taluka: Amravati</t>
  </si>
  <si>
    <t>Anjuman-I-Islam Complex,main Building,II floor Dr D N Road, Opp. C.S.T.Railway station Postal/Zip Code: 400001 Taluka: Mumbai</t>
  </si>
  <si>
    <t>Jai Maharashtra Chowk, Alandi Road., Bhosari Postal/Zip Code: 411039 Taluka: Haveli</t>
  </si>
  <si>
    <t>7,Kashinath Apt., Birla College Road, Opp.Uma Hospital, Khadakpada, Kalyan(W) Postal/Zip Code: 421301 Taluka: Kalyan</t>
  </si>
  <si>
    <t>Near Court, Rajendra Nagar Postal/Zip Code: 431804 Taluka: Kinvat</t>
  </si>
  <si>
    <t>101, Siddhi Heritage, IInd Phase, Opp. Police Station, Near Aapala Bazar, Khed Postal/Zip Code: 415709 Taluka: Khed</t>
  </si>
  <si>
    <t>20, Adarsh Society, Ganesh Nagar, S.S. Road, Bhandup (w). Mumbai-78. Postal/Zip Code: 400078 Taluka: Kurla</t>
  </si>
  <si>
    <t>1st Floor, MSEB Office, Near Osmanabad Janata Bank, Main Road, Ausa Postal/Zip Code: 413520 Taluka: Ausa</t>
  </si>
  <si>
    <t>Jat Complex, Near New Bus Stant, Islampura. Postal/Zip Code: 423203 Taluka: Malegaon</t>
  </si>
  <si>
    <t>Plot No.37, Patil Wada, Samartha Nagar,Dahivali,Karjat Postal/Zip Code: 410201 Taluka: Karjat</t>
  </si>
  <si>
    <t>Ground Floor, Jagannath Bhatankar Marg Municipal School, Jagannath Bhatankar Marg, Opp.Shirodkar Fish Market, Near Parel Station, Parel East Postal/Zip Code: 400012 Taluka: Mumbai</t>
  </si>
  <si>
    <t>Bazar Peth Main Chouk BKG Road Kankavli Postal/Zip Code: 416602 Taluka: Kankavli</t>
  </si>
  <si>
    <t>Ibrahim Complex, First Floor, Near Bhaji Mandi, Bazar Peth, Main Road Chiplun Postal/Zip Code: 415605 Taluka: Chiplun</t>
  </si>
  <si>
    <t>Opp. Police Station, Near Tahsil Office A/p : Devkukh Postal/Zip Code: 415804 Taluka: Sangameshwar</t>
  </si>
  <si>
    <t>Manik Complex, Ground Floor, Shimpi Galli, Raviwar Peth,Phaltan Tal: Phaltan, Dist: Phaltan Postal/Zip Code: 415523 Taluka: Phaltan</t>
  </si>
  <si>
    <t>C/O RAMCHANDRA PLAZA DURGA MATA CHOWKDIGRAS, YAVATMAL Postal/Zip Code: 445203 Taluka: Digras</t>
  </si>
  <si>
    <t>Mata Chambers, 2nd Floor, Balasaheb Shitole Market, Main Road, Old Sangavi Postal/Zip Code: 411027 Taluka: Haveli</t>
  </si>
  <si>
    <t>NEAR BLDG. NO. 13, TILAK NAGAR, CHEMBUR Postal/Zip Code: 400089 Taluka: Kurla</t>
  </si>
  <si>
    <t>1/4, CHINTAMANI SHOPPING CENTER, AT.POST.KUDUS,TAL - WADA Postal/Zip Code: 421312 Taluka: Vada</t>
  </si>
  <si>
    <t>Sai Computers, Court Road, Ashti. Postal/Zip Code: 414203 Taluka: Ashti</t>
  </si>
  <si>
    <t>1 basement , charudatta chambers, near gaikwad class cbs Postal/Zip Code: 422003 Taluka: Nashik</t>
  </si>
  <si>
    <t>AT/P-Takali-Dhokeshwar, Near Bus Stant, TAL: Parner, Dist: Ahmednagar Postal/Zip Code: 414304 Taluka: Parner</t>
  </si>
  <si>
    <t>State Bank Of India Campus, Opp. Pravara Co-Op Bank Ltd., Sangamner Road, Loni (Bk) Postal/Zip Code: 413736 Taluka: Rahata</t>
  </si>
  <si>
    <t>C' Wing,2Nd Floor, 2011/Station Plaza, Station Road, Postal/Zip Code: 400078 Taluka: Kurla</t>
  </si>
  <si>
    <t>26/205, Anand Nagar,Ground Floor, Nehru Road, Vakola Bridge, opp Seema Marble Postal/Zip Code: 400055 Taluka: Andheri</t>
  </si>
  <si>
    <t>M-Lee Apt., Uran-Mora Road, Near Star Cycle Shop, Uran, Dist - Raigad. Postal/Zip Code: 400702 Taluka: Uran</t>
  </si>
  <si>
    <t>Shop No.7, Raghu Nath Mhatre Building, Near Sakharam Complex, Auto Stand, Dombivli (W) Postal/Zip Code: 421202 Taluka: Kalyan</t>
  </si>
  <si>
    <t>Room No. 12 Basement Neelkanth Commercial Complex, N.G. Acharya Marg, Near Railway Station, Chembur Postal/Zip Code: 400071 Taluka: Kurla</t>
  </si>
  <si>
    <t>Tilak Smarak mandir , Near Postal Ground Opposite Shubham Automobile Postal/Zip Code: 445001 Taluka: Yavatmal</t>
  </si>
  <si>
    <t>N-42, JB 2/9/3, Shri Ram Nagar, Pawan Nagar, CIDCO, Nashik Postal/Zip Code: 422008 Taluka: Nashik</t>
  </si>
  <si>
    <t>2nd Floor, Dilip Valse Patil Bhavan, Kalewadi Ambegaon Postal/Zip Code: 412408 Taluka: Ambegaon</t>
  </si>
  <si>
    <t>2484, Near Darshan Mandap, Pandharpur Postal/Zip Code: 413304 Taluka: Pandharpur</t>
  </si>
  <si>
    <t>43167,Akshay Plaza, 1st Floor, Near Circuit House, Sadar Bazar,Satara. Tal: Satara, Dist: Satara. Postal/Zip Code: 415001 Taluka: Satara</t>
  </si>
  <si>
    <t>C/o. Rajani Classes, 760 Shaniwar Peth, Behind Kanya Shala,Satara Tal: Satara, Dist: Satara Postal/Zip Code: 415002 Taluka: Satara</t>
  </si>
  <si>
    <t>2nd floor,Shrikrushna Plaza(Alekar Market) behind SBI Bank, Near ST Stand, Narayangaon Postal/Zip Code: 410504 Taluka: Junnar</t>
  </si>
  <si>
    <t>Flat No. 13 Harikrupa Apts.,r Mohini Raj Bus Stop,Near vidyavikas circle, Gangapur Road,Nasik-13 Postal/Zip Code: 422013 Taluka: Nashik</t>
  </si>
  <si>
    <t>Shreehari Computer Education, Mothe Ram Mandir Road, Between Poha vesh &amp; Datta Mandir, Karanja Lad, Dist. Washim. 444105 Postal/Zip Code: 444105 Taluka: Karanja</t>
  </si>
  <si>
    <t>Near Dr. Jain Hospital, Ramnagar, Wardha Postal/Zip Code: 442001 Taluka: Wardha</t>
  </si>
  <si>
    <t>MAIN ROAD GAJBHIYE COMPLEX SHOP NO.22 FIRST FLOWER,AMGAON Postal/Zip Code: 441902 Taluka: Amgaon</t>
  </si>
  <si>
    <t>74, SIndhu Nagari Priyanka Photo, Oras Phata NH 17 BK6 Road, ORAS Postal/Zip Code: 416812 Taluka: Kudal</t>
  </si>
  <si>
    <t>DIC Road, Datta Nagar Kakade Plot Postal/Zip Code: 413501 Taluka: Osmanabad</t>
  </si>
  <si>
    <t>SHARDA NAGAR Mudkhed. 431806 Postal/Zip Code: 431806 Taluka: Mudkhed</t>
  </si>
  <si>
    <t>Shri Chhatrapati Shivaji College Campus, Omerga Postal/Zip Code: 413606 Taluka: Omarga</t>
  </si>
  <si>
    <t>Near Cosmos Co-op Bank Ltd, Datta Mandir Road, Postal/Zip Code: 412105 Taluka: Khed</t>
  </si>
  <si>
    <t>SHOP NO. G-6, DOSTI HERITAGE, D'SOUZA COMPLEX, D'SOUZA NAGAR,90FT. ROAD, SAFED POOL, MUMBAI 400 072. Postal/Zip Code: 400072 Taluka: Kurla</t>
  </si>
  <si>
    <t>813 Vetal Peth, Choupati, BhorTal-Bhor,Dist-Pune Pin 412206 Postal/Zip Code: 412206 Taluka: Bhor</t>
  </si>
  <si>
    <t>Smt. P.B.Bagal, Nutan High School Road, Dondaicha Postal/Zip Code: 425408 Taluka: Sindkhed</t>
  </si>
  <si>
    <t>14, Ist Floor, Om Nivas, Vidya Nagar, College Road, Postal/Zip Code: 431512 Taluka: Basamat</t>
  </si>
  <si>
    <t>202/A, Shivkala Arcade, Above MSEB Office, Boisar, Dist : Thane Postal/Zip Code: 401501 Taluka: Palghar</t>
  </si>
  <si>
    <t>Tasgaon Road, Mangal Sociery, Near Minakshi Theatre, Palus Postal/Zip Code: 416310 Taluka: Palus</t>
  </si>
  <si>
    <t>Kadgaon Road, GADHINGLAJ Postal/Zip Code: 416502 Taluka: Gadhinglaj</t>
  </si>
  <si>
    <t>Nr BMC PUBLIC LIBRARY KUNDELVADI ROAD Postal/Zip Code: 431710 Taluka: Biloli</t>
  </si>
  <si>
    <t>Harikrishna Complex,Samarth Nagar,Main Road,Navi Sangavi,Pune 27 Postal/Zip Code: 411027 Taluka: Haveli</t>
  </si>
  <si>
    <t>old adat bazar futane galli Postal/Zip Code: 413216 Taluka: Akkalkot</t>
  </si>
  <si>
    <t>Disha Computers , NADHE BUILDING , PANCHNATH CHOWK, MAIN ROAD, KALEWADI, PIMPRI,PUNE -411017. Postal/Zip Code: 411017 Taluka: Haveli</t>
  </si>
  <si>
    <t>219/3107, Station Rd,opp. Saraswat Bank, Tagore Nagar, Vikhroli (E)Mumbai-400083. Postal/Zip Code: 400083 Taluka: Kurla</t>
  </si>
  <si>
    <t>Satkar Nagar, Opp. Honda Showroom, Nagpur Road, N.H.6, Bhandara Postal/Zip Code: 441904 Taluka: Bhandara</t>
  </si>
  <si>
    <t>hanuman ward, Neharu Square yatra road warora Postal/Zip Code: 442907 Taluka: Warora</t>
  </si>
  <si>
    <t>Sahakar Complex, Main Road Postal/Zip Code: 431712 Taluka: Hadgaon</t>
  </si>
  <si>
    <t>.AT KUHI C/O BHALOTIYA HOUSE MAIN ROAD KUHI Postal/Zip Code: 441202 Taluka: Kuhi</t>
  </si>
  <si>
    <t>Aiyaachit Building, 1st Floor, Main Bazhar Peth. Tal:Kahtav, Dist: Satara. Postal/Zip Code: 415512 Taluka: Khatav</t>
  </si>
  <si>
    <t>46/B'Datapro'Corner, 1st Floor, Near Tilak Highschool , Mangalwar Peth,Karad. Tal: Karad, Dist: Satara. Postal/Zip Code: 415110 Taluka: Karad</t>
  </si>
  <si>
    <t>Block No.2, 2nd Floor, Lokaratna Apartment,Jhansi Rani Statue, Sitabuldle, Nagpur. Postal/Zip Code: 440012 Taluka: Nagpur</t>
  </si>
  <si>
    <t>Badkas Chowk, Ayachit Mandir Road (Mahal) Postal/Zip Code: 440002 Taluka: Nagpur</t>
  </si>
  <si>
    <t>Opp. Bhosale High School, Pawar Nivas, Tambri Vibhag, Postal/Zip Code: 413501 Taluka: Osmanabad</t>
  </si>
  <si>
    <t>Near Kamble Phatake Stall, Dayaram Road Postal/Zip Code: 413512 Taluka: Latur</t>
  </si>
  <si>
    <t>Infront of Shivaji Vidyalaya, Plot No.116,Kisan Nagar,Main Road CIDCO. Postal/Zip Code: 431603 Taluka: Nanded</t>
  </si>
  <si>
    <t>Above Maharashtra Kirana Stores,Near Police Station Main road,Kinwat Postal/Zip Code: 431804 Taluka: Kinvat</t>
  </si>
  <si>
    <t>Opp.Hindurao ghadge Vidyamandir,Gahininath Chowk, Main Road, Kagal - 416216 Postal/Zip Code: 416216 Taluka: Kagal</t>
  </si>
  <si>
    <t>Near Market Committe, Main Road, Umri Postal/Zip Code: 431807 Taluka: Umree</t>
  </si>
  <si>
    <t>NEAR ZARI MASJID , 1ST FLOOR SAVATA MALI MANDIR KURUNDWAD Postal/Zip Code: 416106 Taluka: Shirol</t>
  </si>
  <si>
    <t>Behind Ashwamegh Hotel, Shrinagar, Barshi Road Postal/Zip Code: 413531 Taluka: Latur</t>
  </si>
  <si>
    <t>Near Bus Stand, Khanapur Postal/Zip Code: 415307 Taluka: Khanapur</t>
  </si>
  <si>
    <t>Mathura Complex, Lonkheda Char Rasta, Lonkheda Postal/Zip Code: 425409 Taluka: Shahada</t>
  </si>
  <si>
    <t>96/9, Takiya ward,Sarveswer Mandir Marg,Near Ambica Seva Mandal, Kurla(West)Mumbai 4000 70 Postal/Zip Code: 400070 Taluka: Kurla</t>
  </si>
  <si>
    <t>Shop no.2, Bandal-Dhankude Plaza,Bhusari Colony, Paud Road, Pune Postal/Zip Code: 411038 Taluka: Haveli</t>
  </si>
  <si>
    <t>120,First Floor, Riddhi Complex, Sector-13, Khanda Colony, New Panvel (Wt) Pin-410206 Postal/Zip Code: 410206 Taluka: Panvel</t>
  </si>
  <si>
    <t>67, Satsang Colony, Gondur Vimantal Road,Vidyanagari, Deopur Postal/Zip Code: 424005 Taluka: Dhule</t>
  </si>
  <si>
    <t>Apteshta Computers Bhoi Lane Pimplner Pimpalner Postal/Zip Code: 424306 Taluka: Sakri</t>
  </si>
  <si>
    <t>3, Shankar Market, Dondaicha Road, Shahada Postal/Zip Code: 425409 Taluka: Shahada</t>
  </si>
  <si>
    <t>13-16, Dr. Hedgewar Shopping Complex, Near Shivaji Natyagruha, Bodwad Road, Muktainagar Postal/Zip Code: 425306 Taluka: Muktainagar</t>
  </si>
  <si>
    <t>BULDANA ROAD, OPP. OF G. V. M. HIGH SCHOOL, MALKAPUR, TAH MALKAPUR DIST BULDHANA Postal/Zip Code: 443101 Taluka: Malkapur</t>
  </si>
  <si>
    <t>Shop no. A-1, Yaval Taluka Shetkari Sangh Vyapari Sankul, Near Bus Stand, Postal/Zip Code: 425301 Taluka: Yaval</t>
  </si>
  <si>
    <t>62, Jaihind Colony, Deopur, Dhule Postal/Zip Code: 424002 Taluka: Dhule</t>
  </si>
  <si>
    <t>12, Jai Hind Colony, Near Sagar Vihar Apartment Postal/Zip Code: 425408 Taluka: Sindkhed</t>
  </si>
  <si>
    <t>In front of New Tahasil Office Jamner Road, Bodwad Postal/Zip Code: 425310 Taluka: Bodwad</t>
  </si>
  <si>
    <t>SUB DISTRICT RURAL HOSPITAL SQUARE, IN FRONT OF PWD REST HOUSE Postal/Zip Code: 442705 Taluka: Aheri</t>
  </si>
  <si>
    <t>14/15, Top Floor, VIP Market, Ozar (Mig), Tal. Niphad, Dist. Nashik Postal/Zip Code: 422206 Taluka: Niphad</t>
  </si>
  <si>
    <t>Opp. Kanya School, Bajar Peth- RUKADI. Postal/Zip Code: 416118 Taluka: Hatkanangale</t>
  </si>
  <si>
    <t>110,sai tower, opp. cottege Hospital, Station Rqad, Karad, Tal: Karad, Dist: Satara Postal/Zip Code: 415110 Taluka: Karad</t>
  </si>
  <si>
    <t>2nd Floor, PC Corner, OPP Vaibhav gas agency, Krishna Naka,  Karad-415110 Postal/Zip Code: 415110 Taluka: Karad</t>
  </si>
  <si>
    <t>883, Main Road, Near Railway Track, Bhagur Postal/Zip Code: 422502 Taluka: Nashik</t>
  </si>
  <si>
    <t>22, Gr. Flr., Vijay Nagar Bldg., Behind Kamat Hotel, Dadar (W), Mumbai - 28 Postal/Zip Code: 400028 Taluka: Mumbai</t>
  </si>
  <si>
    <t>A1 Bunglow, MR Society, Opp. Raheja College,Juhu Tara ROAD, Santacruz (West) , MUMBAI-400054 Postal/Zip Code: 400054 Taluka: Mumbai</t>
  </si>
  <si>
    <t>N-43,CA-1/11/8 TRIMURTI CHOWK CIDCO NASHIK Postal/Zip Code: 422008 Taluka: Nashik</t>
  </si>
  <si>
    <t>At Post - Abhona,Tal - kalvan,Dist - Nashik Postal/Zip Code: 423502 Taluka: Kalvan</t>
  </si>
  <si>
    <t>A.M. College of Educatin Campus, Aisha Nagar, Patkinara, MALEGAON Postal/Zip Code: 423203 Taluka: Malegaon</t>
  </si>
  <si>
    <t>Shop No.5,Ground floor,Arjune Centre govandi station road,Govandi,Mumbai Postal/Zip Code: 400088 Taluka: Kurla</t>
  </si>
  <si>
    <t>27-28, Kuber Corner, Sailani Stop, Jail Road Postal/Zip Code: 422101 Taluka: Nashik</t>
  </si>
  <si>
    <t>LALPOTU INFOTECH 2, HOUSING SOCIETY BASMATNAGAR DIST HINGOLI Postal/Zip Code: 431512 Taluka: Basamat</t>
  </si>
  <si>
    <t>a-1 market karegaon Road, Parbhani Postal/Zip Code: 431401 Taluka: Parbhani</t>
  </si>
  <si>
    <t>Mahesh palace Near Over Bridge New Mondha Postal/Zip Code: 431401 Taluka: Parbhani</t>
  </si>
  <si>
    <t>N.R. Complex, Shaniwar Bazar, Nanalpeth, Parbhani Postal/Zip Code: 431401 Taluka: Parbhani</t>
  </si>
  <si>
    <t>50, Sarswati Appt., In front of MP Law College, Samarth nagar, near monalisa beauty parlour. Postal/Zip Code: 431001 Taluka: Aurangabad</t>
  </si>
  <si>
    <t>Near Nagar Parishad Office, Sonpeth Postal/Zip Code: 431516 Taluka: Sonpeth</t>
  </si>
  <si>
    <t>Plot No. 100, Bilwadal, Tilaknagar, Aurangabad Postal/Zip Code: 431005 Taluka: Aurangabad</t>
  </si>
  <si>
    <t>Shivaji Nagar, Main Road, Indrayani Complex, At Post Shirur (Kasar), Tal. Shirur Postal/Zip Code: 413249 Taluka: Shirur (Kasar)</t>
  </si>
  <si>
    <t>Atharv Plaza, "F5A", Opp. Rural Hospital, Main Road, Kudal Postal/Zip Code: 416520 Taluka: Kudal</t>
  </si>
  <si>
    <t>102, Krishna Koyna Apt., Opp.Last Bus Stop, Kisan Nagar No.3, Wagle Estate, Thane - 4 Postal/Zip Code: 400604 Taluka: Thane</t>
  </si>
  <si>
    <t>Laxmi Complax, 2nd Floor, Gerase Road, Patil Nagar, Near Railway Station, Vasind (E) Postal/Zip Code: 421604 Taluka: Shahapur</t>
  </si>
  <si>
    <t>1 st Floor, Gurukrupa Market , Mahavir Chowk, Nanded Postal/Zip Code: 431601 Taluka: Nanded</t>
  </si>
  <si>
    <t>11, Perl CHS, Sector -4, Airoli, Navi Mumbai Postal/Zip Code: 400708 Taluka: Thane</t>
  </si>
  <si>
    <t>410/411, Vardhaman Shopping Center, 4th Floor, Behind Shivaji Statue, Manpada road, Dombivli (E) Postal/Zip Code: 421201 Taluka: Kalyan</t>
  </si>
  <si>
    <t>Krishna Koyana Apartment, 2nd Floor, Kisan Nagar No.3, Road No. 16, Wagle Estate, Thane-4 Postal/Zip Code: 400604 Taluka: Thane</t>
  </si>
  <si>
    <t>Madhuri Niwas Narsi Road Postal/Zip Code: 431715 Taluka: Mukhed</t>
  </si>
  <si>
    <t>B-7/4 , MIDC Kudal (AS) Postal/Zip Code: 416550 Taluka: Kudal</t>
  </si>
  <si>
    <t>G/716, Sabniswada, MainRoad,Near S.T.Stand, Sawantwadi Postal/Zip Code: 416510 Taluka: Savantwadi</t>
  </si>
  <si>
    <t>Co. Op Bank colony, Near Sphurti Sporting Club Postal/Zip Code: 442907 Taluka: Warora</t>
  </si>
  <si>
    <t>SHOP 9,JAKAT NAKA SHOPPING PREMISES CO.OP LTD.,OPP SHREE HOSPITAL,SHREE NAGAR,THANE (W) Postal/Zip Code: 400604 Taluka: Thane</t>
  </si>
  <si>
    <t>745, Kasba peth, Shimpi Ali, Pune411011 Postal/Zip Code: 411011 Taluka: Haveli</t>
  </si>
  <si>
    <t>Near Chhatrapati Shivaji High School, Tambri Vibhag Postal/Zip Code: 413501 Taluka: Osmanabad</t>
  </si>
  <si>
    <t>119, Anand Estate, 2nd Floor, Sane Guruji Marg, Opp. Santoshi Mata Mandir, Chinchpokli (w) Postal/Zip Code: 400011 Taluka: Mumbai</t>
  </si>
  <si>
    <t>Mangalwar Peth Postal/Zip Code: 413601 Taluka: Tulajapur</t>
  </si>
  <si>
    <t>GT Road, Durga Chowk (Kamptee) Postal/Zip Code: 441002 Taluka: Kamathi</t>
  </si>
  <si>
    <t>13, Rajendra Colony, Prashant Nagar Road Postal/Zip Code: 444606 Taluka: Amravati</t>
  </si>
  <si>
    <t>C/o.Ramprasad D. Jagu, Near Doodh Dairy, College Raod Postal/Zip Code: 413514 Taluka: Ahmadpur</t>
  </si>
  <si>
    <t>Anandi Bhavan, Sagunamata Nagar, Santoshimata Road. TAl: Phaltan, Dist: Satara Postal/Zip Code: 415523 Taluka: Phaltan</t>
  </si>
  <si>
    <t>B-2, Vimal Udyog Bhavan, 119, Taikalwadi, Manmala Tank Road, Opp. Starcity Cinema, Matunga Road Station, Mahim Postal/Zip Code: 400016 Taluka: Kurla</t>
  </si>
  <si>
    <t>Behind Bus Stand, Jalgaon(Jamod) Tah Jalgaon Jamod Dist Buldhanan Postal/Zip Code: 443402 Taluka: Jalagaon</t>
  </si>
  <si>
    <t>GANDHI CHOWK, CHURCH ROAD,MIRAJ Postal/Zip Code: 416410 Taluka: Miraj</t>
  </si>
  <si>
    <t>A/P: KUNDAL, NEAR GRAMPANCHAYAT Postal/Zip Code: 416309 Taluka: Palus</t>
  </si>
  <si>
    <t>"Aashirwad", plot No.3, Yashoda Nagar, Opp. State Bank of Hyderabad, Bhadgaon Road,Pachora Postal/Zip Code: 424201 Taluka: Pachora</t>
  </si>
  <si>
    <t>2ND FLOOR Ashirwad Soc, Opp. Pcmt Depot, Near Police Chowky, Sant Tukaram Nagar, Pimpri Pune 18 Postal/Zip Code: 411018 Taluka: Haveli</t>
  </si>
  <si>
    <t>Shop No.20, Ashok Raj Bldg., Behind Sanman HOTEL,S.V. ROAD, GOREGAON (W), Postal/Zip Code: 400062 Taluka: Mumbai</t>
  </si>
  <si>
    <t>D.P.Road, Jijamata Chowk, near Dr. P.K. Kulkarni Hospital Postal/Zip Code: 431122 Taluka: Beed</t>
  </si>
  <si>
    <t>shriram nagar,backside of panchyat samiti beed Postal/Zip Code: 431122 Taluka: Beed</t>
  </si>
  <si>
    <t>Siddarth College of Arts, Science &amp; commerce College, Buddha Bhavan, Purshottam T. Marg, Fort Postal/Zip Code: 400023 Taluka: Mumbai</t>
  </si>
  <si>
    <t>Kohinoor Institute of Hotel management &amp; catering technology, C/O Kokane's Kohinoor Technical Institute, Senapati Bapat Marg, Dadar(W), Mumbai-400028. Postal/Zip Code: 400028 Taluka: Mumbai</t>
  </si>
  <si>
    <t>Miliya Arts &amp; Science College Postal/Zip Code: 431122 Taluka: Beed</t>
  </si>
  <si>
    <t>Hirapur Road, Postal/Zip Code: 424101 Taluka: Chalisgaon</t>
  </si>
  <si>
    <t>5, Dhruva Apartment, Swami Narayan Road, Datta Mandir,Dhule Postal/Zip Code: 424005 Taluka: Dhule</t>
  </si>
  <si>
    <t>101/106 "Prajapati Arcade" First Floor, Plot No. 22-23, Sec. 15A, Opp. Railway Station, CIDCO Colony, New Panvel Postal/Zip Code: 410206 Taluka: Panvel</t>
  </si>
  <si>
    <t>Athalye-sapre College Ground At Post Devrukh Postal/Zip Code: 415804 Taluka: Sangameshwar</t>
  </si>
  <si>
    <t>Dapoli Urban Bank Senior Science College Dapoli A.G.Highschool Compound ,opp Mandlik Hospital Postal/Zip Code: 415712 Taluka: Dapoli</t>
  </si>
  <si>
    <t>2nd Floor, Siddhi Complex, A/p, tahsil Lanja Postal/Zip Code: 416701 Taluka: Lanja</t>
  </si>
  <si>
    <t>4A, Sanganak Bhavan, 3rd Floor, North Bazar Road, Dharampeth Extn., Gkoulpeth Postal/Zip Code: 440010 Taluka: Nagpur</t>
  </si>
  <si>
    <t>Motewar complex 2nd floor,Shri nagar. Postal/Zip Code: 431605 Taluka: Nanded</t>
  </si>
  <si>
    <t>Plot No. R/6, Behind Hotel Fulora, Market Yard Road, Gultekdi Postal/Zip Code: 411037 Taluka: Haveli</t>
  </si>
  <si>
    <t>C/o.: Arts, Commerce &amp; Science College, Tadoba Road, Tukum Postal/Zip Code: 442401 Taluka: Chandrapur</t>
  </si>
  <si>
    <t>C/o Galaxy InfoTech Services, Ganesh Nagar Postal/Zip Code: 441601 Taluka: Gondiya</t>
  </si>
  <si>
    <t>Near Hotel Vaibhav, Dhanora Road, Postal/Zip Code: 442605 Taluka: Gadchiroli</t>
  </si>
  <si>
    <t>'' Parshwabhoomi Complex'' Near Sanskar Vidyalaya, Beed. Postal/Zip Code: 431122 Taluka: Beed</t>
  </si>
  <si>
    <t>kes N.N.Patil Educational Campus pezari. Postal/Zip Code: 402108 Taluka: Alibag</t>
  </si>
  <si>
    <t>Ramlata Business Centre, N.H. No. 6, Amravati Road Postal/Zip Code: 444001 Taluka: Akola</t>
  </si>
  <si>
    <t>Nalegaonkar Complex, Samata Nagar Postal/Zip Code: 413501 Taluka: Osmanabad</t>
  </si>
  <si>
    <t>C/o. Advanced Centre of Info. Tech., Haritkranti Building,Market Yard,Station Rd. Postal/Zip Code: 414001 Taluka: Ahmednagar</t>
  </si>
  <si>
    <t>Behind Income Tax Office, Ausa Road Postal/Zip Code: 413531 Taluka: Latur</t>
  </si>
  <si>
    <t>'Anuda Chambers', 1St Floor, Opp. S T Stand, Near Gujar Hospital, 203 Shaniwar Peth. Tal: Karad, Dist: Satara Postal/Zip Code: 415110 Taluka: Karad</t>
  </si>
  <si>
    <t>164/1, Railway Lines, affiliate software, limewire Postal/Zip Code: 413001 Taluka: Solapur(n)</t>
  </si>
  <si>
    <t>128/2 J.P.Naik Path, Next to solaris Gym, Off Karve Road, Mayur colony, Kothrud Pune -411038 Postal/Zip Code: 411002 Taluka: Haveli</t>
  </si>
  <si>
    <t>Near B. R. Highschool ,Opp. MSEB office, Ghode Plot ,Katol Postal/Zip Code: 441302 Taluka: Katol</t>
  </si>
  <si>
    <t>NEAR S.T. STAND, BEHIND DATTMANDHIR, DATTNAGAR , SIDDHNATHWADI WAI. Postal/Zip Code: 412803 Taluka: Wai</t>
  </si>
  <si>
    <t>Chandrma complex,Subhash Nagar, Degloor Postal/Zip Code: 431717 Taluka: Deglur</t>
  </si>
  <si>
    <t>Softline Computer Institute, Karanja Chowk,Hinganghat Postal/Zip Code: 442301 Taluka: Hinganghat</t>
  </si>
  <si>
    <t>Jay Maharashtra Chowk, Alandi Road, Bhosari, Pune-39. Postal/Zip Code: 411039 Taluka: Haveli</t>
  </si>
  <si>
    <t>Opp. Vishwashanti Dham Mandir, Nanded Road Postal/Zip Code: 413513 Taluka: Chakur</t>
  </si>
  <si>
    <t>Shop no 6, Basement, Aryan Capital Building, Wada Road, Rajgurunagar, Tal-Khed, Dist-Pune Postal/Zip Code: 410505 Taluka: Khed</t>
  </si>
  <si>
    <t>Near Ambedkar Statue, Amravati Road, Wadi, Nagpur Postal/Zip Code: 440023 Taluka: Nagpur Rural</t>
  </si>
  <si>
    <t>Sai Baba Plaza, Shop No. 19, Plot No. 20, Sector 15, Airoli, Navi MumbaiI - 400 708 Postal/Zip Code: 400708 Taluka: Thane</t>
  </si>
  <si>
    <t>Santoshi Mata Colony, Near MSEB office, Postal/Zip Code: 444105 Taluka: Karanja</t>
  </si>
  <si>
    <t>[Bhogawati] Shahunagar Parite Postal/Zip Code: 416211 Taluka: Karveer</t>
  </si>
  <si>
    <t>Murai Market, Shegaon Naka, VMV Road, Postal/Zip Code: 444604 Taluka: Amravati</t>
  </si>
  <si>
    <t>Innovative Computer Services, N-5, P-1, Avishkar Chowk, Dharmatma Building, Cidco Postal/Zip Code: 431003 Taluka: Aurangabad</t>
  </si>
  <si>
    <t>Office No.5, Anand Bhuvan, Gokhale Road, Vile Parle (E) Postal/Zip Code: 400057 Taluka: Andheri</t>
  </si>
  <si>
    <t>Prabhakar Arcade, 1 st Floor, Near Hanuman Mandir, Next to Suvarna Yug Sahakari Bank ChandanNagar Postal/Zip Code: 411014 Taluka: Haveli</t>
  </si>
  <si>
    <t>2nd floor, Orion complex, opp. chelipura highschool, railway station road, osmanpura, Postal/Zip Code: 431005 Taluka: Aurangabad</t>
  </si>
  <si>
    <t>17, Waheguru Complex, Pundlik Nagar Road, Garkheda, Aurangabad Postal/Zip Code: 431005 Taluka: Aurangabad</t>
  </si>
  <si>
    <t>IInd Floor, Patil Heights, Opp. Pandharicha Maruti Temple , Krishna Naka, Mangalwar Peth, Tal: Karad, Dist: Satara. Postal/Zip Code: 415110 Taluka: Karad</t>
  </si>
  <si>
    <t>A/P- Bhuinj Tal: Wai, Dist: Satara Postal/Zip Code: 415515 Taluka: Wai</t>
  </si>
  <si>
    <t>Near Karad Merchant Bank, Umbraj. Tal: Karad, Dist: Satara. Postal/Zip Code: 415109 Taluka: Karad</t>
  </si>
  <si>
    <t>Saidham, 1St Floor, New English School Chowk, 349 Somwar Peth. Tal: Satara, Dist: Satara Postal/Zip Code: 415002 Taluka: Satara</t>
  </si>
  <si>
    <t>G-10, Kokan Sagar Co.Op.Hsg. Ltd., Kokan Nagar, Jogeshwari(E) Postal/Zip Code: 400060 Taluka: Mumbai</t>
  </si>
  <si>
    <t>Plot No.4, Gandhinagar, Nagpur Postal/Zip Code: 440010 Taluka: Nagpur</t>
  </si>
  <si>
    <t>Mahalaxmi Bazar, Shivaji Nagar, Mahadula, Koradi Postal/Zip Code: 441111 Taluka: Kamathi</t>
  </si>
  <si>
    <t>2nd floor,gade kirana store,Tarsa Rd. Indieara Nagar. Postal/Zip Code: 441401 Taluka: Parashivani</t>
  </si>
  <si>
    <t>Behind Kothari Sankul-1, Near Jyoti Vidyalaya, Gorakshan Road, Akola Postal/Zip Code: 444004 Taluka: Akola</t>
  </si>
  <si>
    <t>Gayatri Nagar, Near S.T. Workshop, Kaul khed road, Akola Postal/Zip Code: 444004 Taluka: Akola</t>
  </si>
  <si>
    <t>7, 3Rd Floor, Pushpashanti Towers, Behind Kothrud Petrol Pump Postal/Zip Code: 411038 Taluka: Haveli</t>
  </si>
  <si>
    <t>Khobe Wada , Near Adhawadi Bazar At.PO. Ta. Chamorshi Dist.Gadchiroli Postal/Zip Code: 442603 Taluka: Chamorshi</t>
  </si>
  <si>
    <t>nutan vasahat ambad Postal/Zip Code: 431204 Taluka: Ambad</t>
  </si>
  <si>
    <t>193, Gold Finch Peth,Abvoe Lokmangal Bank Postal/Zip Code: 413007 Taluka: Solapur(n)</t>
  </si>
  <si>
    <t>489, Sakhar Peth Near Police Chowki Postal/Zip Code: 413005 Taluka: Solapur(n)</t>
  </si>
  <si>
    <t>Near Godhane Hospital, Pandhurna Chowk Postal/Zip Code: 444906 Taluka: Warud</t>
  </si>
  <si>
    <t>Commercial Complex, Opp. Post Office,warnanagar Postal/Zip Code: 416113 Taluka: Panhala</t>
  </si>
  <si>
    <t>597, Opp.New Datta Mandir, Yashwantnagar,Sangli, Dist - Sangli Postal/Zip Code: 416416 Taluka: Miraj</t>
  </si>
  <si>
    <t>Amgaon Road, Salekasa Postal/Zip Code: 441916 Taluka: Salekasa</t>
  </si>
  <si>
    <t>In front Bus Stop Chhatrapati Sambhajiraje Chowk, Shroli Pulachi,Tal:-Hatkanagale Postal/Zip Code: 416122 Taluka: Hatkanangale</t>
  </si>
  <si>
    <t>K M S Educational institutions, 142/49, DR. BORGES RD. PAREL, MUMBAI Postal/Zip Code: 400012 Taluka: Mumbai</t>
  </si>
  <si>
    <t>Hall No.B-1 Venkateshwar Complex Near Super Bazar, Ashok Chowk Postal/Zip Code: 413005 Taluka: Solapur(n)</t>
  </si>
  <si>
    <t>Balaji Computer Academy, Suyash Complex, Behind S. T. Stand, Front of Nagar Palika Postal/Zip Code: 416216 Taluka: Kagal</t>
  </si>
  <si>
    <t>c/o: Sadhana Computers, Sudarshan complex,1st Floor, Opp.Bhairavnath Talkies, Yashwant Nagar, Vita Postal/Zip Code: 415311 Taluka: Khanapur</t>
  </si>
  <si>
    <t>c/o. Boston's Computer Institute, 42/A, Opp chamber of Commerce, Mahavir Nagar, Sangli Postal/Zip Code: 416416 Taluka: Miraj</t>
  </si>
  <si>
    <t>At/Post:Sagaon, Tal: Shirala,Dist: Sangli Postal/Zip Code: 415408 Taluka: Shirala</t>
  </si>
  <si>
    <t>Medhe Building, Near Bank of India, Main road, Chandgad Postal/Zip Code: 416509 Taluka: Chandgad</t>
  </si>
  <si>
    <t>Tanwade Shoping Center, opp. New palace Postal/Zip Code: 413216 Taluka: Akkalkot</t>
  </si>
  <si>
    <t>1882, B-2, Shubham Plaza Rajarampuri 9th Lane,kolhapur Postal/Zip Code: 416008 Taluka: Karveer</t>
  </si>
  <si>
    <t>College Road, Near S.T. Stand, Ashta Postal/Zip Code: 416301 Taluka: Walva</t>
  </si>
  <si>
    <t>Near LIC office,Opp Bharat Gas,Plot no-4,Navrang Building,MG Road,Pen Postal/Zip Code: 402107 Taluka: Pen</t>
  </si>
  <si>
    <t>Nevarekar Building, First Floor, Near Janta Bank, Main Road, Ajara. Postal/Zip Code: 416505 Taluka: Ajra</t>
  </si>
  <si>
    <t>1004/14, 'A' ward,Near Kalkai Mandir,shivaji peth,kolhapur Postal/Zip Code: 416012 Taluka: Karveer</t>
  </si>
  <si>
    <t>945, north sadar bazar, Saat Rasta , near Huma Medical Postal/Zip Code: 413003 Taluka: Solapur(n)</t>
  </si>
  <si>
    <t>4/B, Prabuddha Colony, Court Road Postal/Zip Code: 425401 Taluka: Amalner</t>
  </si>
  <si>
    <t>SOU. SUVARNALATA GANDHI MAHAVIDYALAYA, VAIRAG, BARSHI ROAD, VAIRAG Postal/Zip Code: 413402 Taluka: Barshi</t>
  </si>
  <si>
    <t>Chembur High School,R.C. Marg, Near Municipal Market, Chembur, Mumbai - Pincode:400071 Postal/Zip Code: 400071 Taluka: Kurla</t>
  </si>
  <si>
    <t>MIDC Residential Zone ,Bhigwan Road Postal/Zip Code: 413133 Taluka: Baramati</t>
  </si>
  <si>
    <t>1st Floor Nisha Matching Centre,Opp. New Akbar Theatre, Gandhi Road Postal/Zip Code: 413304 Taluka: Pandharpur</t>
  </si>
  <si>
    <t>Opp. New English School, Nimbalkar Building Sangola Postal/Zip Code: 413307 Taluka: Sangola</t>
  </si>
  <si>
    <t>1st Floor, opp.Manjunath Hotel, MKG Road, Kankavali Postal/Zip Code: 416602 Taluka: Kankavli</t>
  </si>
  <si>
    <t>MANKAR BHAWAN, NEAR UNION BANK G.T. ROAD TIRORA Postal/Zip Code: 441911 Taluka: Tirora</t>
  </si>
  <si>
    <t>Pragati colony, Plot No.13 Sendurwafa Postal/Zip Code: 441802 Taluka: Sakoli</t>
  </si>
  <si>
    <t>Deshpande Wada, Behind Bhagwant Mandir Postal/Zip Code: 413411 Taluka: Barshi</t>
  </si>
  <si>
    <t>281, 'E' New Shahupuri, Tarabai Park, Baker Lane, Near Sasane Ground, Kolhapur Postal/Zip Code: 416001 Taluka: Karveer</t>
  </si>
  <si>
    <t>Shaheen Complex, Nr. Talathi office, Ghanekhunt- Lote Rd, Postal/Zip Code: 415722 Taluka: Khed</t>
  </si>
  <si>
    <t>MAHESH COMPUTERS, Behind Hotel Mohar, Sangola Dist. Solapur Postal/Zip Code: 413307 Taluka: Sangola</t>
  </si>
  <si>
    <t>A/p- Mangaon Postal/Zip Code: 416519 Taluka: Kudal</t>
  </si>
  <si>
    <t>gandhi chowk Dodamarg Postal/Zip Code: 416512 Taluka: Doda sara</t>
  </si>
  <si>
    <t>1st Floor, Laxmi Building,Chinchpada Road, Above Hero Honda Showroom Postal/Zip Code: 402107 Taluka: Pen</t>
  </si>
  <si>
    <t>Court Road,Yeshwantnagar, Postal/Zip Code: 431107 Taluka: Paithan</t>
  </si>
  <si>
    <t>Opp. Panchayat Samiti, A/p. Tal. Guhagar Postal/Zip Code: 415703 Taluka: Guhagar</t>
  </si>
  <si>
    <t>"GURUKRUPA" PESHVE ALI AT POST TAL SHRIVARDHAN Postal/Zip Code: 402110 Taluka: Shrivardhan</t>
  </si>
  <si>
    <t>4002,Arbuj Mension , Station Road Postal/Zip Code: 413304 Taluka: Pandharpur</t>
  </si>
  <si>
    <t>Ramaleshwar ward, Ramtek, Tah.ramtek Dist.Nagpur Postal/Zip Code: 441106 Taluka: Ramtek</t>
  </si>
  <si>
    <t>BALWANT COLLEGE CAMPUS, MAIN BUILDING Postal/Zip Code: 415311 Taluka: Khanapur</t>
  </si>
  <si>
    <t>17, JAIHIND COLONY,NEAR TAPDIYA NATYA MANDIR, NIRALA BAZAR,AURANGABAD Postal/Zip Code: 431001 Taluka: Aurangabad</t>
  </si>
  <si>
    <t>Shop No. 6, Sukhsagar Co. Op. Society, Opp. Rajabhau Salvi Garden, Rajabhau Desai Marg, Near Samana Press, Prabhadavi, Postal/Zip Code: 400025 Taluka: Mumbai</t>
  </si>
  <si>
    <t>95/789,Laxminagar, Parvati, Near Ambedkar School, Gajanan maharaj Chowk, Pune Postal/Zip Code: 411009 Taluka: Haveli</t>
  </si>
  <si>
    <t>F-A-7,Mukti Nagar,N.G.,Acharya Marg,Chembur,Mumbai-400 071 Postal/Zip Code: 400071 Taluka: Kurla</t>
  </si>
  <si>
    <t>1st Floor, 'Suyash Complex', Behind S.T. Stand,Tal:- Kagal Postal/Zip Code: 416216 Taluka: Kagal</t>
  </si>
  <si>
    <t>Opp. Bus Stand, Behind Suraj Hotel, Pusad Postal/Zip Code: 445204 Taluka: Pusad</t>
  </si>
  <si>
    <t>Shop No.6, 1st Floor, Mini Market, Sambhaji Nagar, (Near Kasturi Market) Chinchwad Postal/Zip Code: 411019 Taluka: Haveli</t>
  </si>
  <si>
    <t>Shop No.8 &amp; 9, Ganga Heights 'B', Old Bazar Kirker, Khadki, Pune Postal/Zip Code: 411003 Taluka: Haveli</t>
  </si>
  <si>
    <t>C/o. Dhanorkar Complex, Near MGF College, Hydrabad Road, Rajura Postal/Zip Code: 442905 Taluka: Rajura</t>
  </si>
  <si>
    <t>Court Road, Near Shani Mandir, Old Jalna Postal/Zip Code: 431203 Taluka: Jalna</t>
  </si>
  <si>
    <t>Opp to Pen Co-Op Urban Bank,Shivaji Chowk, Pen Postal/Zip Code: 402107 Taluka: Pen</t>
  </si>
  <si>
    <t>Mahsul Colony, Near Dahiwadi College. Tal: Man, Dist: Satara. Postal/Zip Code: 415508 Taluka: Man</t>
  </si>
  <si>
    <t>Ingale Complex, Navratna Nagar, Wakeshwar Road, Behind ST Stand. Tal: Khatav, Dist: Satara Postal/Zip Code: 415506 Taluka: Khatav</t>
  </si>
  <si>
    <t>MAHARAJA SHOPPING, GANESH NAGAR AT.POST.TAL-KALWAN Postal/Zip Code: 423501 Taluka: Kalvan</t>
  </si>
  <si>
    <t>2nd Floor, Abbas Complex, Ambejogai Road Postal/Zip Code: 413512 Taluka: Latur</t>
  </si>
  <si>
    <t>ONE UP COMPUTER 1st Floor Shop no 1 Sharad pawar Bhavan Chichpada Pen Raigad Postal/Zip Code: 402107 Taluka: Pen</t>
  </si>
  <si>
    <t>Old Adarsh Colony, Datta Nagar, Ausa Road Postal/Zip Code: 413531 Taluka: Latur</t>
  </si>
  <si>
    <t>Mohar Complex, Near Bhosale Highschool, Tambri Vibhag Postal/Zip Code: 413501 Taluka: Osmanabad</t>
  </si>
  <si>
    <t>Near Pushpak Mangal Karyalaya Postal/Zip Code: 413501 Taluka: Osmanabad</t>
  </si>
  <si>
    <t>Khandoba Galli,Near M.B.College Postal/Zip Code: 413512 Taluka: Latur</t>
  </si>
  <si>
    <t>Shivaji nagar Postal/Zip Code: 413504 Taluka: Bhoom</t>
  </si>
  <si>
    <t>Tambri Vibhag, Near Old R.T.O office Postal/Zip Code: 413501 Taluka: Osmanabad</t>
  </si>
  <si>
    <t>Shubham Complex, Near bhogawati bridge, Barshi Bypass Road Postal/Zip Code: 413501 Taluka: Osmanabad</t>
  </si>
  <si>
    <t>shivaji chowk parli road opp bsnl office Postal/Zip Code: 413507 Taluka: Kalamb</t>
  </si>
  <si>
    <t>2nd Floor, Pawar Building, Near Bus Stand, Yedshi. Postal/Zip Code: 413405 Taluka: Osmanabad</t>
  </si>
  <si>
    <t>Samata Nagar Postal/Zip Code: 413501 Taluka: Osmanabad</t>
  </si>
  <si>
    <t>103/713,1st Floor M.H.B Colony, near deepak classes,Sarvodaya Nagar, JogeshwariI(East) Postal/Zip Code: 400060 Taluka: Andheri</t>
  </si>
  <si>
    <t>PANCHAVATI NIWAS, PIPE LINE ASLAFA, GHATKOPAR (W) Postal/Zip Code: 400084 Taluka: Kurla</t>
  </si>
  <si>
    <t>Gurukrupa Building, Main Road, Kupwad Postal/Zip Code: 416415 Taluka: Miraj</t>
  </si>
  <si>
    <t>Jaisingpura, Near University Gate Postal/Zip Code: 431004 Taluka: Aurangabad</t>
  </si>
  <si>
    <t>11, Shriramchandra Apartment, Syndicate, Near Commissionar Banglow, Thangewadi, Kalyan (W) Postal/Zip Code: 421301 Taluka: Kalyan</t>
  </si>
  <si>
    <t>Shop No.3, Unity Co-op. Soc.Ltd., Old Mumbai-Agra Rd., Nr. Holly Cross Convent High School, K'Villa Thane (W) Postal/Zip Code: 400601 Taluka: Thane</t>
  </si>
  <si>
    <t>Ekveera Niwas, Shop No.1, Near Railway Station, Titwala (E) Postal/Zip Code: 421605 Taluka: Kalyan</t>
  </si>
  <si>
    <t>SHOP NO 6, NAV GANESH DARSHAN SOC, OPP CHINTAMANI HALL, NEAR THE KALYAN JANATA SAHAKARI BANK , RAMBAUG LANE NO 4 , KALYAN (WEST) Postal/Zip Code: 421301 Taluka: Kalyan</t>
  </si>
  <si>
    <t>Behind Rolex Tailor, Chitalsar, G.B.Road Manpada, Thane (W) Postal/Zip Code: 400607 Taluka: Thane</t>
  </si>
  <si>
    <t>Vadhu Road, Koregaon Bhima Postal/Zip Code: 412216 Taluka: Shirur</t>
  </si>
  <si>
    <t>6M.Phule Complex Opp. Mseb Jintur Road Postal/Zip Code: 431401 Taluka: Parbhani</t>
  </si>
  <si>
    <t>SHOP NO 4, JAGJEEVAN SOCIETY, NR. ASHA HOSPITAL,SEC - 04, AIROLI NAVI MUMBAI 400708 Postal/Zip Code: 400708 Taluka: Thane</t>
  </si>
  <si>
    <t>Row House No. 3, Amar Co-op. Hsg Society, Opp. Sri Ram High School Sector-3,Airoli, Navi Mumbai- 400708 Postal/Zip Code: 400708 Taluka: Thane</t>
  </si>
  <si>
    <t>2ND FLOOR, RETI BHAVAN, NEAR RAILWAY STATION, M.G. ROAD, DOMBIVALI (W) Postal/Zip Code: 421202 Taluka: Kalyan</t>
  </si>
  <si>
    <t>I.T.COMPUTER SHIVAJI NAGAR ARNI . Postal/Zip Code: 445103 Taluka: Arni</t>
  </si>
  <si>
    <t>"Sandipanee Pre Primary School, Sangani Nagar, Near Ravi Nagar Postal/Zip Code: 444607 Taluka: Amravati</t>
  </si>
  <si>
    <t>Sindhi Colony, Akola Naka Road, Postal/Zip Code: 444505 Taluka: Washim</t>
  </si>
  <si>
    <t>Opp. MSEB Substation, Parner Postal/Zip Code: 414302 Taluka: Parner</t>
  </si>
  <si>
    <t>Thakkar's Complex, 1st Floor, Shop No.20/22, S.T. Stand, A/P- Akole Postal/Zip Code: 422601 Taluka: Akole</t>
  </si>
  <si>
    <t>Plot No. 19, Antule Nagar, Akola Road Postal/Zip Code: 431513 Taluka: Hingoli</t>
  </si>
  <si>
    <t>Behind the Police Station, Station Road, Puntamba Postal/Zip Code: 413707 Taluka: Rahata</t>
  </si>
  <si>
    <t>Shop No.3,4, Pahade Corner, Adarsh Colony, Pundalik Nagar Road, Garkheda Parisar, Aurangabad Postal/Zip Code: 431005 Taluka: Aurangabad</t>
  </si>
  <si>
    <t>Urulikanchan Anand Computer, AnanD Niwas Tal Haveli Dist. pune 412202 Postal/Zip Code: 412202 Taluka: Haveli</t>
  </si>
  <si>
    <t>18/167/ Gokhale Nagar, Near Dr Mule clinik Postal/Zip Code: 411016 Taluka: Haveli</t>
  </si>
  <si>
    <t>Dhanwantari Plaza, Mangalwar Peth, Bhor, Postal/Zip Code: 412206 Taluka: Bhor</t>
  </si>
  <si>
    <t>C- 104, Vasai Tower Building, Opp. Vasai Depo, Parnaka, Vasai (W) Postal/Zip Code: 401201 Taluka: Vasai</t>
  </si>
  <si>
    <t>2nd Floor 'MAGAR SADAN' Near Janta Bank Akola - Washim Road Malegaon Postal/Zip Code: 444503 Taluka: Malegaon</t>
  </si>
  <si>
    <t>48, Omkar Adarsha Coloney Bhingar Postal/Zip Code: 414002 Taluka: Ahmednagar</t>
  </si>
  <si>
    <t>Shop No10, Ajinkyatara Society, Kamdhenu Estate, Malwadi Road Serve No. 229 Hadapsar Pune 28 Postal/Zip Code: 411028 Taluka: Haveli</t>
  </si>
  <si>
    <t>Shri Sai Baba Santhan's Trust's Shri Sai Baba I.T.T. SHIRDI Postal/Zip Code: 423109 Taluka: Rahata</t>
  </si>
  <si>
    <t>Shivaji Nagar Postal/Zip Code: 431513 Taluka: Hingoli</t>
  </si>
  <si>
    <t>NEAR SHIKSHAK PATSANSTHA , SHAHU NAGAR MAJLAGAON Postal/Zip Code: 431131 Taluka: Majalgaon</t>
  </si>
  <si>
    <t>Rameshwar Complex, D Wing, Flat No 3, Bharad, Malvan Postal/Zip Code: 416606 Taluka: Malvan</t>
  </si>
  <si>
    <t>Near Talathi Office, Majalgaon Tq Majalgaon Dist. Beed Postal/Zip Code: 431131 Taluka: Majalgaon</t>
  </si>
  <si>
    <t>Karanje Complex, 2nd &amp; 3rd Floor, Opp. Axis Bank, Near Jijamata Hospital, Pune Nagar Road, Pabal Chowk, Shikrapur, Tal-Shirur, Dist-Pune, Pincode-412208 Postal/Zip Code: 412208 Taluka: Shirur</t>
  </si>
  <si>
    <t>Law College Building Behind Hotel Abhiruchi Postal/Zip Code: 415605 Taluka: Chiplun</t>
  </si>
  <si>
    <t>Shankarrao Market, Pune Nashik Road, Narayangaon Postal/Zip Code: 410504 Taluka: Junnar</t>
  </si>
  <si>
    <t>Navgan College Road, Shivaji nagar, Beed Postal/Zip Code: 431122 Taluka: Beed</t>
  </si>
  <si>
    <t>2/182, B.K. College Road,Opp. Tarun Bharat Office, Vengurla Postal/Zip Code: 416516 Taluka: Vengurle</t>
  </si>
  <si>
    <t>A 102, 1st Floor, SAMARTH PRASAD NAGAR, Near Pen ST Stand Postal/Zip Code: 402107 Taluka: Pen</t>
  </si>
  <si>
    <t>Above Zabak Metal stores, Dr. Ambedkar Chowk, Main Rd., Daund Postal/Zip Code: 413801 Taluka: Daund</t>
  </si>
  <si>
    <t>Asmita college of arts and commerce for women,Bld No 82/2257, Kannamwar Nagar No 2, Near Janata Market,Vikhroli(E),Mumbai-83. Postal/Zip Code: 400083 Taluka: Kurla</t>
  </si>
  <si>
    <t>Tapneshwar Road, Jamkhed Postal/Zip Code: 413201 Taluka: Jamkhed</t>
  </si>
  <si>
    <t>Near S.T. Stand, Behind Dr. Raval Hospital, 1st Floor Postal/Zip Code: 415304 Taluka: Kadegaon</t>
  </si>
  <si>
    <t>2390 K.B. Hidayatullah Road Azam Campus, Camp, Pune 411 001 Postal/Zip Code: 411001 Taluka: Haveli</t>
  </si>
  <si>
    <t>Kalkai Chowk, Shrigonda Postal/Zip Code: 413701 Taluka: Shrigonda</t>
  </si>
  <si>
    <t>Secondary Training college 3, Mahapalika marg Postal/Zip Code: 400001 Taluka: Mumbai</t>
  </si>
  <si>
    <t>Seva Sadan Junior College of Education, North Ambazari Road, Sitabuldi, Nagpur Postal/Zip Code: 440010 Taluka: Nagpur</t>
  </si>
  <si>
    <t>Dhanlaxmi apts, behind hotel milan, nr S T stand, Chakan Postal/Zip Code: 410501 Taluka: Khed</t>
  </si>
  <si>
    <t>Near Ikbal School, Khori Galli Postal/Zip Code: 413512 Taluka: Latur</t>
  </si>
  <si>
    <t>Near Renuka Devi Temple, Pande Complex Postal/Zip Code: 443201 Taluka: Chikhali</t>
  </si>
  <si>
    <t>Maharana Pratap Chowk,Circular Road,Near HDFC Bank,Buldhana Tah Dist Buldhana Postal/Zip Code: 443001 Taluka: Buldhana</t>
  </si>
  <si>
    <t>Anand Sagar Building,1st Floor, Near Jagtap Hospital, Opp. Janseva Bank, Sinhgad Road, Anandnagar, Pune Postal/Zip Code: 411051 Taluka: Haveli</t>
  </si>
  <si>
    <t>AT Post Shardanagar malegaon colony post box no 35 Postal/Zip Code: 413115 Taluka: Baramati</t>
  </si>
  <si>
    <t>KNP Computers Institute,C/o Mr. M. N. PatkiVisawa Corner,Jintur Road,Parbhani Postal/Zip Code: 431401 Taluka: Parbhani</t>
  </si>
  <si>
    <t>23, Indraprastha, Inside Maharaja bakary, near bus stand , pandharpur Postal/Zip Code: 413304 Taluka: Pandharpur</t>
  </si>
  <si>
    <t>"Pratishtha Bhavan", 102/2 plot no 13, shivparvati nagar, Link road Pandharpur. Postal/Zip Code: 413304 Taluka: Pandharpur</t>
  </si>
  <si>
    <t>'Ganga Nivas', Paparam Nagar, Near Nutan Prashala,(Mashal vasti) Vijapur Road Postal/Zip Code: 413004 Taluka: Solapur(n)</t>
  </si>
  <si>
    <t>Shantichitra Apt. Behind Kalpana Talkij, Murarji Peth Postal/Zip Code: 413001 Taluka: Solapur(n)</t>
  </si>
  <si>
    <t>Block No.17, K.R. Marda Complex Opp. S.T.Stand MANGALWEDA Postal/Zip Code: 413305 Taluka: Mangalwedha</t>
  </si>
  <si>
    <t>Opp. Police Station , near S.T. stand Postal/Zip Code: 413211 Taluka: Madha</t>
  </si>
  <si>
    <t>4/12, Vidyanagar, Behind Civil Hospital North Sadar Bazar Postal/Zip Code: 413003 Taluka: Solapur(n)</t>
  </si>
  <si>
    <t>Behind Pratibha Talkies, Near Gajanan Maharaj Temple, Goyanka Nagar, Murtijapur Postal/Zip Code: 444107 Taluka: Murtijapur</t>
  </si>
  <si>
    <t>CIVIL LINES, KELA NAGAR, NEAR KELA POST OFFICE, KHAMGAON Postal/Zip Code: 444303 Taluka: Khamgaon</t>
  </si>
  <si>
    <t>Behind State Bank of India, Balapur Postal/Zip Code: 444302 Taluka: Balapur</t>
  </si>
  <si>
    <t>SUN COMPUTER SYSTEM, PuneShivsai Complex,3rd Floor Warje Malwadi Near Charudatta Hotel, Pune Postal/Zip Code: 411058 Taluka: Haveli</t>
  </si>
  <si>
    <t>Shop No. 5, Shanti Heights, Near Eklavya College,Guru Ganesh Nagar Road, Paud Road, Kothrud Postal/Zip Code: 411038 Taluka: Haveli</t>
  </si>
  <si>
    <t>20, Vivekanad Colony Postal/Zip Code: 444606 Taluka: Amravati</t>
  </si>
  <si>
    <t>Rajandekar Bhavan, Jay Hind Chowk, Near Kothari Hospital, Old city Postal/Zip Code: 444002 Taluka: Akola</t>
  </si>
  <si>
    <t>Mannasigh Chowk, Shukrawar Peth, Washim. Postal/Zip Code: 444505 Taluka: Washim</t>
  </si>
  <si>
    <t>Infront of Panchayat Samiti Civil Line, Risod Postal/Zip Code: 444506 Taluka: Risod</t>
  </si>
  <si>
    <t>SHIVAJI NAGAR, SOLAPUR ROAD, MADHA Postal/Zip Code: 413209 Taluka: Madha</t>
  </si>
  <si>
    <t>post Office Road Postal/Zip Code: 413208 Taluka: Madha</t>
  </si>
  <si>
    <t>Mohanawale Complex Near Manora Chowk ,Mangrulpir Postal/Zip Code: 444403 Taluka: Mangrulpir</t>
  </si>
  <si>
    <t>Director, Jan Shikshan Sansthan, Akola highway Road, Near Head Post Office, Washim Postal/Zip Code: 444505 Taluka: Washim</t>
  </si>
  <si>
    <t>Toshniwal Complex, Near Dr. Wadkute Hospital, Basmat Road, Parbhani Postal/Zip Code: 431401 Taluka: Parbhani</t>
  </si>
  <si>
    <t>Shri Shivaji Junior College, Road, In front of Petrol Pump Civil Line Risod Postal/Zip Code: 444506 Taluka: Risod</t>
  </si>
  <si>
    <t>852/ 6, Prarthana , Bhandarkar Road, Deccan Gymkhana Postal/Zip Code: 411004 Taluka: Haveli</t>
  </si>
  <si>
    <t>Behind S T Stand, Opp. Borate Balruganalaya,Dahiwadi. Tal: Man, Dist: Satara. Postal/Zip Code: 415508 Taluka: Man</t>
  </si>
  <si>
    <t>Bajirao Heights,M.G. Road, Uruli Kanchan, Tal - Haveli , Dist - Pune. Postal/Zip Code: 412202 Taluka: Haveli</t>
  </si>
  <si>
    <t>Shamrao Patil Sabhagraha,Market Yard,GATE NO-1,Shaniwar Peth, Karad.415110, Tal. Karad, Dist. Satara Postal/Zip Code: 415110 Taluka: Karad</t>
  </si>
  <si>
    <t>Near Bank of Baroda, A/p. Nandani Postal/Zip Code: 416102 Taluka: Shirol</t>
  </si>
  <si>
    <t>8 Aishwarya Residency Jagtap Chowk Wanawadi Postal/Zip Code: 411040 Taluka: Haveli</t>
  </si>
  <si>
    <t>9-B, Krishna Kunj, Behind Devang Bldg, Dadabhai Cross Rd.No.3, Vile Parle (W) Postal/Zip Code: 400056 Taluka: Andheri</t>
  </si>
  <si>
    <t>Vision Computers,212 Narayan Peth,Kelkar Road,Above Dena Bank III RD floor Gandhi Complex, Postal/Zip Code: 411030 Taluka: Haveli</t>
  </si>
  <si>
    <t>Shivaji Computer Academy, KannadA/p Kannad Postal/Zip Code: 431103 Taluka: Kannad</t>
  </si>
  <si>
    <t>c/o Yashshree Classes, Near Bhosale High School, Tambri Vibhag Postal/Zip Code: 413501 Taluka: Osmanabad</t>
  </si>
  <si>
    <t>Sawarkar Chowk, Marawadi Galli Postal/Zip Code: 413501 Taluka: Osmanabad</t>
  </si>
  <si>
    <t>College Road Postal/Zip Code: 413503 Taluka: Vaashi</t>
  </si>
  <si>
    <t>Eklavya Vidyalay ,Second Floor, Station Road, Nandurbar Postal/Zip Code: 425412 Taluka: Nandurbar</t>
  </si>
  <si>
    <t>Paccha Batti Naka, Sambhaji Path, Sonar Ali, Jawhar Postal/Zip Code: 401603 Taluka: Jawhar</t>
  </si>
  <si>
    <t>Shop No 6, Ganesh Niketan, first floor, above Mahadev Medical, Sector-11, Juhu gaon, Vashi Postal/Zip Code: 400703 Taluka: Thane</t>
  </si>
  <si>
    <t>Gaondevi Shopping Centre, RP-312, MIDC, Ph-II, Near Model College, Dombivli (E) Postal/Zip Code: 421203 Taluka: Kalyan</t>
  </si>
  <si>
    <t>House No 111, Maruti Mandir stop Br. B. K. College Road, Vengurla Postal/Zip Code: 416516 Taluka: Vengurle</t>
  </si>
  <si>
    <t>Pathare Complex, Gala No. 11&amp; 12, Opp. Head Post Office - Ratnagiri Postal/Zip Code: 415612 Taluka: Ratnagiri</t>
  </si>
  <si>
    <t>B/4, 1st Floor, Mukund Nagar Society, Marol Pipeline, A.K.Road,Andheri(E) Postal/Zip Code: 400059 Taluka: Andheri</t>
  </si>
  <si>
    <t>6,Padmashilla-Ii,Thakur Nagar Marg,Jogeshwari (E),Mumbai-400060 Postal/Zip Code: 400060 Taluka: Andheri</t>
  </si>
  <si>
    <t>Igm Computer Education,Shivaji Nagar, At-Post - Arni. Postal/Zip Code: 445103 Taluka: Arni</t>
  </si>
  <si>
    <t>Raj Computers,Pusad Road,Digras. Postal/Zip Code: 445203 Taluka: Digras</t>
  </si>
  <si>
    <t>Near Lala Building, Opp. Gopal Mangal Karyalaya, Awdhootwadi, Postal/Zip Code: 445001 Taluka: Yavatmal</t>
  </si>
  <si>
    <t>107,Peninsulla park, Near Mahavir Classes, Behind R.K.T. College, Opp Sapna Garden, Ulhasnagar Postal/Zip Code: 421003 Taluka: Ulhasnagar</t>
  </si>
  <si>
    <t>201,Kanishka Roop, 2nd floor, station road, Near forest office,Opp. Pariwar Hotel, Badlapur (E) Postal/Zip Code: 421503 Taluka: Ambarnath</t>
  </si>
  <si>
    <t>BELOW CITU BHAVAN NEAR SHIVAJI HIGHSCHOOL KHOKADPURA Postal/Zip Code: 431001 Taluka: Aurangabad</t>
  </si>
  <si>
    <t>Opp. Grampanchayat office,Govt Dawakhana road,mantha,Jalna Postal/Zip Code: 431504 Taluka: Mantha</t>
  </si>
  <si>
    <t>Opp Tahsil Office College Road, Partur Postal/Zip Code: 431501 Taluka: Partur</t>
  </si>
  <si>
    <t>Tulsi Kunj Complex,Shop No.7,Near S.T.Workshop Chowk,Tukum,Chandrapur Postal/Zip Code: 442401 Taluka: Chandrapur</t>
  </si>
  <si>
    <t>Near water tank Station road,Partur Postal/Zip Code: 431501 Taluka: Partur</t>
  </si>
  <si>
    <t>shop no. 4, Srikrihsna vihar, Near BSNL Office, Darga Road, Sahakar Nagar Postal/Zip Code: 431005 Taluka: Aurangabad</t>
  </si>
  <si>
    <t>N-11,E-7/2 Mayur nagar, Hudco,Aurangabad Postal/Zip Code: 431003 Taluka: Aurangabad</t>
  </si>
  <si>
    <t>Near Patwari Bhavan, Armori Road,Gadchiroli Postal/Zip Code: 442605 Taluka: Gadchiroli</t>
  </si>
  <si>
    <t>N-12,D-46/12 Behind Laxmi Tel Bhandar T.V Center Chowk,Hudco Postal/Zip Code: 431003 Taluka: Aurangabad</t>
  </si>
  <si>
    <t>Chamorshi Road, Gadchiroli Postal/Zip Code: 442605 Taluka: Gadchiroli</t>
  </si>
  <si>
    <t>354/A2 Rasta Pethopp.K.E.M. Hospitalabove Hotel Shalini Postal/Zip Code: 411011 Taluka: Haveli</t>
  </si>
  <si>
    <t>Rest House Road, Ashti Postal/Zip Code: 442707 Taluka: Chamorshi</t>
  </si>
  <si>
    <t>1120, Kshirsagar Complex,Next To Bank Of Maharashtra,Behind Kataria Hospital Postal/Zip Code: 411006 Taluka: Haveli</t>
  </si>
  <si>
    <t>Above Mayur Jenral Storce Chandrapur Road Allapalli Postal/Zip Code: 442703 Taluka: Aheri</t>
  </si>
  <si>
    <t>Fawara Chowk, Tukum Ward, Desaiganj(Wadsa) Postal/Zip Code: 441207 Taluka: Desaiganj</t>
  </si>
  <si>
    <t>Bramhapuri Road, Gandhi Ward, Postal/Zip Code: 441207 Taluka: Desaiganj</t>
  </si>
  <si>
    <t>SHREE ANANT COMPLEX SHIVAJI CHOWK MAHAD Postal/Zip Code: 402301 Taluka: Mahad</t>
  </si>
  <si>
    <t>RATNARAJ APP. GR FLOOR - NR. GOVT. HOSPITAL Postal/Zip Code: 410201 Taluka: Karjat</t>
  </si>
  <si>
    <t>SHOP NO. 8, VAKRATUND APP., BEHIND SHRADDHA GOLD,Near St Mary School,Rajpal naka Postal/Zip Code: 400702 Taluka: Uran</t>
  </si>
  <si>
    <t>KL-5/24/01, Sector-3E, CIDCO Colony, Kalamboli Postal/Zip Code: 410218 Taluka: Panvel</t>
  </si>
  <si>
    <t>S.No. 201, Hutatma Chowk Near Patil Hospital Postal/Zip Code: 411039 Taluka: Haveli</t>
  </si>
  <si>
    <t>Main Road, Bazar Peth, PimpalnerNear old grampanchayat,Pimpalner Postal/Zip Code: 424306 Taluka: Sakri</t>
  </si>
  <si>
    <t>54, 2nd Floor, Central Bazar Road, Bajaj Nagar, Nagpur Postal/Zip Code: 440010 Taluka: Nagpur</t>
  </si>
  <si>
    <t>2/4, MIG 42, Opp. Super Speciality Hospital, Ridge Road, Vishwakarma nagar, Nagpur 27. Postal/Zip Code: 440027 Taluka: Nagpur</t>
  </si>
  <si>
    <t>6, Mahavir Nagar, Great Nag Road, Nagpur Postal/Zip Code: 440009 Taluka: Nagpur</t>
  </si>
  <si>
    <t>5/7 Shubhankaroti Apartment Ujwal Nagar Oppo Airport centerpoint Hotel Postal/Zip Code: 440025 Taluka: Nagpur</t>
  </si>
  <si>
    <t>Main Road ,Katol Postal/Zip Code: 441302 Taluka: Katol</t>
  </si>
  <si>
    <t>58, Old bagadganj, Near Baba Nanak School Postal/Zip Code: 440008 Taluka: Nagpur</t>
  </si>
  <si>
    <t>85, Gorley Layout, Jaitala Road, Nagpur Postal/Zip Code: 440022 Taluka: Nagpur</t>
  </si>
  <si>
    <t>948, Old Bagadganj, Old Bhandara Road, Nagpur Postal/Zip Code: 440008 Taluka: Nagpur</t>
  </si>
  <si>
    <t>50, Bhoge Layout, New Ring Road, Trimurti Nagar, NAgpur Postal/Zip Code: 440022 Taluka: Nagpur</t>
  </si>
  <si>
    <t>P.No 40 Bhandarkar Layout Bypass Chowk Umred Postal/Zip Code: 441203 Taluka: Umred</t>
  </si>
  <si>
    <t>Block No.5,6, Purohit Complex, Gudoli, Tehsil-Kamptee, Distt.-Nagpur Postal/Zip Code: 441002 Taluka: Kamathi</t>
  </si>
  <si>
    <t>Gandhi Chowk, Arvi Postal/Zip Code: 442201 Taluka: Arvee</t>
  </si>
  <si>
    <t>Fanshi Square Postal/Zip Code: 441206 Taluka: Brahmapuri</t>
  </si>
  <si>
    <t>22A, "Kalpataru" , Pande lay out, Khamla. Nagpur Postal/Zip Code: 440025 Taluka: Nagpur</t>
  </si>
  <si>
    <t>Behind Panchayat Samiti Postal/Zip Code: 441804 Taluka: Lakhani</t>
  </si>
  <si>
    <t>5,ami sagar society opp to Burkule Hall, Ambad link road, Cidco Postal/Zip Code: 422009 Taluka: Nashik</t>
  </si>
  <si>
    <t>Behind ''SAPAT TEA' Near Pawan Nagar Bus Stop, Pawan Nagar,JD-1/22/3 Cidco Nashik Postal/Zip Code: 422009 Taluka: Nashik</t>
  </si>
  <si>
    <t>M1,Sai Plaza,Near Lekha Nagar Bus stop,Next to Hotel Indraprastha, Lekha Nagar,Nashik Postal/Zip Code: 422009 Taluka: Nashik</t>
  </si>
  <si>
    <t>Main Road,at post Surgana Postal/Zip Code: 422211 Taluka: Surgana</t>
  </si>
  <si>
    <t>420,LAL CHAWK,SINNAR Postal/Zip Code: 422103 Taluka: Sinnar</t>
  </si>
  <si>
    <t>Vijaygad, Main Road Postal/Zip Code: 431714 Taluka: Kandhar</t>
  </si>
  <si>
    <t>Ganesh Nagar,Near Bus Stand Lasalgaon Postal/Zip Code: 422306 Taluka: Niphad</t>
  </si>
  <si>
    <t>Asmita Bhavan, Bandrekar Wadi, Ajgaonkar Maidan, Jogeshwari (East) Postal/Zip Code: 400060 Taluka: Mumbai</t>
  </si>
  <si>
    <t>Sai chember,1st floor Anand Nagar Nanded Postal/Zip Code: 431602 Taluka: Nanded</t>
  </si>
  <si>
    <t>309/D-46 NAVNIKETAN CHS SECTOR 3 CHARKOP MARKET KANDIVALI(W),MUMBAI-400067. Postal/Zip Code: 400067 Taluka: Boriwali</t>
  </si>
  <si>
    <t>Manik Chowk, Sindkhed Raja, Tah Sindhkhed Raja Dist Buldhana Postal/Zip Code: 443203 Taluka: Sindakhed raja</t>
  </si>
  <si>
    <t>Gala no.6, Pooja complex, sambhaji chowk, Manchar Postal/Zip Code: 410503 Taluka: Ambegaon</t>
  </si>
  <si>
    <t>CAMBRIDGE COMPUTER INSTITUTE,MAHADEV NAGAR ,NEAR HANUMAN NAGAR BOARD YAVATMAL Postal/Zip Code: 445001 Taluka: Yavatmal</t>
  </si>
  <si>
    <t>Om Complex, Sadar Bazar Postal/Zip Code: 444805 Taluka: Achalpur</t>
  </si>
  <si>
    <t>Khaparde Plots Postal/Zip Code: 444805 Taluka: Achalpur</t>
  </si>
  <si>
    <t>18/A/16/,NNP COLONY, PLOT NO.6 DINDOSHI, MALAD ( E) ,MUMBAI PIN-400065 Postal/Zip Code: 400065 Taluka: Boriwali</t>
  </si>
  <si>
    <t>Tilak Smarak Mandal,Near Bus Stand,Pusad Postal/Zip Code: 445204 Taluka: Pusad</t>
  </si>
  <si>
    <t>Janic House,Gulmohar Society, Opp. Chandralok Bldg., Aarey Road Postal/Zip Code: 400062 Taluka: Andheri</t>
  </si>
  <si>
    <t>Shop No 101/102, Shriji Enclave, Opp Green Fingure School, Sector-13, Nr. Shilp Chowk, Kharghar Postal/Zip Code: 410210 Taluka: Thane</t>
  </si>
  <si>
    <t>Aarti Bhavan, Opp. Atithi Gruha Postal/Zip Code: 441912 Taluka: Tumsar</t>
  </si>
  <si>
    <t>Madhali Galli, Near Chaundeshwary Temple, Ganga Darwaja Road Postal/Zip Code: 423401 Taluka: Yeole</t>
  </si>
  <si>
    <t>Near Old Bus Stand,C/O Adkuji Chintawar Gondpipari Postal/Zip Code: 442702 Taluka: Gaudpimpri</t>
  </si>
  <si>
    <t>Gadewar Building, Gurudwara Road, Sarkar Nagar, Chandrapur Postal/Zip Code: 442401 Taluka: Chandrapur</t>
  </si>
  <si>
    <t>1/8 Raigad Housing Society,Tilak Nagar,Sakinaka Postal/Zip Code: 400072 Taluka: Kurla</t>
  </si>
  <si>
    <t>61, Narayan Peth, Lagad Complex, Pune Postal/Zip Code: 411030 Taluka: Haveli</t>
  </si>
  <si>
    <t>Shop No. 114, Jai Ganesh Vishwa, Vishrantwadi Chowk Postal/Zip Code: 411015 Taluka: Haveli</t>
  </si>
  <si>
    <t>Resource Computer, Near Ganesh Talav, Mangalwar peth, Miraj Postal/Zip Code: 416410 Taluka: Miraj</t>
  </si>
  <si>
    <t>Sambhaji Raje Chowk, main road, MOHOL affiliate software, limewire Postal/Zip Code: 413213 Taluka: Mohol</t>
  </si>
  <si>
    <t>G-2, GROUND FLR, MAINKAR BHUVAN, OPP- POST OFFICE, KHAREPATAN Postal/Zip Code: 416703 Taluka: Kankavli</t>
  </si>
  <si>
    <t>Near Advanced Computer College,Mahatma Gandhi Nagar, Osmanabad. Postal/Zip Code: 413501 Taluka: Osmanabad</t>
  </si>
  <si>
    <t>Dhoki Road Postal/Zip Code: 413507 Taluka: Kalamb</t>
  </si>
  <si>
    <t>Nirbhay Complex Near APMC Postal/Zip Code: 444905 Taluka: Morshi</t>
  </si>
  <si>
    <t>Rajarambapu Institute Of Information Technology, Islampur, Behind Bus Stand, Opp. Union Bank, Ganeshnagar. Postal/Zip Code: 415409 Taluka: Walva</t>
  </si>
  <si>
    <t>Opp. Mafco Factory, Koregaon Rahimatpur Road. Tal: Koregaon, Dist: Satara. Postal/Zip Code: 415501 Taluka: Koregaon</t>
  </si>
  <si>
    <t>Mahatma Gandhi Vidyalaya &amp; Jr.college ,Pravaranagar Postal/Zip Code: 413712 Taluka: Rahata</t>
  </si>
  <si>
    <t>Shop No.1, Panacea Appts, Vikas Nagar, Opp Ayodhya Charitable Trust, Wanawadi, Pune Postal/Zip Code: 411040 Taluka: Haveli</t>
  </si>
  <si>
    <t>Flat No.5, 16/14, Laxmi Nivas, Near Maruti Mandir,Opp.Karishma Soc.,Canal Rd., Karve Road, Kothrud, Pune 411038. Postal/Zip Code: 411038 Taluka: Haveli</t>
  </si>
  <si>
    <t>1,Padmaja Complex,Near Indane Gas,Opp.Anand School, Gulmohor Road Postal/Zip Code: 414003 Taluka: Ahmednagar</t>
  </si>
  <si>
    <t>S.C. S. M. College Road, Shivaji Nagar Postal/Zip Code: 413701 Taluka: Shrigonda</t>
  </si>
  <si>
    <t>Near Omkar Hospital, At.Po.Supa, Tal.Parner,Dist.Ahmednagar Postal/Zip Code: 414301 Taluka: Parner</t>
  </si>
  <si>
    <t>GANDHI CHOUK,RAILWAY STATION ROAD Postal/Zip Code: 441916 Taluka: Salekasa</t>
  </si>
  <si>
    <t>Comped Systems Pvt Ltd,Computer Training Centre,Above A.E.Society Office,Vishrambaug,Maliwada,Ahmednagar Postal/Zip Code: 414001 Taluka: Ahmednagar</t>
  </si>
  <si>
    <t>Renu Computers "Anand Bhuwan" Old Mangalwar Bazar,Ahmednagar Postal/Zip Code: 414001 Taluka: Ahmednagar</t>
  </si>
  <si>
    <t>PLOT NO.5, NEW LAXMI COLONY ASHOK NAGAR, Sayanna House, CAN'T ROAD Postal/Zip Code: 431002 Taluka: Aurangabad</t>
  </si>
  <si>
    <t>Shop-5, Ideal Park building., Ideal colony, Paud road., Pune Postal/Zip Code: 411038 Taluka: Haveli</t>
  </si>
  <si>
    <t>Meera Market, Ghorpade Peth,Near Ghorpade Udyan,Pune-42 Postal/Zip Code: 411042 Taluka: Haveli</t>
  </si>
  <si>
    <t>SUN COMPUTER EDUCATION , FLAT NO 8, SHANTI PRESTIGE, WADGAON BK, SINHGAD ROAD, PUNE Postal/Zip Code: 411041 Taluka: Haveli</t>
  </si>
  <si>
    <t>1st Floor, Jagannath Market, At Post Jamner, Dist. Jalgaon Postal/Zip Code: 424206 Taluka: Jamner</t>
  </si>
  <si>
    <t>Plot No.2, Chandan Nagar,Ghirni Road, Malkapur Tah Malkapur Dist Buldhana Postal/Zip Code: 443101 Taluka: Malkapur</t>
  </si>
  <si>
    <t>Club Lay-Out, Near SBI, Buldhana, Tah &amp; Dist Buldhana Postal/Zip Code: 443001 Taluka: Buldhana</t>
  </si>
  <si>
    <t>Plot no. 11, N-2, API Corner, Welworth Building, Below Jagdamba Medicals, Jalna Road, Postal/Zip Code: 431210 Taluka: Aurangabad</t>
  </si>
  <si>
    <t>Poddar Bagicha, Near Shastri Chowk, Wardha Postal/Zip Code: 442001 Taluka: Wardha</t>
  </si>
  <si>
    <t>Computers Icts,Above Rajmata, Opp. Sanjivani Hospital ,Bhaji Market, Nda Rd, Warje Malwadi Postal/Zip Code: 411058 Taluka: Haveli</t>
  </si>
  <si>
    <t>1st Floor Gulshan Market, Station-Irwin Road Postal/Zip Code: 444601 Taluka: Amravati</t>
  </si>
  <si>
    <t>Opp. Darshan Complex, Basement, Main Road. Tal: Khatav, Dist: Satara Postal/Zip Code: 415102 Taluka: Khatav</t>
  </si>
  <si>
    <t>Dinkar Complex, Opp S.T Stand,A/p- Saswad, Dist-Pune Postal/Zip Code: 412301 Taluka: Purandar</t>
  </si>
  <si>
    <t>Near Gati Transport,Pune-Nagar road,A/p- Wagholi,Dist-pune Postal/Zip Code: 412207 Taluka: Haveli</t>
  </si>
  <si>
    <t>S.No-84, Sai Park,Near Shiv Kranti Photo Studio,Dighi- Bhosari road, Dhighigaon, Pune Postal/Zip Code: 411015 Taluka: Haveli</t>
  </si>
  <si>
    <t>V.P.S High School Campus, Near Railway Station,A/P- Lonavala, Dist-Pune Postal/Zip Code: 410401 Taluka: Maval</t>
  </si>
  <si>
    <t>Bharat English School Campus,19/2,Tp Scheme, Shivajinagar, Pune Postal/Zip Code: 411005 Taluka: Haveli</t>
  </si>
  <si>
    <t>Ashwani Apartment, 1st Floor, Near Koteshwar Mandir, 92/C Shukrawar Peth. Tal: Satara, Dist: Satara. Postal/Zip Code: 415002 Taluka: Satara</t>
  </si>
  <si>
    <t>"Sayali Kunj", Ground Floor, Wai-Panchgani Road, Near Datta Mandir. Tal: Wai, Dist; Satara Postal/Zip Code: 412803 Taluka: Wai</t>
  </si>
  <si>
    <t>Room No. 10 Tilak bldg. achary donde marg, Sewree(w) Postal/Zip Code: 400015 Taluka: Mumbai</t>
  </si>
  <si>
    <t>1, Palav Sadan, Jerbai Wadia Road, Parel Mumbai 400012 Postal/Zip Code: 400012 Taluka: Mumbai</t>
  </si>
  <si>
    <t>1 Floor, Dalawala Complex, Near Ambika Hotel, Panchavati Karanja Postal/Zip Code: 422003 Taluka: Nashik</t>
  </si>
  <si>
    <t>745, Laxmi Niwas, Satpur Colony, Satpur, Nasik Postal/Zip Code: 422012 Taluka: Nashik</t>
  </si>
  <si>
    <t>ITCT computers, J. K. Tower, Opp. R. B. H. Kanya Vidyalaya, College Road, Malegaon Postal/Zip Code: 423105 Taluka: Malegaon</t>
  </si>
  <si>
    <t>ASG - 62, Opp. Ambad Police Station ,Ashwin nagar, Nasik Postal/Zip Code: 422009 Taluka: Nashik</t>
  </si>
  <si>
    <t>Last Lane, Nayapura, Malegaon[Nashik] Postal/Zip Code: 423203 Taluka: Malegaon</t>
  </si>
  <si>
    <t>Adarsh Computer, Gajlaxmi bldg. Bela D'souza Road, Near Dr.Parag Patil Clinic, Jail Road, Nashik Road Postal/Zip Code: 422101 Taluka: Nashik</t>
  </si>
  <si>
    <t>A-3 First flower, Guru Ashish Soc, Opp. Gurudwara Nr. Bytco College, Nasik Road Postal/Zip Code: 422101 Taluka: Nashik</t>
  </si>
  <si>
    <t>Plot No. 39, Sawarkar Nagar, Front of Sangat Bar, Ashok Nagar, Satpur Postal/Zip Code: 422012 Taluka: Nashik</t>
  </si>
  <si>
    <t>559,Moreshwar Co-Op Hsg.Society, Near Fire Brigade, KasarAli, Bhiwandi Postal/Zip Code: 421302 Taluka: Bhiwandi</t>
  </si>
  <si>
    <t>Visa Computer Institute,"Shakuntal",Gandhi Chowk, Nr. Hanuman Mandir, Kulgaon, Badlapur (E) Postal/Zip Code: 421503 Taluka: Ambarnath</t>
  </si>
  <si>
    <t>Nr.P.V.P.College,Vidyanagar,Kavathemahankal Postal/Zip Code: 416405 Taluka: Kavathe Mahakal</t>
  </si>
  <si>
    <t>Dhoki Road, Jay Bhagwan Complex, Kallam Postal/Zip Code: 413507 Taluka: Kalamb</t>
  </si>
  <si>
    <t>Nr Utsav Mangal Karyalay , Jatharpeth, Umri Road , AKola Postal/Zip Code: 444001 Taluka: Akola</t>
  </si>
  <si>
    <t>Aptech bhawan Postal/Zip Code: 444101 Taluka: Akot</t>
  </si>
  <si>
    <t>Chanakyapuri Corner, Infront of Gopal Appt, Nagar Road, Beed Postal/Zip Code: 431122 Taluka: Beed</t>
  </si>
  <si>
    <t>77/612, Maharshi nagar, Pune Postal/Zip Code: 411037 Taluka: Haveli</t>
  </si>
  <si>
    <t>Shriram Nagar, Tumsar Postal/Zip Code: 441912 Taluka: Tumsar</t>
  </si>
  <si>
    <t>44, Panmala Colony, Vitthalwadi Road,Panmala, Pune Postal/Zip Code: 411030 Taluka: Haveli</t>
  </si>
  <si>
    <t>First Floor, Block No. 3, Kanhaiya lal Complex, Opp. S.T. Stand, Ratnagiri Postal/Zip Code: 415639 Taluka: Ratnagiri</t>
  </si>
  <si>
    <t>Shop 11, Balaji Colony, Ambika Nagar Postal/Zip Code: 414005 Taluka: Ahmednagar</t>
  </si>
  <si>
    <t>Mayuresh Darshan, Ground Floor, Brahmin Ali, Opp. Bhimeshwar Mandir, Near Old Post Office, Bhiwandi. Postal/Zip Code: 421302 Taluka: Bhiwandi</t>
  </si>
  <si>
    <t>305/306, Saroja Arcade, 3rd Floor, Near Railway Station, Patkar Road, Above Kamath Medical, Dombivali (E) Postal/Zip Code: 421201 Taluka: Kalyan</t>
  </si>
  <si>
    <t>devkrupa co operative hsg society ,,shop no 2 ,g.k.road ,apna sahakari bank bldg. ltd,opp.apna bazar naigaon, Dadar (East) Postal/Zip Code: 400014 Taluka: Mumbai</t>
  </si>
  <si>
    <t>Shop No. 58, Opp. B D D Chawl No. 19, Near Jambori Maidan, G M Bhosale Marg, Worli Postal/Zip Code: 400018 Taluka: Mumbai</t>
  </si>
  <si>
    <t>Shop No, 2 , Bldg. No . 213 , Trivedi Bldg , R. A . K . Road , Opp. Brij Albela Hotel , Wadala ( W ) ,Mumbai 400031 Mumbai - 400031 Postal/Zip Code: 400031 Taluka: Mumbai</t>
  </si>
  <si>
    <t>Shop No. 6, Devi Dayal Tower, B wing First Floor, Opp. Kolsewadi Police Station kalyan(E) Thane Postal/Zip Code: 421306 Taluka: Kalyan</t>
  </si>
  <si>
    <t>263, White House, 1st Floor, Above tata Indicom, JHS Road, Girgaum(E) Mumabai Postal/Zip Code: 400004 Taluka: Mumbai</t>
  </si>
  <si>
    <t>Plot no. 4, Satyam Naware Arcade, Opp. Navare Hospital, Shiv Mandir Road , Ambernath (E) Postal/Zip Code: 421501 Taluka: Ambarnath</t>
  </si>
  <si>
    <t>Digambar Mhaskar Marg , Near Paras Nagar , JogeshwariI Postal/Zip Code: 400060 Taluka: Mumbai</t>
  </si>
  <si>
    <t>678, Sahyadrinagar, N-5 CIDCO Postal/Zip Code: 431003 Taluka: Aurangabad</t>
  </si>
  <si>
    <t>54,Rathi Nagar amravati Postal/Zip Code: 444603 Taluka: Amravati</t>
  </si>
  <si>
    <t>Near Mane Kirana Stores, Mondha Market Postal/Zip Code: 431515 Taluka: Parali</t>
  </si>
  <si>
    <t>Near New Bus Stand Postal/Zip Code: 414204 Taluka: Patoda</t>
  </si>
  <si>
    <t>Nand Towers, Second floor, near LIC Building, Khamgoan Tah Khamgaon Dist Buldhana Postal/Zip Code: 444303 Taluka: Khamgaon</t>
  </si>
  <si>
    <t>At post Gadchandur, Behind State Bank Of India, C/o Khandale Sir. Postal/Zip Code: 442908 Taluka: Korpana</t>
  </si>
  <si>
    <t>C/o Vivek Typing Institute, Near Bank of Maharashtra, Tukum, Chandrapur Postal/Zip Code: 442401 Taluka: Chandrapur</t>
  </si>
  <si>
    <t>Ambedkar ward, Ambedkar Square, Kurkheda Postal/Zip Code: 441209 Taluka: Karakheda</t>
  </si>
  <si>
    <t>C/o Pankaj Typing Institute, Rajwada Road Postal/Zip Code: 442705 Taluka: Aheri</t>
  </si>
  <si>
    <t>PlotNo. 20, B.M.Patel Ward,Kanhar Toli,Gondia Postal/Zip Code: 441614 Taluka: Gondiya</t>
  </si>
  <si>
    <t>aurangabad road,badnapur Postal/Zip Code: 431202 Taluka: Badnapur</t>
  </si>
  <si>
    <t>Near Asthabhuja Temple, Infront of Municipal Highschool &amp; Navshakti Ayur., Jamner Road, Postal/Zip Code: 425201 Taluka: Bhusawal</t>
  </si>
  <si>
    <t>5, Bhoite Market, M.J.College Road, Postal/Zip Code: 425002 Taluka: Jalgaon</t>
  </si>
  <si>
    <t>Near JDCC Bank, Ring Road, Postal/Zip Code: 425001 Taluka: Jalgaon</t>
  </si>
  <si>
    <t>1011, A Ward, Sangar Galli, , Kolhapur- 416012 Postal/Zip Code: 416012 Taluka: Karveer</t>
  </si>
  <si>
    <t>645 'E' ward, 1st Lane Shahupuri,kolhapur Postal/Zip Code: 416001 Taluka: Karveer</t>
  </si>
  <si>
    <t>Main Road Chandgad Postal/Zip Code: 416509 Taluka: Chandgad</t>
  </si>
  <si>
    <t>IN FRONT OF AJARA URBAN BANK,SHIVAJI PETH, MARKET CHOWK,AT-POST-TAL-RADHANAGARI Postal/Zip Code: 416212 Taluka: Radhanagari</t>
  </si>
  <si>
    <t>Sarjeshri Towers Bacement,Nagarpalika Chowk,A/P-Peth Vadgaon Tal.:-Hatkanagale Postal/Zip Code: 416112 Taluka: Hatkanangale</t>
  </si>
  <si>
    <t>Tandale Complex, Rajeev Gandhi Chowk, Front Of Life Style, Ausa Road Postal/Zip Code: 413531 Taluka: Latur</t>
  </si>
  <si>
    <t>Jawale Bhuvan,28, Bhawanishankar Rd, Dadar Postal/Zip Code: 400028 Taluka: Mumbai</t>
  </si>
  <si>
    <t>13,Shatrunjay-Giriraj Complex, Tanaji Chowk, New Mill Road, Kurla(W), Postal/Zip Code: 400070 Taluka: Kurla</t>
  </si>
  <si>
    <t>S/A, Durga Smruti, Abhimanyu Bhavan, G.V.Scheme Road No. 2, Near Shamrao Vitthal Bank ,Mulund(E) Postal/Zip Code: 400081 Taluka: Kurla</t>
  </si>
  <si>
    <t>2nd Floor, Khandelwal Niwas, Nr. L.I.C. Office Patleshwar Rd., Mahal Postal/Zip Code: 440002 Taluka: Nagpur</t>
  </si>
  <si>
    <t>5, Shaktimata Nagar, (New Diamond nagar) Kharbi main Road, Near Sachin Medical, Front of Dr. Gupta clinic, Nagpur 09 Postal/Zip Code: 440009 Taluka: Nagpur</t>
  </si>
  <si>
    <t>1st floor, Panchshil Nagar, Katol Road, Gittikhadan Postal/Zip Code: 440013 Taluka: Nagpur</t>
  </si>
  <si>
    <t>40, Gittikhadan Lay-out, Pratapnagar Postal/Zip Code: 440022 Taluka: Nagpur</t>
  </si>
  <si>
    <t>272, Lokseva Complex,Near Mokhare College, lokseva nagar,(swawalambi nagar), Postal/Zip Code: 440022 Taluka: Nagpur</t>
  </si>
  <si>
    <t>240/2, Somwari Peth, Near ESIS Hospital, Postal/Zip Code: 440009 Taluka: Nagpur</t>
  </si>
  <si>
    <t>3, Swapnalok Complex, Wardhman Nagar, Opp Sent Xavier School Postal/Zip Code: 440008 Taluka: Nagpur</t>
  </si>
  <si>
    <t>Anand Nagar, T.V. Centre Postal/Zip Code: 413501 Taluka: Osmanabad</t>
  </si>
  <si>
    <t>Near Inyat Nager, Old Padgaon Road Postal/Zip Code: 431401 Taluka: Parbhani</t>
  </si>
  <si>
    <t>Dharasurkar Complex ,Subhash Road Parbhani Postal/Zip Code: 431401 Taluka: Parbhani</t>
  </si>
  <si>
    <t>Mahavir Nagar, In front of Jain Mandir Postal/Zip Code: 431511 Taluka: Purna</t>
  </si>
  <si>
    <t>Dr. Kothale Bldg., Swastik Chowk, Godhani Road Postal/Zip Code: 445001 Taluka: Yavatmal</t>
  </si>
  <si>
    <t>Samarth Wadi, Behind Vivekanand School Postal/Zip Code: 445001 Taluka: Yavatmal</t>
  </si>
  <si>
    <t>Kewate Layout, Kalamb Postal/Zip Code: 445401 Taluka: Kalamb</t>
  </si>
  <si>
    <t>Shivaji chowk mahagaon Postal/Zip Code: 445205 Taluka: Mahagaon</t>
  </si>
  <si>
    <t>Killa Ves, Khandak Road Postal/Zip Code: 413203 Taluka: Karmala</t>
  </si>
  <si>
    <t>At Post Junction Tal Indapur Postal/Zip Code: 413117 Taluka: Indapur</t>
  </si>
  <si>
    <t>Mahsul Colony, Next to Dahiwadi College, Dahiwadi. Tal-man. dist-Satara. Pin-415508 Postal/Zip Code: 415508 Taluka: Man</t>
  </si>
  <si>
    <t>"D"Wing,Balaji Complex,Mumbai Goa Highway At. Post. Tal. Mangaon Dist. Raigad. Postal/Zip Code: 402104 Taluka: Mangaon</t>
  </si>
  <si>
    <t>MAHAKALI BLDG., SHOP NO. 4 KASAR ALI Postal/Zip Code: 410205 Taluka: Pali-Sudhagad</t>
  </si>
  <si>
    <t>Shree Gajanan Krupa Hsg Socy, At &amp; Post Chowk Tal :Khalapur Dist Raigad Postal/Zip Code: 410206 Taluka: Khalapur</t>
  </si>
  <si>
    <t>"Shram Safalya", Bandar Road, Ratnagiri. Postal/Zip Code: 415612 Taluka: Ratnagiri</t>
  </si>
  <si>
    <t>258,Kasba Peth,Pawale Chowk,Pune-11 Postal/Zip Code: 411011 Taluka: Haveli</t>
  </si>
  <si>
    <t>RADHA NAGARI BANG LAYOUT, BEHIND NEW POLICE STATION DIGRAS Postal/Zip Code: 445203 Taluka: Digras</t>
  </si>
  <si>
    <t>Itawa Ward, Pusad,Dist - Yavatmal Postal/Zip Code: 445204 Taluka: Pusad</t>
  </si>
  <si>
    <t>Chandgad Road, A/P Nesari,Tal:-Gadhinglaj Postal/Zip Code: 416504 Taluka: Gadhinglaj</t>
  </si>
  <si>
    <t>Kothalwale Buliding, Bambwade Tal:-Shahuwadi Postal/Zip Code: 416213 Taluka: Shahuwadi</t>
  </si>
  <si>
    <t>44, Misal Lay out, Patankar Chowk Postal/Zip Code: 440014 Taluka: Nagpur</t>
  </si>
  <si>
    <t>769 , New Subhedar Layout, Near Gajanan High School Postal/Zip Code: 440024 Taluka: Nagpur</t>
  </si>
  <si>
    <t>Om Computer Institute,Shop no.12, Pipewala Bldg, 4th Pasta Lane, Colaba Market, Mumbai-400005 Postal/Zip Code: 400005 Taluka: Mumbai</t>
  </si>
  <si>
    <t>In Front Of Police Station, Murum Tq. Omerga Dist. Osmanabad Postal/Zip Code: 413605 Taluka: Omarga</t>
  </si>
  <si>
    <t>Ganesh Nagar, Ridhi Sidhi Appt. Near Ganesh Mandir, Sangamner Postal/Zip Code: 422605 Taluka: Sangamner</t>
  </si>
  <si>
    <t>Tilak Sankul,Patil Lane, Trimbakeshwar Postal/Zip Code: 422212 Taluka: Trimbakeshwar</t>
  </si>
  <si>
    <t>Motimohan Hospital Campus, Near Vasantrao Statue, Tilak Nagar, Pusad Postal/Zip Code: 445204 Taluka: Pusad</t>
  </si>
  <si>
    <t>"Madhu Prem", New Sarafa, Jaistambh Chowk, Akot Postal/Zip Code: 444101 Taluka: Akot</t>
  </si>
  <si>
    <t>sahakarsunkul buld1st flower shop no12,13 varvand,tal-daund,dist-pune Postal/Zip Code: 412215 Taluka: Daund</t>
  </si>
  <si>
    <t>Opp.Muncipal Hosptal, Bhagwan Mahavir Marg, Malkapur Tah Malkapur Dist Buldhana Postal/Zip Code: 443101 Taluka: Malkapur</t>
  </si>
  <si>
    <t>Laxmi Niwas, Shop No. 1, Delisle Rd, Subhash Nagar Estate, N.M.Joshi Marg,Lower Parel,Mumbai Postal/Zip Code: 400011 Taluka: Mumbai</t>
  </si>
  <si>
    <t>Shop No.8,Sadguru Society, Nehru Rd, Vakola Bridge, Near citizen bank, Santacruz Postal/Zip Code: 400055 Taluka: Mumbai</t>
  </si>
  <si>
    <t>Shop No-15, Ram Hajare Marg,Near Bldg No 8,Station Road, Tagore Nagar, Vikhroli (E). Mumbai-83. Postal/Zip Code: 400083 Taluka: Kurla</t>
  </si>
  <si>
    <t>B-7/B1, Pansare sadan, Mohili Village, Sakinaka Postal/Zip Code: 400072 Taluka: Kurla</t>
  </si>
  <si>
    <t>Plot no-2, N-9, Hari Om Complex, Hudco, Aurangabad Postal/Zip Code: 431003 Taluka: Aurangabad</t>
  </si>
  <si>
    <t>Vasant Market, Near Bazartal, Akole Postal/Zip Code: 422601 Taluka: Akole</t>
  </si>
  <si>
    <t>Shop No. 3, Vichare Niwas, Near Municipal School, Shanti Nagar, Road No. 27, Wagle Estate Postal/Zip Code: 400604 Taluka: Thane</t>
  </si>
  <si>
    <t>201, Krupa Chambers, Near Malhar Theatere, Opp. Telephone Exchange, Naupada, Thane(W)-400602 Postal/Zip Code: 400602 Taluka: Thane</t>
  </si>
  <si>
    <t>2, Badrinath Estate, Laxman Nagar, Kurar Village,Malad (E) Postal/Zip Code: 400097 Taluka: Boriwali</t>
  </si>
  <si>
    <t>Plot No. X-9/1, M.I.D.C. Industrial Area, Murbad Postal/Zip Code: 421401 Taluka: Murbad</t>
  </si>
  <si>
    <t>5, Bajarang Nagar, Manewada Road, Nagpur Postal/Zip Code: 440027 Taluka: Nagpur</t>
  </si>
  <si>
    <t>136, Laghuvetan Colony, Nagpur, Near Indora Square, Ekta Gate Postal/Zip Code: 440014 Taluka: Nagpur</t>
  </si>
  <si>
    <t>Industrial Training Center, Mowadi, Pimpri, Pune-18 Postal/Zip Code: 411018 Taluka: Haveli</t>
  </si>
  <si>
    <t>S.M. Dnyandeo Mohekar Mahavidyalaya Postal/Zip Code: 413507 Taluka: Kalamb</t>
  </si>
  <si>
    <t>Pach Peer Chowk, Near Bus Stop, Main Road, Kalewadi, Kalbhor Building Postal/Zip Code: 411017 Taluka: Haveli</t>
  </si>
  <si>
    <t>1B/2, Abhiman Co-operative Society, Jagdale Clinic, Front of Mathura Sweets, Krishna Nagar Postal/Zip Code: 411019 Taluka: Haveli</t>
  </si>
  <si>
    <t>C.M. Chambers, 1st Floor, Krishna Chowk, New Sangavi Postal/Zip Code: 411027 Taluka: Haveli</t>
  </si>
  <si>
    <t>Plot No.49,Layout No.2,Baba Jaragnar Road,Kolhapur Postal/Zip Code: 416007 Taluka: Karveer</t>
  </si>
  <si>
    <t>Second Floor, Main Road, Postal/Zip Code: 413519 Taluka: Deoni</t>
  </si>
  <si>
    <t>AT Post CHANDUR RLY. ROAD, BEHIND RANUKA COLLECTION , BHOYAR NAGAR Postal/Zip Code: 444708 Taluka: Nandegaon Khandeshwar</t>
  </si>
  <si>
    <t>K.M Asgar Husain , College of Education ,P.O.Box 122, Rani Jhansi Rd, Ratanlal Plots Postal/Zip Code: 444001 Taluka: Akola</t>
  </si>
  <si>
    <t>1, Jijamata Nagar, Jail Road, Nashik Road. Postal/Zip Code: 422101 Taluka: Nashik</t>
  </si>
  <si>
    <t>Shop no.6-7, Karambalkar Towers, Nr. Siddhivinayak Ganesh temple, Raviwar Peth, Nasik. Postal/Zip Code: 422001 Taluka: Nashik</t>
  </si>
  <si>
    <t>Eagle Computer,Plot No.102, Rohit, Fabrication, Subhash Colony Shirpur Postal/Zip Code: 425405 Taluka: Shirpur</t>
  </si>
  <si>
    <t>Plot No 8, Jadhav Nagar, Opp Civil Court, Shindkheda Postal/Zip Code: 425406 Taluka: Sindkhed</t>
  </si>
  <si>
    <t>63, Deshmukh Nagar, Shivaji Nagar Road, Garkheda Parisar Postal/Zip Code: 431005 Taluka: Aurangabad</t>
  </si>
  <si>
    <t>Ranilaxmi Chowk, Gujarathi Lane Postal/Zip Code: 425107 Taluka: Chopada</t>
  </si>
  <si>
    <t>Near Budhwar Gate, Sardar Vallabhbhai Marg, Postal/Zip Code: 425109 Taluka: Erandol</t>
  </si>
  <si>
    <t>1st Floar of Yashwant Path Sanstha, Near Pillu Masjid, Jawahar Road, Dharangaon Postal/Zip Code: 425105 Taluka: Dharangaon</t>
  </si>
  <si>
    <t>9, Krushi Utpanna Bazar Samiti, Bhadgaon Road, Postal/Zip Code: 424201 Taluka: Pachora</t>
  </si>
  <si>
    <t>Near Post Office Dhadgaon,Main Road, Dhadgaon Postal/Zip Code: 425414 Taluka: Akrani</t>
  </si>
  <si>
    <t>201,202, Om Chembar, Court Road, Postal/Zip Code: 425001 Taluka: Jalgaon</t>
  </si>
  <si>
    <t>Front of co- oparative bank At post Dhanora Postal/Zip Code: 442606 Taluka: Dhanora</t>
  </si>
  <si>
    <t>NEAR SBI BANK, MAIN ROAD ETAPALLI Postal/Zip Code: 442704 Taluka: Etapalli</t>
  </si>
  <si>
    <t>Sigma Computers Sironcha Postal/Zip Code: 442504 Taluka: Sironcha</t>
  </si>
  <si>
    <t>Room No. 21, Postman Chawl, Sambhaji Nagar, Sahar Road, Andheri (East) Postal/Zip Code: 400069 Taluka: Mumbai</t>
  </si>
  <si>
    <t>Ganga Chambers, Behind District Court, Courtlane, Ahmednagar Postal/Zip Code: 414001 Taluka: Ahmednagar</t>
  </si>
  <si>
    <t>Hanuman Nagar, Tarsa Rd, Shahid Chowk, Kanhan Postal/Zip Code: 441401 Taluka: Parashivani</t>
  </si>
  <si>
    <t>Gurukrupa Complex, Bhim Chowk,Nara Rd, Jari Patka Postal/Zip Code: 440014 Taluka: Nagpur</t>
  </si>
  <si>
    <t>Shop No. 9, VIP Market, Near Bus Stand, Ozar(MIG) Postal/Zip Code: 422206 Taluka: Niphad</t>
  </si>
  <si>
    <t>Pacific Computer Institute, Behind Sai Abinav Agency, Anna Mod, Khaperkheda Postal/Zip Code: 441102 Taluka: Savner</t>
  </si>
  <si>
    <t>1st Floor, Osmaniya Masjid Complex, Bus Stand Road, Postal/Zip Code: 444606 Taluka: Amravati</t>
  </si>
  <si>
    <t>Sangai Complex, Post Office Road Postal/Zip Code: 444705 Taluka: Anjangaon</t>
  </si>
  <si>
    <t>Thanekar Building, 2nd Floor, Main Chowk, Kankavali Postal/Zip Code: 416602 Taluka: Kankavli</t>
  </si>
  <si>
    <t>Shop No. 5,6,7, Tapasvi Plaza, Opp. Cotton Greaves company, NEAR STAR BAZAR, BELOW VOdafone store, Akurdi Chowk, Akurdi. Postal/Zip Code: 411019 Taluka: Haveli</t>
  </si>
  <si>
    <t>1st floor Hotel Vanita, Station Raod Postal/Zip Code: 413304 Taluka: Pandharpur</t>
  </si>
  <si>
    <t>"Mahada Complex",Shop No.18,Maharshtra Housing Board Yerwada Postal/Zip Code: 411006 Taluka: Haveli</t>
  </si>
  <si>
    <t>Near Dhondiraj Mangal Karyalay, Tapkir Nagar Chowk, Kalewadi, Thergaon, Postal/Zip Code: 411017 Taluka: Haveli</t>
  </si>
  <si>
    <t>Room No.11 Chatrapatti Shivaji Yapyari Sankul Postal/Zip Code: 413111 Taluka: Malshiras</t>
  </si>
  <si>
    <t>Mahalaxmi Market, Dr. Ambedkar Chowk,Bus Stand Road, Karanja, Postal/Zip Code: 444105 Taluka: Karanja</t>
  </si>
  <si>
    <t>Bharat Arcade 1 St Floor Shop No.20 Near Siddhivinayak Bank Khopoli Postal/Zip Code: 410203 Taluka: Khalapur</t>
  </si>
  <si>
    <t>KL4/26/1,Sec-4E,Kalamboli,Tal-Panvel Postal/Zip Code: 410218 Taluka: Panvel</t>
  </si>
  <si>
    <t>26, MAHSOOL COLONY, NEAR AMBAD CHOWFULLY, JALNA Postal/Zip Code: 431213 Taluka: Jalna</t>
  </si>
  <si>
    <t>E-1,Madhusudan Park, Deside Devang Complex, Near Bapu Bunglow Stop, Indiranag, Nashik Postal/Zip Code: 422009 Taluka: Nashik</t>
  </si>
  <si>
    <t>Shaniwar Bazar Gangakhed Postal/Zip Code: 431514 Taluka: Gangakhed</t>
  </si>
  <si>
    <t>Sudewad Complex, Opp. Hotel Rajdoot, Basmath Road Parbhani Postal/Zip Code: 431401 Taluka: Parbhani</t>
  </si>
  <si>
    <t>Main Road Postal/Zip Code: 413521 Taluka: Nilanga</t>
  </si>
  <si>
    <t>Maratha Samaj,Dr. Ambedkar Road, S.T.Stand Road,Sangli Postal/Zip Code: 416416 Taluka: Miraj</t>
  </si>
  <si>
    <t>Kanya Shala New Building, 2nd Floor, Devi Chowk, Infront of Ambrapalli Hotel, 714 Shaniwar Peth. Tal: Satara, Dist: Satara Postal/Zip Code: 415001 Taluka: Satara</t>
  </si>
  <si>
    <t>Expert Computers,1st Floor,Padtani Complex,Near Joshi Palace Sangamner Postal/Zip Code: 422605 Taluka: Sangamner</t>
  </si>
  <si>
    <t>New Mondha, Near Gopal Lodge,Beside Shri Agrsen Bank Postal/Zip Code: 431513 Taluka: Hingoli</t>
  </si>
  <si>
    <t>Narayan Niwas,99, Bhavani .Shankar. Road,Dr.Narayan K.Joshi Marg, Dadar(W) Postal/Zip Code: 400028 Taluka: Mumbai</t>
  </si>
  <si>
    <t>Vasant Villa, Opp. Mayur Bekary, Postal/Zip Code: 402201 Taluka: Alibag</t>
  </si>
  <si>
    <t>Near Shivaji Nagar Ground, Shivaji Nagar Postal/Zip Code: 445001 Taluka: Yavatmal</t>
  </si>
  <si>
    <t>2nd Floor, Success Chamber, Above Janata sahakari Bank, Chinchnaka,Chiplun Postal/Zip Code: 415605 Taluka: Chiplun</t>
  </si>
  <si>
    <t>C/o Mark Computer Khandekar's House, Near Civil Court, Khamgaon Tah Khamgaon Dist Buldhana Postal/Zip Code: 444303 Taluka: Khamgaon</t>
  </si>
  <si>
    <t>V.P.M's POLYTECHNIC, CHENDANI BUNDER ROAD, THANE. Postal/Zip Code: 400601 Taluka: Thane</t>
  </si>
  <si>
    <t>SJTI complex residency Rd. Sadar Nagpur 440001 Postal/Zip Code: 440001 Taluka: Nagpur</t>
  </si>
  <si>
    <t>MEET ARCADE, HANUMAN CHOWK,PUNDALIKNAGAR,N-4, AURANGABAD. Postal/Zip Code: 431003 Taluka: Aurangabad</t>
  </si>
  <si>
    <t>Shailendra Education Society , shailendra vidyalya marg , shailender Nagar,Dahisar-e Postal/Zip Code: 400068 Taluka: Boriwali</t>
  </si>
  <si>
    <t>Ramakrishna Math Computer Institute, 131/A Near Dandekar Bridge, Sinhagad Road, Postal/Zip Code: 411030 Taluka: Haveli</t>
  </si>
  <si>
    <t>"Gurukripa", 1st Floor, Vivekanand Nagar, Vita Postal/Zip Code: 415311 Taluka: Khanapur</t>
  </si>
  <si>
    <t>Agarwal Complex, Opp. Yashwant Highschool, Islampur Postal/Zip Code: 415409 Taluka: Walva</t>
  </si>
  <si>
    <t>C/O, Pawade Opp Dist Co-Operative Bank Maregaon Postal/Zip Code: 445303 Taluka: Moregaon</t>
  </si>
  <si>
    <t>shriyash computers opp. tahsil kalamb road babhulgaon Postal/Zip Code: 445101 Taluka: Babulgaon</t>
  </si>
  <si>
    <t>Shreejit Niwas Brahman Galli Postal/Zip Code: 431705 Taluka: Audha Naganath</t>
  </si>
  <si>
    <t>LT.S.M.Joshi Hall Computer Centre,PMC Somwar Peth,Pune-11 Postal/Zip Code: 411011 Taluka: Haveli</t>
  </si>
  <si>
    <t>CTS No 1977,Fatthechand Marg Chinchwad Pune-411033 Postal/Zip Code: 411033 Taluka: Haveli</t>
  </si>
  <si>
    <t>Abasaheb Kakade Jr.College,Shevgaon Postal/Zip Code: 414502 Taluka: Shevgaon</t>
  </si>
  <si>
    <t>Nr. V.S.S.Sakhar Kharkhana, Shantiniketan Kanyashala, Sangli Postal/Zip Code: 416416 Taluka: Miraj</t>
  </si>
  <si>
    <t>Acharya Jawadekar Complex, 2nd Floor, Islampur. Tal : Walwa Postal/Zip Code: 415409 Taluka: Walva</t>
  </si>
  <si>
    <t>Nirajana Majithia College of Commerce Bohra Colony,M.G.Road Kandivli (w) Postal/Zip Code: 400067 Taluka: Boriwali</t>
  </si>
  <si>
    <t>Near Lokmat Office, Nagar Parishad Complex Jintur Postal/Zip Code: 431509 Taluka: Jintur</t>
  </si>
  <si>
    <t>Near Gupta Guest House, Main Road Postal/Zip Code: 444702 Taluka: Dharani</t>
  </si>
  <si>
    <t>At-Post Gurudeo Nagar, Rashtrasant Colony. Postal/Zip Code: 444902 Taluka: Tivsa</t>
  </si>
  <si>
    <t>A/P. Kuditre Factory Site,kuditre.Tal:-karveer Postal/Zip Code: 416204 Taluka: Karveer</t>
  </si>
  <si>
    <t>At.Newasa Phata,Post.Mukindpur,S.D.M.Newasa College,Newasa Postal/Zip Code: 414603 Taluka: Nevasa</t>
  </si>
  <si>
    <t>Plot No 721,Shivajinagar,opp Shivaji Vyam Mandal,ShivajiNagar,Pune-5 Postal/Zip Code: 411005 Taluka: Haveli</t>
  </si>
  <si>
    <t>shivaji nagar Ner parsopant Postal/Zip Code: 445102 Taluka: Ner</t>
  </si>
  <si>
    <t>At Post Mukutban Postal/Zip Code: 445319 Taluka: Zari jamadi</t>
  </si>
  <si>
    <t>Late Hule Complex,Second Floor,Shashtri Nagar Chowk,Nagar Road,Kalyaninagar Corner Yerwada,Pune-411006. Postal/Zip Code: 411006 Taluka: Haveli</t>
  </si>
  <si>
    <t>1St Floor ,Lal Chowk,Near Malati Kanya College Postal/Zip Code: 415409 Taluka: Walva</t>
  </si>
  <si>
    <t>Pralhad Sankul, Opp. Sant Eknath Rang Mandir, Osmanpura, Aurangabad Postal/Zip Code: 431001 Taluka: Aurangabad</t>
  </si>
  <si>
    <t>Near Godhni Rail way station ,Godhani Nagpur emule, pandora Postal/Zip Code: 441111 Taluka: Nagpur</t>
  </si>
  <si>
    <t>Nice Computer Edu. Sarangkheda Postal/Zip Code: 425409 Taluka: Shahada</t>
  </si>
  <si>
    <t>A/P Waigaon (Nipani) Postal/Zip Code: 442108 Taluka: Wardha</t>
  </si>
  <si>
    <t>C/O Tukaramj khond, Dabhade Layout, Gauri Nagar, Dedi Road, Sawangi (Meghe) Postal/Zip Code: 442004 Taluka: Wardha</t>
  </si>
  <si>
    <t>Kasturba Health Society's Complex Block No. 38 and 39 Sewagram Postal/Zip Code: 442102 Taluka: Wardha</t>
  </si>
  <si>
    <t>Ward No. 2, Near Bus Stand A/P Nachangaon Postal/Zip Code: 442306 Taluka: Deoli</t>
  </si>
  <si>
    <t>At-Discovery Computer Education, Wadwgaon Postal/Zip Code: 441919 Taluka: Tirora</t>
  </si>
  <si>
    <t>Om Computers, Main Chauk of Kingaon Khurd Tal-Yawal Postal/Zip Code: 425318 Taluka: Yaval</t>
  </si>
  <si>
    <t>Trimurti Chowk Rawanwadi Postal/Zip Code: 441601 Taluka: Gondiya</t>
  </si>
  <si>
    <t>Near co-op.bank,soundad Postal/Zip Code: 441806 Taluka: Sadak arjuni</t>
  </si>
  <si>
    <t>Digilab Computers, Near grampanchayat Postal/Zip Code: 425426 Taluka: Navapur</t>
  </si>
  <si>
    <t>At po Undri Tah Chikhali Dist Buldhana Postal/Zip Code: 443307 Taluka: Chikhali</t>
  </si>
  <si>
    <t>Near Subhas Get, Pimpalgaon Kale Tah Jalgaon Jamod Dist Buldhana Postal/Zip Code: 443403 Taluka: Jalagaon</t>
  </si>
  <si>
    <t>Anand Nagar, Jalgaon Rd, Near Bus Stand Jamner Postal/Zip Code: 424206 Taluka: Jamner</t>
  </si>
  <si>
    <t>Limra Complex Datala, At Post Datala Tah Malkapur Dist Buldhana Postal/Zip Code: 444301 Taluka: Malkapur</t>
  </si>
  <si>
    <t>GURUKRIPA NEAR RANI DANAJI JAIN SCHOOL AT WAKOD Postal/Zip Code: 424205 Taluka: Jamner</t>
  </si>
  <si>
    <t>Lonar Road, Sultanpur Tah Lonar Dist Buldhana Postal/Zip Code: 443302 Taluka: Lonar</t>
  </si>
  <si>
    <t>Sadguru Computers, Near Ram Mandir, Postal/Zip Code: 425110 Taluka: Erandol</t>
  </si>
  <si>
    <t>At. Mukti Geamsachivalay Postal/Zip Code: 424301 Taluka: Dhule</t>
  </si>
  <si>
    <t>Opp. Bafana petrol pump, At post-Fagane. Postal/Zip Code: 424301 Taluka: Dhule</t>
  </si>
  <si>
    <t>Khal Gali, Patil Wada, Bhadgaon Postal/Zip Code: 424105 Taluka: Bhadgaon</t>
  </si>
  <si>
    <t>Kalyani Gali, A/P Rui Postal/Zip Code: 416116 Taluka: Hatkanangale</t>
  </si>
  <si>
    <t>A/P Dattawad, Near Datta Mandir,Tal:-Shirol Postal/Zip Code: 416107 Taluka: Shirol</t>
  </si>
  <si>
    <t>In Front of Vikas Vidyamandir , Nardane. Nardana Postal/Zip Code: 425404 Taluka: Sindkhed</t>
  </si>
  <si>
    <t>Gram Sachiwalaya Building, chatrapati Shivaji Market, Kasaba Walva,Tal:-radhanagari Postal/Zip Code: 416221 Taluka: Radhanagari</t>
  </si>
  <si>
    <t>Prakash Bapusaheb Karadage, A/P Abdul Lat, Karadage Galli, Pin - 416143, Tal - Shirol, Dist - Kolhapur Postal/Zip Code: 416143 Taluka: Shirol</t>
  </si>
  <si>
    <t>SHIVAJI CHOWK, OPPT.DESAI MEDICALS,AT-POST-KASABA TARALE TAL-RADHANAGARI Postal/Zip Code: 416211 Taluka: Radhanagari</t>
  </si>
  <si>
    <t>Main Road, Shirgaonkar Sonae 1St Floor A/P Malakapur Postal/Zip Code: 415101 Taluka: Shahuwadi</t>
  </si>
  <si>
    <t>At Post Samner, Postal/Zip Code: 425115 Taluka: Pachora</t>
  </si>
  <si>
    <t>Nittur Road, Bazar Peth, Kowad Postal/Zip Code: 416508 Taluka: Chandgad</t>
  </si>
  <si>
    <t>Main Road, Near Gram Panchayat Office, At Post Pimpalgaon Hareshwar tq. Pachora Dist.- Jalgaon Postal/Zip Code: 424203 Taluka: Pachora</t>
  </si>
  <si>
    <t>Shivaji Chowk,Near Post Office,Savda, Postal/Zip Code: 425502 Taluka: Raver</t>
  </si>
  <si>
    <t>Trimurti Chowk,Main Road , Nimbhora Postal/Zip Code: 425506 Taluka: Raver</t>
  </si>
  <si>
    <t>College Road, Halkarni Phata Postal/Zip Code: 416507 Taluka: Chandgad</t>
  </si>
  <si>
    <t>In Front of D.C.C. Bank Postal/Zip Code: 413406 Taluka: Barshi</t>
  </si>
  <si>
    <t>c/o V.G. Deulkar, Near Ram Mandir, Main Road Postal/Zip Code: 441103 Taluka: Katol</t>
  </si>
  <si>
    <t>Near Bank Of Maharashtra Postal/Zip Code: 413217 Taluka: Akkalkot</t>
  </si>
  <si>
    <t>Mauli Computers, Wadala Postal/Zip Code: 413222 Taluka: Solapur(n)</t>
  </si>
  <si>
    <t>At Post Mohapa Postal/Zip Code: 441502 Taluka: Kalameshwar</t>
  </si>
  <si>
    <t>Near Santoshimata Mandir, Shastrinagaer Postal/Zip Code: 414502 Taluka: Shevgaon</t>
  </si>
  <si>
    <t>Ashvi Khurd Postal/Zip Code: 413738 Taluka: Sangamner</t>
  </si>
  <si>
    <t>Suyash Computer, Bramhani Phata, Sonear Road Postal/Zip Code: 441501 Taluka: Kalameshwar</t>
  </si>
  <si>
    <t>Sagar Comouters, Lakhamapur Vivdh Karyakari Society. Postal/Zip Code: 423213 Taluka: Baglan</t>
  </si>
  <si>
    <t>C/o Brejesh Ohara A/P-Rajur Postal/Zip Code: 422604 Taluka: Akole</t>
  </si>
  <si>
    <t>Behind Belhekar Hospital Sonai, Tal.Newasa, Dist.Ahmednagar Postal/Zip Code: 414105 Taluka: Nevasa</t>
  </si>
  <si>
    <t>CENTURY COMPUTRONICS, SHIMPY GALLI, Kharda Postal/Zip Code: 413204 Taluka: Jamkhed</t>
  </si>
  <si>
    <t>Near Nuton Jr.Collage Postal/Zip Code: 414401 Taluka: Karjat</t>
  </si>
  <si>
    <t>Yash Computer Education, Arangaon Postal/Zip Code: 413201 Taluka: Jamkhed</t>
  </si>
  <si>
    <t>Near Gramsachivalay, Sakur Postal/Zip Code: 422622 Taluka: Sangamner</t>
  </si>
  <si>
    <t>Morgoan supa Road, Near S.T. Stand, Morgaon. Postal/Zip Code: 412304 Taluka: Baramati</t>
  </si>
  <si>
    <t>A/P kunjirwadi, Yashodeep Complex, Near PMT stop, Kunjirwadi Postal/Zip Code: 412201 Taluka: Haveli</t>
  </si>
  <si>
    <t>Near Bus Stop Main Road ADYAL Th. Pauni Dist. Bhandara Postal/Zip Code: 441903 Taluka: Pavni</t>
  </si>
  <si>
    <t>Gandhi Ward, Petrol Pump (Thana) Jawaharnagar Postal/Zip Code: 441906 Taluka: Bhandara</t>
  </si>
  <si>
    <t>MAIN ROAD, NEHRU WARD PAHELA Postal/Zip Code: 441924 Taluka: Bhandara</t>
  </si>
  <si>
    <t>grampachayat bulding,Near Bus stand,At Patas Postal/Zip Code: 412219 Taluka: Daund</t>
  </si>
  <si>
    <t>Shop No 3/4 Market Yard, Nilwandi Road, At Post Tal- Dindori Postal/Zip Code: 422202 Taluka: Dindori</t>
  </si>
  <si>
    <t>Dehugaon Kumbharwada Postal/Zip Code: 412109 Taluka: Haveli</t>
  </si>
  <si>
    <t>A/p. Wayphale, Postal/Zip Code: 416312 Taluka: Tasgaon</t>
  </si>
  <si>
    <t>H. No-162, Mauje Sukene, Postal/Zip Code: 422302 Taluka: Niphad</t>
  </si>
  <si>
    <t>Near Grampanchayat, Budhgaon Postal/Zip Code: 416304 Taluka: Miraj</t>
  </si>
  <si>
    <t>A/P - Khanderajuri Postal/Zip Code: 416426 Taluka: Miraj</t>
  </si>
  <si>
    <t>station road bolda Postal/Zip Code: 431737 Taluka: Kalamanuri</t>
  </si>
  <si>
    <t>Alankapuri Appartment, Behind Laxmi Temple,Kupwad Road, Sangli Postal/Zip Code: 416416 Taluka: Miraj</t>
  </si>
  <si>
    <t>Behind Bahirji Smarak Vidyalaya Girgaon Postal/Zip Code: 431535 Taluka: Basamat</t>
  </si>
  <si>
    <t>Behind Govt Shool,A/P Yewat Postal/Zip Code: 412214 Taluka: Daund</t>
  </si>
  <si>
    <t>Plot No. A/26, Miraj Malgaon Road Subhashnagar Postal/Zip Code: 416410 Taluka: Miraj</t>
  </si>
  <si>
    <t>Near Jagdish Engineering works Nanded road Postal/Zip Code: 431811 Taluka: Kinvat</t>
  </si>
  <si>
    <t>2nd Floor, Walvekar Complex, Near S.T Stand, Malwadi. A/p: Bhilawdi Postal/Zip Code: 416303 Taluka: Palus</t>
  </si>
  <si>
    <t>1st floor, Gola Complex, Shivaji Chowk Road Postal/Zip Code: 413607 Taluka: Nilanga</t>
  </si>
  <si>
    <t>Vijay Computer Center Pabal Pimpalwadi Road, A/P-Pabal Tal-Shirur Postal/Zip Code: 412403 Taluka: Shirur</t>
  </si>
  <si>
    <t>Ganesh Nagar, Ward No. 4, Chohotta Bazar Postal/Zip Code: 444125 Taluka: Akot</t>
  </si>
  <si>
    <t>1st floor,Balaji Complex, Besides Amber Bunglow, Near Gandhi Chaman, Old Jalna Postal/Zip Code: 431213 Taluka: Jalna</t>
  </si>
  <si>
    <t>Near Bus Stand Postal/Zip Code: 431513 Taluka: Sengaon</t>
  </si>
  <si>
    <t>At Post Hadolti Postal/Zip Code: 413514 Taluka: Ahmadpur</t>
  </si>
  <si>
    <t>At Post Pangaon Postal/Zip Code: 431522 Taluka: Renapur</t>
  </si>
  <si>
    <t>In Front of Govt. Hospital Neknoor Tq &amp; Dist Beed Postal/Zip Code: 431125 Taluka: Beed</t>
  </si>
  <si>
    <t>AT POST Madalmohi Tq Georai DistBeed Postal/Zip Code: 431127 Taluka: Georai</t>
  </si>
  <si>
    <t>AT POST Dharmapuri Dist Beed- Postal/Zip Code: 431515 Taluka: Parali</t>
  </si>
  <si>
    <t>AT POST AMALNER Tq Patoda Dist. Beed Postal/Zip Code: 413207 Taluka: Patoda</t>
  </si>
  <si>
    <t>AT POST RADI TA Ambajogai Dist Beed- Postal/Zip Code: 431523 Taluka: Ambejogai</t>
  </si>
  <si>
    <t>BEHIND BUS - STAND , AT POST DEOGAON RANGARI Postal/Zip Code: 431115 Taluka: Kannad</t>
  </si>
  <si>
    <t>NEAR T POINT, KHUITABAL RD PHULAMBRI Postal/Zip Code: 431111 Taluka: Fulammbri</t>
  </si>
  <si>
    <t>Sillod T Point, Shauha Nagarm, PISHOR. Postal/Zip Code: 431003 Taluka: Kannad</t>
  </si>
  <si>
    <t>Datta Nagar, Dhoki Postal/Zip Code: 413508 Taluka: Osmanabad</t>
  </si>
  <si>
    <t>Main Chouk Rahu Tal. Daund Dist. Pune Postal/Zip Code: 412207 Taluka: Daund</t>
  </si>
  <si>
    <t>Shree Ganesh Computer Academy,Highschool Road,Salgare. Postal/Zip Code: 416418 Taluka: Miraj</t>
  </si>
  <si>
    <t>Near Vidyamandir Kanyashala,Arag Postal/Zip Code: 416401 Taluka: Miraj</t>
  </si>
  <si>
    <t>Parera House, Opp. Kasal High School Postal/Zip Code: 416603 Taluka: Kudal</t>
  </si>
  <si>
    <t>NAVARANG PLAZA,OFFICE NO.25,TINGARE NAGAR,VISHRANTWADI Postal/Zip Code: 411015 Taluka: Haveli</t>
  </si>
  <si>
    <t>SHOP NO. 763, 'A' WARD, JAIDEEP HSG CHS, MUKUND NAGAR, NEAR PIVLA BUNGLA STOP, ONGC.DHARAVI Postal/Zip Code: 400017 Taluka: Mumbai</t>
  </si>
  <si>
    <t>OM Institute Of Information Technology, Jadhav Nagar,Pl.No2 Sindkheda Postal/Zip Code: 425406 Taluka: Sindkhed</t>
  </si>
  <si>
    <t>9/10, Prathamesh Darshan, Khandeshwari Naka, Wada Postal/Zip Code: 421303 Taluka: Vada</t>
  </si>
  <si>
    <t>Off.Grampanchayat Build., Near Central Bank of India Deodaithan Postal/Zip Code: 413702 Taluka: Shrigonda</t>
  </si>
  <si>
    <t>Kapure Estate, Shop No 6, Opp Central Bank of India, NSS Road, Vishnu Nagar, Dombivli (West) Postal/Zip Code: 421202 Taluka: Kalyan</t>
  </si>
  <si>
    <t>Amar Plaza, 2nd Floor, Above Cosmos Bank,Laxminagar, ,Tal: Phaltan, Dist: Satara. Postal/Zip Code: 415523 Taluka: Phaltan</t>
  </si>
  <si>
    <t>3&amp;4, "Omkar", E wing, Near Vikas Hospital, Navapur Road, Boisar. Postal/Zip Code: 401501 Taluka: Palghar</t>
  </si>
  <si>
    <t>Tushar Computers at post umari Postal/Zip Code: 445302 Taluka: Kelapur</t>
  </si>
  <si>
    <t>P. No. 18, Dindayal Nagar, Dharampeth Society, Postal/Zip Code: 440022 Taluka: Nagpur</t>
  </si>
  <si>
    <t>pune nagar road, kesanand phata, wagholi, Postal/Zip Code: 412207 Taluka: Haveli</t>
  </si>
  <si>
    <t>Basement No. 1, 1971, E, Rajlaxmi Chambers, Opp. Idea Office, Below NesCafe, Vidyapith Bus Road, Rajarampuri 10th Lane, Kolhapur Postal/Zip Code: 410008 Taluka: Karveer</t>
  </si>
  <si>
    <t>Sarve No. 31, Gosavi Chambers, Dhankawadi, Pune 43 Postal/Zip Code: 411043 Taluka: Haveli</t>
  </si>
  <si>
    <t>karkhana rd., Someshwarnagar Postal/Zip Code: 412306 Taluka: Baramati</t>
  </si>
  <si>
    <t>1676, BUSINESS SQUARE ,2ND FLOOR, OPP S. P. COLLEGE, SADASHIV PETH, PUNE Postal/Zip Code: 411030 Taluka: Haveli</t>
  </si>
  <si>
    <t>3076, Kala Maruti Chowk, Pandharpur Postal/Zip Code: 413304 Taluka: Pandharpur</t>
  </si>
  <si>
    <t>Flat No. 2 Vinayak Apt(Neha Construction),Near Sampark Karyala Postal/Zip Code: 411043 Taluka: Haveli</t>
  </si>
  <si>
    <t>HERITAGE PLAZA, ELPRO COMPOUND,C-25,2ND FLOOR,C-WING,CHINCHWADGOAN Postal/Zip Code: 411033 Taluka: Haveli</t>
  </si>
  <si>
    <t>Ramnarayan Kabra shopping complex,1st floor,Near panchayat samiti,vinchur road,Yeola Postal/Zip Code: 423401 Taluka: Yeole</t>
  </si>
  <si>
    <t>Rajmudra Computers, Second Floor, Communist Building, Opposite ST Stand Postal/Zip Code: 422601 Taluka: Akole</t>
  </si>
  <si>
    <t>Lawale Rd, Lawale Phata Postal/Zip Code: 411042 Taluka: Mulshi</t>
  </si>
  <si>
    <t>Sarpanch Wasti ,Behind Mane Hospital ,Gopalwadi Road ,Daund Postal/Zip Code: 413801 Taluka: Daund</t>
  </si>
  <si>
    <t>21/22/23, 2nd floor, Vaibhav Complex, Above ICICI Bank, Irani Road, Dahanu Road (W) Postal/Zip Code: 401602 Taluka: Dahanu</t>
  </si>
  <si>
    <t>2nd Floor, Ram Complex, Sopan nagar Road,Saswad Postal/Zip Code: 412301 Taluka: Purandar</t>
  </si>
  <si>
    <t>Sr No 175,1st Floor Gaikwad Bldg. Near ganpati Mandir,Bhekrainagar,Hadapsar Postal/Zip Code: 412308 Taluka: Haveli</t>
  </si>
  <si>
    <t>At Post:- Main Road Patansaongi. Postal/Zip Code: 441113 Taluka: Savner</t>
  </si>
  <si>
    <t>Kavita Computer Education, Mirannath Mandir Road, Datta Chowk, Deoli Postal/Zip Code: 442101 Taluka: Deoli</t>
  </si>
  <si>
    <t>C/o Bhokre complex main road,karanja ghadge Postal/Zip Code: 442203 Taluka: Karanja</t>
  </si>
  <si>
    <t>2nd Floor, Laxminath Complex, Behind Muhoji High School, Umaji Naik Chowk,Phaltan. Tal: Phaltan, Dist: Satara Postal/Zip Code: 415523 Taluka: Phaltan</t>
  </si>
  <si>
    <t>C/o Golhar Building, First Floor, Near Ambedkar College, Nagpur Road, Hinganghat Postal/Zip Code: 442301 Taluka: Hinganghat</t>
  </si>
  <si>
    <t>Opposite Police Station, Seloo Postal/Zip Code: 442104 Taluka: Selu</t>
  </si>
  <si>
    <t>Bazar Chowk Main Road, Palandur (ch) Postal/Zip Code: 441809 Taluka: Lakhani</t>
  </si>
  <si>
    <t>23-A, Dube Nagar, Opp. Nasare Sabhagruha, Near Hudkeshwar Naka, Nagpur. Postal/Zip Code: 440034 Taluka: Nagpur</t>
  </si>
  <si>
    <t>Shyam Palace,Opp Shivay Science College,Congress Nagar, Nagpur. Postal/Zip Code: 440012 Taluka: Nagpur</t>
  </si>
  <si>
    <t>R sector, R B -4/1-003, Ajmera Hsg Complex, Postal/Zip Code: 411018 Taluka: Haveli</t>
  </si>
  <si>
    <t>808,Arihant Plaza2nd flooar,Shukrawar Peth Postal/Zip Code: 411002 Taluka: Haveli</t>
  </si>
  <si>
    <t>47/5/A, GROUND FLOOR, SAINAGARI, CHANDANNAGAR, KHARADI, BEHIND SATAV AUTO CARE Postal/Zip Code: 411014 Taluka: Haveli</t>
  </si>
  <si>
    <t>Building No: 10, Flat No: 1 &amp; 2, Nisarg Nagari, G Ward, Lonavla 410401 Postal/Zip Code: 410401 Taluka: Maval</t>
  </si>
  <si>
    <t>Prayag Computers F43 To F45 Wankhed Markat Pusad Road umarkhed. Postal/Zip Code: 445206 Taluka: Umarkhed</t>
  </si>
  <si>
    <t>vidarbha computer&amp; study N.P. Complex Shop-21,22 ,umarkhed Postal/Zip Code: 445206 Taluka: Umarkhed</t>
  </si>
  <si>
    <t>Achieve Computer Academy, Near Bus Stand, Sainagar, Arvi Postal/Zip Code: 442201 Taluka: Arvee</t>
  </si>
  <si>
    <t>Shree Computers,At Post-Ashti Postal/Zip Code: 442202 Taluka: Ashtee</t>
  </si>
  <si>
    <t>shree computer institute behind sandeep takies abhinav coleny,yavatmal shree_2006.com@rediff.com 9372622490 Postal/Zip Code: 445001 Taluka: Yavatmal</t>
  </si>
  <si>
    <t>IT-Scan Computer Education, Infront of Mahila Ashram School, Ayush Complex, Sewagram Road, Wardha Postal/Zip Code: 442001 Taluka: Wardha</t>
  </si>
  <si>
    <t>Ulhas Nagar, Malegaon Road TARODA NAKA Postal/Zip Code: 431605 Taluka: Nanded</t>
  </si>
  <si>
    <t>SAIKRUPA COMPUTERS, GOKULNAGER, OPP PEOPLE'S HIGHSCHOOL, Postal/Zip Code: 431602 Taluka: Nanded</t>
  </si>
  <si>
    <t>VASANT NAGER,NEW MONDHA RD. Postal/Zip Code: 431602 Taluka: Nanded</t>
  </si>
  <si>
    <t>Gayatri Nagar Postal/Zip Code: 444906 Taluka: Warud</t>
  </si>
  <si>
    <t>Main Road, Nandgoan Peth Postal/Zip Code: 444901 Taluka: Amravati</t>
  </si>
  <si>
    <t>Jain chambers, 2nd floor, near new Bus Stand, Akola Postal/Zip Code: 444001 Taluka: Akola</t>
  </si>
  <si>
    <t>Chalisbhinga, Nr. Nagar parishad School no.4, Malkapur Tah Malkapur Dist Buldhana Postal/Zip Code: 443101 Taluka: Malkapur</t>
  </si>
  <si>
    <t>103, Lokmarya Nagar, Hingna Rd, Postal/Zip Code: 440016 Taluka: Hingana</t>
  </si>
  <si>
    <t>Parth Infosoft, Rashtrabhasha Road, Opposite Saroj Sabhagruha, Wardha Postal/Zip Code: 442001 Taluka: Wardha</t>
  </si>
  <si>
    <t>8/12, Raje Raghuji Nagar, Opp.Govt.Ayurvedic, Sakardara Nagpur. Postal/Zip Code: 440009 Taluka: Nagpur</t>
  </si>
  <si>
    <t>24, Abhang Appt., Central Excise Colony, Ring Road Postal/Zip Code: 440015 Taluka: Nagpur</t>
  </si>
  <si>
    <t>Triratna Nagar, Sambhaji Chowk, Bypass Road,Patur Postal/Zip Code: 444501 Taluka: Patur</t>
  </si>
  <si>
    <t>1st Floor, In Front of New Bus Stand, Postal/Zip Code: 425306 Taluka: Muktainagar</t>
  </si>
  <si>
    <t>Near Natraj Garden, Khamgaon Postal/Zip Code: 444303 Taluka: Khamgaon</t>
  </si>
  <si>
    <t>At Post :- Shirpur(Jain) Postal/Zip Code: 444504 Taluka: Malegaon</t>
  </si>
  <si>
    <t>101, Krishna Plaza, Ganapati Chowk, Mohone, Ambivli (E) Postal/Zip Code: 421102 Taluka: Kalyan</t>
  </si>
  <si>
    <t>Main Road, Nr. Shah Classes, Near Post Office. Tal: Karad, Dist: Satara Postal/Zip Code: 415106 Taluka: Karad</t>
  </si>
  <si>
    <t>F 203/204, First Floor, Satyam Arcade, Opp. Dainik Gavkari, Near UCO Bank, Nagarpatti, Lane No. 6, Dhule Postal/Zip Code: 424001 Taluka: Dhule</t>
  </si>
  <si>
    <t>Shriram Nagar, Madha Postal/Zip Code: 413209 Taluka: Madha</t>
  </si>
  <si>
    <t>Behind Boys primary school , balkrishna Nagar Postal/Zip Code: 413208 Taluka: Madha</t>
  </si>
  <si>
    <t>A/P-Prerna Phata,OM Sai complex, Near Surya Jim ,Taluka Haveli,Dist-Pune,Pincode-412216 , Tal-Shirur, Dist-Pune Postal/Zip Code: 412216 Taluka: Shirur</t>
  </si>
  <si>
    <t>Siddharth Complex, 2nd Floor, Opp. SanasHigh School Dhayari Phata, Dhyari, Pune Postal/Zip Code: 411041 Taluka: Haveli</t>
  </si>
  <si>
    <t>6A, Garud Complex, Above Nokia Care, Opposite Kamlabai School, Sakri road Postal/Zip Code: 424001 Taluka: Dhule</t>
  </si>
  <si>
    <t>Taharabad road,Patil Chal Satana Postal/Zip Code: 423301 Taluka: Baglan</t>
  </si>
  <si>
    <t>Malegon Road, Nandgaon Postal/Zip Code: 423106 Taluka: Nandgaon</t>
  </si>
  <si>
    <t>Flat No 06, Bhagat Apartment, Lal Chowk Near Mahalaxmi Tempel Sinnar Dist (Nashik). Postal/Zip Code: 422103 Taluka: Sinnar</t>
  </si>
  <si>
    <t>4, Anntswami Apt, old saikheda Road, Near Vittal Mangal Karyalaya, Jail Road, Nasik Road Postal/Zip Code: 422101 Taluka: Nashik</t>
  </si>
  <si>
    <t>Paras Bunglow No. 14, B/H Suvidha Gas. Chetona Nagar, Nashik Postal/Zip Code: 422009 Taluka: Nashik</t>
  </si>
  <si>
    <t>A/p,Saikheda,college road Postal/Zip Code: 422210 Taluka: Niphad</t>
  </si>
  <si>
    <t>Behind Kunde mangal Karyalaya,sfurti housing society Postal/Zip Code: 422303 Taluka: Niphad</t>
  </si>
  <si>
    <t>30, Ground Floor, Janardan Arcade, Main Rd., Opp. Bank of Baroda, Dahnau Rd., Dahanu 401 602 Postal/Zip Code: 401602 Taluka: Dahanu</t>
  </si>
  <si>
    <t>207-213, Yashwantrao Chavan Complex, Ashok Hotel Chowk, Opp. Hotel Rajdhani, II floor, Main Road Postal/Zip Code: 413512 Taluka: Latur</t>
  </si>
  <si>
    <t>at post walsavangi Postal/Zip Code: 431132 Taluka: Bhokardan</t>
  </si>
  <si>
    <t>48, Trimurti, Z.P . Colony. Tal: Satara, Dist: Satara. Postal/Zip Code: 415002 Taluka: Satara</t>
  </si>
  <si>
    <t>1 &amp; 2, Shraddha Apt, Mhasoba Chowk, Kaprewadi, Jimmibaug, Kalyan (E) Postal/Zip Code: 421306 Taluka: Kalyan</t>
  </si>
  <si>
    <t>7, Mata Parvati Apt, Gr floor, Opp to Post Office, Katemanevali naka, Pune Link Road, Kalyan Postal/Zip Code: 421306 Taluka: Kalyan</t>
  </si>
  <si>
    <t>2/A Kaka Manzil Chs.Ltd, Ground Floor, Opp-Boostan Hotel, Kausa . Mumbra Postal/Zip Code: 400612 Taluka: Thane</t>
  </si>
  <si>
    <t>201-205, DHURI ARCADE 2nd FLOOR, NEAR HRISHIKESH HOTEL, STATION ROAD, VASAI(W) Postal/Zip Code: 401202 Taluka: Vasai</t>
  </si>
  <si>
    <t>Near Rest House, Khamgaon Road, Shegaon Postal/Zip Code: 444203 Taluka: Shegaon</t>
  </si>
  <si>
    <t>14/15, Navbharat Shopping Centre Next To Jolly Footware, Station Road Postal/Zip Code: 400083 Taluka: Kurla</t>
  </si>
  <si>
    <t>Igm Computer Education Balasaheb Deshmukh Coleny, Jalaram Ward Ghatangi Postal/Zip Code: 445301 Taluka: Ghatanji</t>
  </si>
  <si>
    <t>Shop No.3, Shalaka CHS. Ltd., Nr. Subhash Dairy, Gandhi Nagar, Dombivli (E) Postal/Zip Code: 421201 Taluka: Kalyan</t>
  </si>
  <si>
    <t>B.D.D. CHAWL NO. 82, ROOM NO.1, OPP. SUMER KENDRA Postal/Zip Code: 400018 Taluka: Mumbai</t>
  </si>
  <si>
    <t>Plot No 4 Kale Lay Out , Yavatmal Postal/Zip Code: 445001 Taluka: Yavatmal</t>
  </si>
  <si>
    <t>Near Jain Mandir State Bank Road Balapur Postal/Zip Code: 444302 Taluka: Balapur</t>
  </si>
  <si>
    <t>49 - 49/B , MUNICIPAL CHAWL , SHRI GANESH NAGAR, DR. B.A. ROAD , SANE GURUJI ROAD , LALBAUG Postal/Zip Code: 400012 Taluka: Mumbai</t>
  </si>
  <si>
    <t>A/P Malgund, Bazar Peth Postal/Zip Code: 415615 Taluka: Ratnagiri</t>
  </si>
  <si>
    <t>Manjunath Infotech SIIT,Kapad Line,Mangalwar Peth,Jath Postal/Zip Code: 416404 Taluka: Jat</t>
  </si>
  <si>
    <t>6, 1st floor, VEDAS CENTER, D.P.ROAD, AUNDH, PUNE-7 Postal/Zip Code: 411007 Taluka: Haveli</t>
  </si>
  <si>
    <t>5th Floor, Geetai Shopping Mail, Ideal Colony, Paud Rpad, Pune Postal/Zip Code: 411038 Taluka: Haveli</t>
  </si>
  <si>
    <t>117, 1ST FLOOR, EAST WING, CAMP, PUNE-1 Postal/Zip Code: 411001 Taluka: Haveli</t>
  </si>
  <si>
    <t>KESHAVKUNJ MAIN ROAD, ABOVE KURKOTI DISPENSARY SHIVAPUR WADA, Postal/Zip Code: 412205 Taluka: Haveli</t>
  </si>
  <si>
    <t>Sai-Prasad-2, Ashirwad Bungalow, 1st floor, Plot No - 222/A, Opp. Koparkhairane bus depot, Nr. Shivram Patil`s Office, Sector-19, Koparkhairane, Navi Mumbai Postal/Zip Code: 400709 Taluka: Thane</t>
  </si>
  <si>
    <t>Infront of Bus Stand, SINDHKHED RAJA Tah Sindhkhed Raja Dist Buldhana Postal/Zip Code: 443203 Taluka: Sindakhed raja</t>
  </si>
  <si>
    <t>Firsrt Floor,Roshan Apt.Opp-Railway-Station,Neral Postal/Zip Code: 410101 Taluka: Karjat</t>
  </si>
  <si>
    <t>Shivaji Nagar,Near District Court Postal/Zip Code: 431513 Taluka: Hingoli</t>
  </si>
  <si>
    <t>Adarsh Coloney,Near Pandey Gundewar Coasching classes,Near Adarsh College Postal/Zip Code: 431513 Taluka: Hingoli</t>
  </si>
  <si>
    <t>Near Police Colney Postal/Zip Code: 431513 Taluka: Hingoli</t>
  </si>
  <si>
    <t>Panchayat Samiti Samor Manora Postal/Zip Code: 444404 Taluka: Manora</t>
  </si>
  <si>
    <t>At / Post Kasa ( Behind Government Hospital ), Tal Dahanu Postal/Zip Code: 401607 Taluka: Dahanu</t>
  </si>
  <si>
    <t>Near new S.T.Stand, Sahakarnagar, Akluj Postal/Zip Code: 413101 Taluka: Malshiras</t>
  </si>
  <si>
    <t>Basement No. 2, Yash Plaza, Nr. Jidd Hospital, Dindayal Road, Dombivli (W) Postal/Zip Code: 421202 Taluka: Kalyan</t>
  </si>
  <si>
    <t>FIRST FLOOR, SHRI SHIVAJI MAHARAJ SHOPPING CENTER, ALIPUR ROAD, BARSHI Postal/Zip Code: 413411 Taluka: Barshi</t>
  </si>
  <si>
    <t>EDUCATION, INFRONT OF TAHSIL OFFICE Postal/Zip Code: 431801 Taluka: Bhokar</t>
  </si>
  <si>
    <t>At / Po- Deola. Postal/Zip Code: 423102 Taluka: Deola</t>
  </si>
  <si>
    <t>N-9/E-21/4, New Cidco, Ranapratap Chowk. Postal/Zip Code: 422009 Taluka: Nashik</t>
  </si>
  <si>
    <t>Ad Post Lahavit Tal Dist Nasthiu Postal/Zip Code: 422502 Taluka: Nashik</t>
  </si>
  <si>
    <t>Tarwala Nagar, Dindori Road Postal/Zip Code: 422004 Taluka: Nashik</t>
  </si>
  <si>
    <t>Near Awale Shop, Pat Pinguli Road Postal/Zip Code: 416522 Taluka: Kudal</t>
  </si>
  <si>
    <t>At. Near Gautam Public School Kolpewadi Kopargaon Postal/Zip Code: 423602 Taluka: Kopargaon</t>
  </si>
  <si>
    <t>Zidda Building, M.Phule Road, Opposite Rural Hospital, Satana Postal/Zip Code: 423301 Taluka: Baglan</t>
  </si>
  <si>
    <t>1689, MHB Colony, Near Ambedkar Market. Postal/Zip Code: 422007 Taluka: Nashik</t>
  </si>
  <si>
    <t>Shop No. 1, Saket Tower, Mhasoba Chowk, Kolsewadi, Kalyan (e) Postal/Zip Code: 421306 Taluka: Kalyan</t>
  </si>
  <si>
    <t>Sneh Varsha Apts,S&gt;No.209,orient park,sadestra Nali Rd,HAdapsar Postal/Zip Code: 411028 Taluka: Haveli</t>
  </si>
  <si>
    <t>A/p Kasbe Tadwale Postal/Zip Code: 413407 Taluka: Osmanabad</t>
  </si>
  <si>
    <t>Haridatta Computers, Near S.T.Stand, A/P : Ganore Postal/Zip Code: 422609 Taluka: Akole</t>
  </si>
  <si>
    <t>1st floor,Pandurang Complex,Near Kamal Motors,Lal Taki Road ,Ahmednagar Postal/Zip Code: 414001 Taluka: Ahmednagar</t>
  </si>
  <si>
    <t>Vijay Kirda Mandal Sai Hill, T.P RD,Bhandup (W). Postal/Zip Code: 400078 Taluka: Kurla</t>
  </si>
  <si>
    <t>Shreeji Computers, Mahavir Ward, Near Ganpati Temple, Arvi Postal/Zip Code: 442201 Taluka: Arvee</t>
  </si>
  <si>
    <t>Vision Computer Education, Near Urdu School, Gandhi Chowk, Pulgaon Postal/Zip Code: 442302 Taluka: Deoli</t>
  </si>
  <si>
    <t>Sai Ambrosia Computer Education, Sontakke Complex, Cement Road, Ashti Postal/Zip Code: 442202 Taluka: Ashtee</t>
  </si>
  <si>
    <t>Master Colony, Bus Stop Road, Hinganghat Postal/Zip Code: 442301 Taluka: Hinganghat</t>
  </si>
  <si>
    <t>212,Nandanvan, Tiranga Square Postal/Zip Code: 440009 Taluka: Nagpur</t>
  </si>
  <si>
    <t>Main Rd Khante Complex, Ward No. 3, Butibori., Taluka + district- Nagpur, (MH) 441108 Postal/Zip Code: 441108 Taluka: Nagpur Rural</t>
  </si>
  <si>
    <t>Subhash Ward, At Post-Bela Postal/Zip Code: 441906 Taluka: Bhandara</t>
  </si>
  <si>
    <t>Sharamdeep Computer Training Center, Ring Road Square, Manakapur, Koradi Road Postal/Zip Code: 440030 Taluka: Nagpur</t>
  </si>
  <si>
    <t>Near Old PSS College, State Bank Road, Near MSEB Office, Pavni Postal/Zip Code: 441910 Taluka: Pavni</t>
  </si>
  <si>
    <t>2nd floor Kalambe Complex, Manik Baug ,In front of Indian Oil Petrol pump Pune 411051 Postal/Zip Code: 411051 Taluka: Haveli</t>
  </si>
  <si>
    <t>Nagar Parishad Shopping Complex, Vakil Colony, Main Road, Gangakhed, Dist. parbhani Postal/Zip Code: 431514 Taluka: Gangakhed</t>
  </si>
  <si>
    <t>1, Vidya Nagar Opp, DIG office Workshop Road Nanded Postal/Zip Code: 431605 Taluka: Nanded</t>
  </si>
  <si>
    <t>Near Primary School, Main Chowck, Chikhali, Tal.-Haveli, Dist-Pune Postal/Zip Code: 412114 Taluka: Haveli</t>
  </si>
  <si>
    <t>12 "Girimahoor" Shardashram Colony, Paithan Gate Nirala Bazar Road, Aurangabad. Postal/Zip Code: 431001 Taluka: Aurangabad</t>
  </si>
  <si>
    <t>Shop No -5 , Shiv Shakti heights ,Janta Society marg,Raigad Chawk, Ghatkopar (E) Postal/Zip Code: 400077 Taluka: Kurla</t>
  </si>
  <si>
    <t>N.G. Acharya Marg, Near Natural Dairy, Road No.3, Op. Arun Niwas, Subhash Nagar, Chembur. Postal/Zip Code: 400071 Taluka: Kurla</t>
  </si>
  <si>
    <t>Keerti Computer Inst,Shop No. 9. Sukhsagar Aprt., Akurli Cross Road No.1,Near Railway Fatak, Mangalam Dairy Lane,Kandivli (E) Postal/Zip Code: 400101 Taluka: Kurla</t>
  </si>
  <si>
    <t>Sarpanch Galli, A/P Wakare Postal/Zip Code: 416204 Taluka: Karveer</t>
  </si>
  <si>
    <t>"Pragati Nivas" H.No.523/1 E, Highschool Road, Halkarni Postal/Zip Code: 416506 Taluka: Gadhinglaj</t>
  </si>
  <si>
    <t>Akbar Complex., Khaniwali, Post-Khaniwali, Tal- Wada Postal/Zip Code: 421303 Taluka: Vada</t>
  </si>
  <si>
    <t>High School Road, Near ST Stand, Koynanagar, Tal:Patan, Dist:Satara Postal/Zip Code: 415207 Taluka: Patan</t>
  </si>
  <si>
    <t>Narendra Complex, 1st Floor, Near DCC Bank, Karad -Dhebewadi Road, Talmavale. Tal: Patan, Dist: Satara Postal/Zip Code: 415103 Taluka: Patan</t>
  </si>
  <si>
    <t>ABOVE S.K.JEWELLERS,NAVI PETH KARJAT Postal/Zip Code: 414402 Taluka: Karjat</t>
  </si>
  <si>
    <t>Amol Computers, At.Post.Bodhegaon Taluka Shevgaon Postal/Zip Code: 414503 Taluka: Shevgaon</t>
  </si>
  <si>
    <t>Ganesh Nagar ,Hanuman mandir road Postal/Zip Code: 444705 Taluka: Anjangaon</t>
  </si>
  <si>
    <t>Sangekar Nagar Postal/Zip Code: 444704 Taluka: Chandur bazar</t>
  </si>
  <si>
    <t>MUKUND APT, NANDURA ROAD, IN FRONT OF ZP HIGH SCHOOL, KHAMGAON TAH KHAMGAON DIST BULDHANA Postal/Zip Code: 444303 Taluka: Khamgaon</t>
  </si>
  <si>
    <t>S.No-903,Plot No.11,Chetna Nagar,Rane Nagar Postal/Zip Code: 422009 Taluka: Nashik</t>
  </si>
  <si>
    <t>A/P,Saikheda,College Road Postal/Zip Code: 422210 Taluka: Niphad</t>
  </si>
  <si>
    <t>Shop No. 7 Suresh Bapu Plaza, Khutrad Nagar B/H. Iti, Nashik-8 Postal/Zip Code: 422008 Taluka: Nashik</t>
  </si>
  <si>
    <t>At Post Ter Postal/Zip Code: 413509 Taluka: Osmanabad</t>
  </si>
  <si>
    <t>kaka Dorle Building Bazarpeth, Near Petrol Pump Postal/Zip Code: 416701 Taluka: Lanja</t>
  </si>
  <si>
    <t>A/P-Koregaon Near Daulat Chitra Mandir, Main Road, Tal:Koregaon, Dist: Satara Postal/Zip Code: 415501 Taluka: Koregaon</t>
  </si>
  <si>
    <t>Shubhash Nagar, Opp. DP Bhosale College, Koregaon Rahimatpur Road. Tal: Koregaon, Dist: Satara. Postal/Zip Code: 415501 Taluka: Koregaon</t>
  </si>
  <si>
    <t>Near S.T. Stand, Umbraj Tal: Karad, Dist: Satara Postal/Zip Code: 415109 Taluka: Karad</t>
  </si>
  <si>
    <t>Shri Ramchandra Complex, 1st Floor, Next to NH4 Road, Near Boys Primary School Tal: Karad, Dist: Satara. Postal/Zip Code: 415109 Taluka: Karad</t>
  </si>
  <si>
    <t>Nr. Bachal Kirana Storel, Opp. ST Stand &amp; Pune- Bangalore NH-4 Tal: Satara, Dist: Satara. Postal/Zip Code: 415519 Taluka: Satara</t>
  </si>
  <si>
    <t>Near Zp School, Police Station Road, Opp. Sr. College. Tal: Man, Dist: Satara Postal/Zip Code: 415509 Taluka: Man</t>
  </si>
  <si>
    <t>Vikas Seva Sahkari Society No-2, Sangar Gali, Near Ganesh Mandir. Tal: Man, Dist: Satara Postal/Zip Code: 415509 Taluka: Man</t>
  </si>
  <si>
    <t>Shop No 1 Phonda Peth Via Phondaghat Postal/Zip Code: 416601 Taluka: Kankavli</t>
  </si>
  <si>
    <t>Plot No 7D, Sector-4, Sanpada, Navi Mumbai - 400705 Postal/Zip Code: 400705 Taluka: Thane</t>
  </si>
  <si>
    <t>Yashodhan Compex, Near S. T. Stand Surgana, A/P Tal- Surgana Dist- Nashik Postal/Zip Code: 422211 Taluka: Surgana</t>
  </si>
  <si>
    <t>Near paras ice factory ward no 10 batchlor wardha Postal/Zip Code: 442001 Taluka: Wardha</t>
  </si>
  <si>
    <t>Gadchandur Road, Rajura Postal/Zip Code: 442905 Taluka: Rajura</t>
  </si>
  <si>
    <t>23, New Kailash Nagar, Manewada Road,Nagpur. Postal/Zip Code: 440027 Taluka: Nagpur</t>
  </si>
  <si>
    <t>51, Kukaday-lay-out P.O.Parvati Nagar Nagpur. Postal/Zip Code: 440027 Taluka: Nagpur</t>
  </si>
  <si>
    <t>A/244 Ramakant Karnik Nagar Postal/Zip Code: 413006 Taluka: Solapur(n)</t>
  </si>
  <si>
    <t>at Uttamnagar, NDA Road, H.No. 12, Achanak Chowk, Dhawade Building, 2nd Floor Postal/Zip Code: 411023 Taluka: Haveli</t>
  </si>
  <si>
    <t>Raut Wasti, Near Barshi Naka, Postal/Zip Code: 413208 Taluka: Madha</t>
  </si>
  <si>
    <t>Atharva Complex,Navanathnagar, Astagaon Road, Postal/Zip Code: 423107 Taluka: Rahata</t>
  </si>
  <si>
    <t>Shriram Shopping Center, Near ST Stand Front Anuradha Photo Flash Postal/Zip Code: 410503 Taluka: Ambegaon</t>
  </si>
  <si>
    <t>1 Dhoot Center, Nagar Collage Road, Postal/Zip Code: 414001 Taluka: Ahmednagar</t>
  </si>
  <si>
    <t>Manik Computers Ward No 6, K.V.Road,Near Anupama Photo Studio Shrirampur Postal/Zip Code: 413709 Taluka: Srirampur</t>
  </si>
  <si>
    <t>1st Floor, Kapardikeshwar Market Postal/Zip Code: 412409 Taluka: Junnar</t>
  </si>
  <si>
    <t>Vasant Market,2nd Floor College Road Akole Postal/Zip Code: 422601 Taluka: Akole</t>
  </si>
  <si>
    <t>W/4, Kamal Kunj, Warli Ali, Shankarpura Peth, Postal/Zip Code: 410502 Taluka: Junnar</t>
  </si>
  <si>
    <t>Opp Vitthal Mandir, Above Nagraj Jwelers, Kasture Chowk, Guruwar Peth, Pune 42 Postal/Zip Code: 411042 Taluka: Haveli</t>
  </si>
  <si>
    <t>Shree Sairaj Advance Computer Education Sasti Township, sasti Road. Postal/Zip Code: 442706 Taluka: Rajura</t>
  </si>
  <si>
    <t>NEAR HOTEL UDAY PALACE, KAUSHALYA COMPLEX, NEWASA ROAD Postal/Zip Code: 413709 Taluka: Srirampur</t>
  </si>
  <si>
    <t>behind sarda petrol pump akole Postal/Zip Code: 422601 Taluka: Akole</t>
  </si>
  <si>
    <t>Above Sangam Shoes opp S.T Stand K.G.Road Postal/Zip Code: 422601 Taluka: Akole</t>
  </si>
  <si>
    <t>At.Post Walki Postal/Zip Code: 414006 Taluka: Ahmednagar</t>
  </si>
  <si>
    <t>Jare Building, in front of Dr, Lale Hospital, Atpo- Dighanchi, Tal- Atpadi Postal/Zip Code: 415315 Taluka: Aatpadi</t>
  </si>
  <si>
    <t>A/p: Gramsachivalay,Madhavnagar.Tal : Miraj Postal/Zip Code: 416406 Taluka: Miraj</t>
  </si>
  <si>
    <t>Somwar Peth, Kasar Galli Postal/Zip Code: 416312 Taluka: Tasgaon</t>
  </si>
  <si>
    <t>418, D, 12 Shivaji Housing Society, Bhor Infront of Bhor Police-Station Postal/Zip Code: 412206 Taluka: Bhor</t>
  </si>
  <si>
    <t>Mandar Complex, First Floor, Opp. S T Stand, Saswad Postal/Zip Code: 412301 Taluka: Purandar</t>
  </si>
  <si>
    <t>Shahir Annabhau Sathe Vidyalaya, Ground Floor, Opp. Sadashiv PEth, Kumthekar Road Postal/Zip Code: 411030 Taluka: Haveli</t>
  </si>
  <si>
    <t>5/179/6 Shrinath Apartment, Dhanya Galli, Near Federal Bank, Postal/Zip Code: 416115 Taluka: Hatkanangale</t>
  </si>
  <si>
    <t>Ag-Junction Laserne Postal/Zip Code: 413117 Taluka: Indapur</t>
  </si>
  <si>
    <t>Marketr Yard,At Post Talegaon Dhamdhere Postal/Zip Code: 412208 Taluka: Shirur</t>
  </si>
  <si>
    <t>6/A Ramna Maroti Nagar, I/F Ramna Maroti, Ramna Maroti Road Postal/Zip Code: 440009 Taluka: Nagpur</t>
  </si>
  <si>
    <t>RAILWAY STATION ROAD, NEAR OLD MORNING STAR CONVENT, SAVNER Postal/Zip Code: 441107 Taluka: Savner</t>
  </si>
  <si>
    <t>19/3,Priyadarshani Colony,Near R.T.O Office,Civil Lines,Nagpur. Postal/Zip Code: 440001 Taluka: Nagpur</t>
  </si>
  <si>
    <t>Raka Bhawan,2Nd Floor, Above Bata, Near City Kotwali (Mahal) Nagpur. Postal/Zip Code: 440032 Taluka: Nagpur</t>
  </si>
  <si>
    <t>Usha Kiran Bldg, Shop No.1, A/P Saphale, Palghar Postal/Zip Code: 401102 Taluka: Palghar</t>
  </si>
  <si>
    <t>Brindavan Society Bldg.No. 42B/4 Thane(w) 400 601 Postal/Zip Code: 400601 Taluka: Thane</t>
  </si>
  <si>
    <t>C-DAC PACE Computer Education Bagul Tower,Main Road Kopargaon Postal/Zip Code: 423601 Taluka: Kopargaon</t>
  </si>
  <si>
    <t>Inspire Computer Centre,Socity No 1,Second Flower Pohegaon Postal/Zip Code: 423605 Taluka: Kopargaon</t>
  </si>
  <si>
    <t>C/O Aptech Computer Education, Mahavir Bhavan Road Near Rly. Station Postal/Zip Code: 444709 Taluka: Dhamangaon</t>
  </si>
  <si>
    <t>7, Shivaji Nagar, Faizpur Postal/Zip Code: 425503 Taluka: Yaval</t>
  </si>
  <si>
    <t>Opp.Police Station Main road, Postal/Zip Code: 431708 Taluka: Loha</t>
  </si>
  <si>
    <t>NCRDS New English School, Bhosari, Sector No.1, off Pune- Nashik Road, Indrayaninagar, Bhosari Postal/Zip Code: 411039 Taluka: Haveli</t>
  </si>
  <si>
    <t>NEAR M.G. SCHOOL, WADA ROAD, KHED Postal/Zip Code: 410505 Taluka: Khed</t>
  </si>
  <si>
    <t>Opp.Bldg. No. 141, Shop No.17,Kannamwar Nagar-2, Vikhroli(E). Postal/Zip Code: 400083 Taluka: Kurla</t>
  </si>
  <si>
    <t>Shop No.2,Om Adinath Soc.,Ramchandra NGR -2, Opp.Nitin Co.,ESIS Rd.,Thane(W) Postal/Zip Code: 400604 Taluka: Thane</t>
  </si>
  <si>
    <t>Jay Bhawani Chowk Near police station Telhara Postal/Zip Code: 444108 Taluka: Telhara</t>
  </si>
  <si>
    <t>GAJANAN COLONY, KANDLI TQ. ACHALPUR Postal/Zip Code: 444805 Taluka: Achalpur</t>
  </si>
  <si>
    <t>4, Ambarpan Colony, Congress Nagar Postal/Zip Code: 444606 Taluka: Amravati</t>
  </si>
  <si>
    <t>Kalaskar Complex, Shrii Ram Chowk, Main Road Postal/Zip Code: 444801 Taluka: Amravati</t>
  </si>
  <si>
    <t>At.Post Chapoli Postal/Zip Code: 413513 Taluka: Chakur</t>
  </si>
  <si>
    <t>Lokhande complex, Radha nagar, Lane 2, in front of Anant super bazar Postal/Zip Code: 444603 Taluka: Amravati</t>
  </si>
  <si>
    <t>Shop No. 156 A, Near: NSE Building, At : Worli Sea Face Post Office. Postal/Zip Code: 400030 Taluka: Mumbai</t>
  </si>
  <si>
    <t>A/P Nalegaon Postal/Zip Code: 413524 Taluka: Chakur</t>
  </si>
  <si>
    <t>Ganesh Bhavan Gose Nagar Tumsar Postal/Zip Code: 441912 Taluka: Tumsar</t>
  </si>
  <si>
    <t>SHOP NO. 6, A-WING, ARUNODAY BLDG, NEAR GANESH TEMPLE UMERKHADI, SANDHURST ROAD (W) Postal/Zip Code: 400009 Taluka: Mumbai</t>
  </si>
  <si>
    <t>10,GROUND FLOOR,ANAND BHAVAN,MANGALWADI, GIRGAUM.J.S.S ROAD Postal/Zip Code: 400004 Taluka: Mumbai</t>
  </si>
  <si>
    <t>BLD NO.18,SHOP NO.949,SARDAR NAGAR N0-1,ANTOPHILL MUMBAI G.T.B.NAGAR (EAST). Postal/Zip Code: 400022 Taluka: Mumbai</t>
  </si>
  <si>
    <t>SAI COMPUTER ISTITUTE 18/807 MAHIM FISHER MEN COLONY, S.L.RAHEJA RD. Postal/Zip Code: 400016 Taluka: Mumbai</t>
  </si>
  <si>
    <t>Vijay-Sagar building,Near Police Station,Aund Tal-Khatav Postal/Zip Code: 415510 Taluka: Khatav</t>
  </si>
  <si>
    <t>8 B.M. PATRA CHAWL, NEAR ASHIRWAD BLDG, T.J. ROAD. Postal/Zip Code: 400015 Taluka: Mumbai</t>
  </si>
  <si>
    <t>Gaj-Laxmi Complex, First Floor, Near Boys Primary School, Near ST Stand. Tal: Katad, Dist: Satara Postal/Zip Code: 415109 Taluka: Karad</t>
  </si>
  <si>
    <t>"Jivhala" Bldg, Near Lokhande Hospital, Khanapur Road, Vita. Postal/Zip Code: 415311 Taluka: Khanapur</t>
  </si>
  <si>
    <t>SHOP NO A - 5 - 6 , GROUND FLOOR, 365 - A SHIVSHAKTI PARK , N.M. JOSHI MARG. Postal/Zip Code: 400011 Taluka: Mumbai</t>
  </si>
  <si>
    <t>DOT COMPUTERS EDUCATION "ABHYASIKA" NARE PARK MAIDAN NEAR PAREL BATA SHOWROOM, PAREL Postal/Zip Code: 400012 Taluka: Mumbai</t>
  </si>
  <si>
    <t>Prabhat Mahila Sabha, TPS-III,8th Rd., Nr.Venus photo studio, Santacruz(E) Postal/Zip Code: 400055 Taluka: Andheri</t>
  </si>
  <si>
    <t>Shop No. 4, Solanki Park, Umednagar, Luiswadi, Thane Postal/Zip Code: 400604 Taluka: Thane</t>
  </si>
  <si>
    <t>Sainath Co-operative Hsg.Soc.,Chawl No.13,Shivneri Compound,Room No.03,Samarth Nagar,Bhandup(W),Mumbai-400078 Postal/Zip Code: 400078 Taluka: Kurla</t>
  </si>
  <si>
    <t>Shop No.7, Anubhav Soc, Zaver Road Near Railway Station, Mulund (w). Postal/Zip Code: 400080 Taluka: Kurla</t>
  </si>
  <si>
    <t>shop no.84,Hibubula Chawl,Opp. Sitaladevi Temple,Kanti Chok,Gandhi Nagar,Jogeshwari(east) Postal/Zip Code: 400060 Taluka: Andheri</t>
  </si>
  <si>
    <t>Brahman Sabha Colony Postal/Zip Code: 444805 Taluka: Achalpur</t>
  </si>
  <si>
    <t>Kelkar Wadi, Near Society, Murtizapur Dist. Akola Postal/Zip Code: 444107 Taluka: Murtijapur</t>
  </si>
  <si>
    <t>479-e,Gangapur Road,Ashok Stambh,Nashik Postal/Zip Code: 422002 Taluka: Nashik</t>
  </si>
  <si>
    <t>Jeevan Jyot Hospital,office no 03,Shradhananad Road, Near Bharat Cafe,opp Railway stn,Ghatkopar (W) Mumbai Postal/Zip Code: 400086 Taluka: Kurla</t>
  </si>
  <si>
    <t>Ambika Siddhi,plot no 58,shop no B/4,opp Mini Plot,Jagdusha Nagar,Behind 416 Bus Stop,Ghatkopar (W) Mumbai-86 Postal/Zip Code: 400086 Taluka: Kurla</t>
  </si>
  <si>
    <t>SHOP NO.11,BLDG.NO.11/A, Om sai ram CHS.,Saiwadi,Sahar Rd,Andheri(E) Postal/Zip Code: 400069 Taluka: Andheri</t>
  </si>
  <si>
    <t>Shop No. A 3, Yawal Taluka Shetkari Sahakari Kharedi Vikri Sangh Maryadit, Yawal Postal/Zip Code: 425301 Taluka: Yaval</t>
  </si>
  <si>
    <t>25, Proffesor Colony, Behind Biyani Chambers, Postal/Zip Code: 425201 Taluka: Bhusawal</t>
  </si>
  <si>
    <t>33/114, Gandhi nagar, Jilha Peth, Postal/Zip Code: 425001 Taluka: Jalgaon</t>
  </si>
  <si>
    <t>Shop No-97,98 M.J.Market,station road raver Postal/Zip Code: 425508 Taluka: Raver</t>
  </si>
  <si>
    <t>"Sawali",Viddulata Colony, Near Deore Hospital,Kargaon Road, Postal/Zip Code: 424101 Taluka: Chalisgaon</t>
  </si>
  <si>
    <t>Shop No-1&amp;2, J.B.Market, Vitthal Mandir Road,Pachora Postal/Zip Code: 424201 Taluka: Pachora</t>
  </si>
  <si>
    <t>Bade Sir Shopping Complex, First Floor Shop No-292,293 Opp. Bus Stand, Postal/Zip Code: 424105 Taluka: Bhadgaon</t>
  </si>
  <si>
    <t>Captain Corner, Laxmi Nagar Road Postal/Zip Code: 424101 Taluka: Chalisgaon</t>
  </si>
  <si>
    <t>Anand Nagar,Near Vibha Typing S.T.Stand Road,Jamner Postal/Zip Code: 424206 Taluka: Jamner</t>
  </si>
  <si>
    <t>N-9, H 4/1, SHRI KRUSHNA NAGAR, HUDCO Postal/Zip Code: 431003 Taluka: Aurangabad</t>
  </si>
  <si>
    <t>1st Floor, Mansing Market, Near Railway Station, Postal/Zip Code: 425001 Taluka: Jalgaon</t>
  </si>
  <si>
    <t>NEAR NAVJIVAN SCHOOL , S. T DEPOT ROAD, Postal/Zip Code: 423701 Taluka: Vaijapur</t>
  </si>
  <si>
    <t>237, Parivar Society, Near Apna Bazar, Next to Thane Janata Bank, J.N. Road, Mulund(W) Postal/Zip Code: 400080 Taluka: Kurla</t>
  </si>
  <si>
    <t>AT KNOWLEDGE CENTRE JAGDAMBA NAGAR , SHEGAON DIST BULDHANA Postal/Zip Code: 444203 Taluka: Shegaon</t>
  </si>
  <si>
    <t>Near Deogiri High School, Postal/Zip Code: 431002 Taluka: Aurangabad</t>
  </si>
  <si>
    <t>Shop No.12, Grampanchayat Vyapari Sankul, Main Rd., Murbad Postal/Zip Code: 421401 Taluka: Murbad</t>
  </si>
  <si>
    <t>DHAD ROAD MAHORA, TAL JAFRABAD, DIST JALNA Postal/Zip Code: 431206 Taluka: Jaffarabad</t>
  </si>
  <si>
    <t>Gurukripa Niwas , Mohannagat, Chichwad,Pune,Nr. hanuman Temple. Postal/Zip Code: 411019 Taluka: Haveli</t>
  </si>
  <si>
    <t>OPPOSITE OLD Z.P. SCHOOL. Postal/Zip Code: 431114 Taluka: Bhokardan</t>
  </si>
  <si>
    <t>POST OFFICE ROAD AT SHELGAON Postal/Zip Code: 431202 Taluka: Badnapur</t>
  </si>
  <si>
    <t>NEXT IT, Plot No. 21, Servey No. 37/1, Near Ram Mandir, Near Father Michel Society, SantoshNagar, TingreNagar, Pune - 411015 Postal/Zip Code: 411015 Taluka: Haveli</t>
  </si>
  <si>
    <t>main road ambad Postal/Zip Code: 431204 Taluka: Ambad</t>
  </si>
  <si>
    <t>Swanpurti, Anagarpur Road, Near ST Stand. Tal: Satara, Dist: Satara Postal/Zip Code: 415518 Taluka: Satara</t>
  </si>
  <si>
    <t>Rajiv Ratan Chowk, Oppsite To Railway Crossing, Ghugus Postal/Zip Code: 442505 Taluka: Chandrapur</t>
  </si>
  <si>
    <t>ABOVE BULDHANA URBAN BANK, Deulgaon Mahi Tah Deulgaon Raja Dist Buldhana Postal/Zip Code: 443206 Taluka: Deulgaonraja</t>
  </si>
  <si>
    <t>2, Status Complex, Main Road, Deolali Camp Postal/Zip Code: 422401 Taluka: Nashik</t>
  </si>
  <si>
    <t>Sudhanshu Chambers II Floor, Near Railway Station, Shivaji Road, Kalyan (w) Postal/Zip Code: 421301 Taluka: Kalyan</t>
  </si>
  <si>
    <t>State bank of india bldg., Andheri-kurla road, Andheri(E) Postal/Zip Code: 400069 Taluka: Andheri</t>
  </si>
  <si>
    <t>?Anand Complex?, Main Road, Vidyanagar, Kavathe Mahankal. 416 405, Sangli, Maharashtra, India Postal/Zip Code: 416405 Taluka: Kavathe Mahakal</t>
  </si>
  <si>
    <t>sindhaphana colony,near sikshak path sounstha,shahu nagar,majalgaon Postal/Zip Code: 431131 Taluka: Majalgaon</t>
  </si>
  <si>
    <t>N-43/JD-1/43-4 Near Pavan Nagar Bus Stop, Nr. Shiv Mandir, Cidco-4th Scheme,Pawan Nagar Postal/Zip Code: 422008 Taluka: Nashik</t>
  </si>
  <si>
    <t>A/P Bhilwadi Tal-Palus Postal/Zip Code: 416303 Taluka: Palus</t>
  </si>
  <si>
    <t>Above Kishor electrials, old jalna road, Deulgaon raja Tah Deulgaon Raja Dist Buldhana Postal/Zip Code: 443204 Taluka: Deulgaonraja</t>
  </si>
  <si>
    <t>Sanmegh Cmputers-Computer World, Near Yogeshwari Primary School,Ambajogai youtube downloader, limewire Postal/Zip Code: 431517 Taluka: Ambejogai</t>
  </si>
  <si>
    <t>SAIRAJ COMPUTERS, UMANG CHOWK, NANDURA TAH NANDURA DIST BULDHANA Postal/Zip Code: 443404 Taluka: Nandura</t>
  </si>
  <si>
    <t>Disha Computers, Behind Rest House,Murshadpur Ashti Postal/Zip Code: 414203 Taluka: Ashti</t>
  </si>
  <si>
    <t>STAR COMPUTERS, CHIKHLI ROAD, AMDAPUR Dist. Buldhana. Postal/Zip Code: 444301 Taluka: Chikhali</t>
  </si>
  <si>
    <t>Near Swami Samarth Mandir, Siddhivinayak Complex, Sahyog Nagar, Beed Postal/Zip Code: 431122 Taluka: Beed</t>
  </si>
  <si>
    <t>Vidyabhavan, Near Post Office,Old Adgaon Naka, Pancavati. Postal/Zip Code: 422003 Taluka: Nashik</t>
  </si>
  <si>
    <t>A/P : Vinchuri Dalavi, Near Maruti Temple Postal/Zip Code: 422502 Taluka: Sinnar</t>
  </si>
  <si>
    <t>KEDGAON ST OPP.TO PDCC BANK Postal/Zip Code: 412203 Taluka: Daund</t>
  </si>
  <si>
    <t>Adagale Dairy, Appasaheb Nagar, Stn Area, Dondaicha. Postal/Zip Code: 425408 Taluka: Sindkhed</t>
  </si>
  <si>
    <t>3,KRUSHI UTPANNA BAZAR SAMITI COMPLEX, BHADGAON ROAD, Postal/Zip Code: 424201 Taluka: Pachora</t>
  </si>
  <si>
    <t>SAHYADRI PLAZA, COLLEGE ROAD, KARMALA Postal/Zip Code: 413203 Taluka: Karmala</t>
  </si>
  <si>
    <t>A/P Watad-Khandala Postal/Zip Code: 415613 Taluka: Ratnagiri</t>
  </si>
  <si>
    <t>Moreshwar Smruti, Khalgaon Road, A/P Jakadevi Postal/Zip Code: 415620 Taluka: Ratnagiri</t>
  </si>
  <si>
    <t>532 &amp; 533, 'D' Ward, Papachi Tikati Kolhapur Postal/Zip Code: 416002 Taluka: Karveer</t>
  </si>
  <si>
    <t>Redij Building 2nd floor bazarpeth Postal/Zip Code: 416702 Taluka: Rajapur</t>
  </si>
  <si>
    <t>2272, 'B' Kolekar Tikati, Mangalwar Peth, Kolhapur Postal/Zip Code: 416012 Taluka: Karveer</t>
  </si>
  <si>
    <t>R.P.D HIGHSCHOOL CAMPUS, NEAR MOTI TALAV, SAWANTWADI Postal/Zip Code: 416510 Taluka: Savantwadi</t>
  </si>
  <si>
    <t>A/P Tisangi Postal/Zip Code: 416206 Taluka: Gagan Bawada</t>
  </si>
  <si>
    <t>House No 820, Bharad Postal/Zip Code: 416606 Taluka: Malvan</t>
  </si>
  <si>
    <t>Shop No 5, Jayprakash Nagar No-2, Near Swati Studio, Near Gautam Silk Mill Compound,Goregaon (E) Postal/Zip Code: 400063 Taluka: Boriwali</t>
  </si>
  <si>
    <t>Near Mouni Vidyapeth , Pathagaon Road, Gargoti Postal/Zip Code: 416209 Taluka: Bhudargad</t>
  </si>
  <si>
    <t>Main Road, Subhash Chowk, Gajare Building, Ajara Postal/Zip Code: 416505 Taluka: Ajra</t>
  </si>
  <si>
    <t>Basement floor , Opp LG Showroom , Pachawati apartment, Rajarampuri 3rd lane Kolhapur Postal/Zip Code: 416008 Taluka: Karveer</t>
  </si>
  <si>
    <t>"Drakshayani" Building, Sambhaji Chowk , Shirol Postal/Zip Code: 416103 Taluka: Shirol</t>
  </si>
  <si>
    <t>10th Lane Bhaji Mandai, "Vijaya Ratan" Height's A/p Jaysingpur Postal/Zip Code: 416101 Taluka: Shirol</t>
  </si>
  <si>
    <t>Main Road, A/p.Satave Postal/Zip Code: 416114 Taluka: Panhala</t>
  </si>
  <si>
    <t>Main Road Solankur, A/P Solnkar Postal/Zip Code: 416212 Taluka: Radhanagari</t>
  </si>
  <si>
    <t>Ramgadiya market dena bank, behind Gurudwara chaurasta nanded. Postal/Zip Code: 431603 Taluka: Nanded</t>
  </si>
  <si>
    <t>Opp. Shivaji Law College, Basmat Road, Parbhani Postal/Zip Code: 431401 Taluka: Parbhani</t>
  </si>
  <si>
    <t>8, Balaji Nagar West, Manewada Road, Near Shiv Mandir, Manewada Road, Postal/Zip Code: 440027 Taluka: Nagpur</t>
  </si>
  <si>
    <t>G/47, S G Barve Marg,Behind BEST Bus Stop, Nehru Nagar , Kurla (East) Postal/Zip Code: 400024 Taluka: Kurla</t>
  </si>
  <si>
    <t>In front of Gurukrupa Super Bazar, Pratap Nagar Square Nagpur Postal/Zip Code: 440022 Taluka: Nagpur</t>
  </si>
  <si>
    <t>146 Dattatraya Nagar. Postal/Zip Code: 440024 Taluka: Nagpur</t>
  </si>
  <si>
    <t>U-31, Narendra Nagar, Ring Road. Postal/Zip Code: 440015 Taluka: Nagpur</t>
  </si>
  <si>
    <t>14. Gruhalaxmi Layout, Behind Velernary College, Nr Mahavsewa Nagar, Seminary Hills. Postal/Zip Code: 440006 Taluka: Nagpur</t>
  </si>
  <si>
    <t>52, Shrikrushna Nagar, Godhani Road, Zingabai Takali, Nagpur. Postal/Zip Code: 440030 Taluka: Nagpur</t>
  </si>
  <si>
    <t>B-6,Heera Complex, Ambika Nagar,Opp. Majas Medical, Jogeshwari(E) Postal/Zip Code: 400060 Taluka: Andheri</t>
  </si>
  <si>
    <t>Plot No 1, Road No.6, Bajarang Nagar, Manewada Road. Postal/Zip Code: 440027 Taluka: Nagpur</t>
  </si>
  <si>
    <t>387 last bus stop, d15, vikhroli(w),mumbai-79 Postal/Zip Code: 400079 Taluka: Kurla</t>
  </si>
  <si>
    <t>Opposite Hotel Skylark, 18,Central Avenue, Nagpur. Postal/Zip Code: 440018 Taluka: Nagpur</t>
  </si>
  <si>
    <t>Jivan Appt.2, Vaishali Nagar, Infront of Dayanand Ground, Nagpur. Postal/Zip Code: 440017 Taluka: Nagpur</t>
  </si>
  <si>
    <t>Ward No. 6 Near P.H.C. Quarters,Karanja(Ghadge) Postal/Zip Code: 442203 Taluka: Karanja</t>
  </si>
  <si>
    <t>30, Shivshakti Nagar, Dattawadi Postal/Zip Code: 440023 Taluka: Nagpur</t>
  </si>
  <si>
    <t>20, Mansarowar Coloney Near Sadikabad, Mankapur. Postal/Zip Code: 440030 Taluka: Nagpur</t>
  </si>
  <si>
    <t>Shahu Chowk Postal/Zip Code: 413512 Taluka: Latur</t>
  </si>
  <si>
    <t>Block No. M13 Kailashpati Apts. Near Gamdur Restarent Teka Kamptee Rd. Nagpur-17 Postal/Zip Code: 440017 Taluka: Nagpur</t>
  </si>
  <si>
    <t>Sonal Nivas Opp Petrol Pump Degloor Road Postal/Zip Code: 413517 Taluka: Udgeer</t>
  </si>
  <si>
    <t>Near Kapgate Petrol Pump, Main Road Sakoli Postal/Zip Code: 441802 Taluka: Sakoli</t>
  </si>
  <si>
    <t>A/P: Belwadi B K, Postal/Zip Code: 413702 Taluka: Shrigonda</t>
  </si>
  <si>
    <t>At.Post.Kashti, Near Petrol Pump Postal/Zip Code: 414701 Taluka: Shrigonda</t>
  </si>
  <si>
    <t>f29-30 narayan patil market no 2 pusad road umarkhed Postal/Zip Code: 445206 Taluka: Umarkhed</t>
  </si>
  <si>
    <t>Excellent Computers Sr.No. 17/2,Near Khabiya Clinic Postal/Zip Code: 411046 Taluka: Haveli</t>
  </si>
  <si>
    <t>SHOP NO.35,DECCAN TOWER,OPP.POOLGATE POST OFFICE,PUNE Postal/Zip Code: 411001 Taluka: Haveli</t>
  </si>
  <si>
    <t>Vishal Junnar Institute of Technology, Ale, Taluka- Junnar, Dist- Pune Postal/Zip Code: 412411 Taluka: Junnar</t>
  </si>
  <si>
    <t>22,Budhwar peth,Anandashram,Bajirao Road,Appabalwant Chauk,Pune Postal/Zip Code: 411002 Taluka: Haveli</t>
  </si>
  <si>
    <t>Mahajan Ali, "Snehprabha Building", Postal/Zip Code: 410502 Taluka: Junnar</t>
  </si>
  <si>
    <t>Shop No. 3, Instant Plaza, Behind Nagarik store, ner Ashok Cinema, Thane (W) Postal/Zip Code: 400601 Taluka: Thane</t>
  </si>
  <si>
    <t>Room No.12, First floor, Bhakti CHS, Dindayal Rd., Near Dwarka Hotel, Opp-Dena Bank, Dombivli (W) Postal/Zip Code: 421202 Taluka: Kalyan</t>
  </si>
  <si>
    <t>First floor, R N-102, `B` Wing, Moreshwar Apartment, Sector-20, Opp Railway Station, Nerul (W) Postal/Zip Code: 400703 Taluka: Thane</t>
  </si>
  <si>
    <t>2015/c ,jan mohd.street, pune camp Postal/Zip Code: 411001 Taluka: Haveli</t>
  </si>
  <si>
    <t>R C Bk No 9/101, A, Opp Jai Shankar Hall, Above (1st flr) ONE MINUTE KEY Shop, Inlaks Hospital Rd,Chembur Colony,CHEMBUR, MUM:-74. Postal/Zip Code: 400074 Taluka: Kurla</t>
  </si>
  <si>
    <t>Jawaharlal Vidhyalaya Road, KEDGAON station Postal/Zip Code: 412203 Taluka: Daund</t>
  </si>
  <si>
    <t>Vikas Theatre Compund, Vitthal Smruti Building, First Floor, Manchar. Postal/Zip Code: 410503 Taluka: Ambegaon</t>
  </si>
  <si>
    <t>S.No40/2,2 Nd Floor Minotra Bidg. Chandannagar Postal/Zip Code: 411014 Taluka: Haveli</t>
  </si>
  <si>
    <t>ROOM NO.4/A,VIJAY NIWAS,KAJUPADA,KURLA-SAKINAKA Postal/Zip Code: 400072 Taluka: Kurla</t>
  </si>
  <si>
    <t>Dattanagar, Vadgaon Maval Tal Maval Postal/Zip Code: 412106 Taluka: Maval</t>
  </si>
  <si>
    <t>Shivaji Nagar Govandi Postal/Zip Code: 400043 Taluka: Kurla</t>
  </si>
  <si>
    <t>REVENE COLONY NEAR S. T. STAND AND MANIKCHAND HOSPITAL , FRONT OF NAMRATA HOSPITAL , ABOVE SONALI CLOTH CENTER SHIRUR DIST PUNE Postal/Zip Code: 412210 Taluka: Shirur</t>
  </si>
  <si>
    <t>1 st floor vithoba complex ,Near Pimple Sadan Kasarwadi Postal/Zip Code: 411034 Taluka: Haveli</t>
  </si>
  <si>
    <t>giriraj complex, shop no.2, kasturba hsg soc, vishrant wadi, pune Postal/Zip Code: 411015 Taluka: Haveli</t>
  </si>
  <si>
    <t>"Shardai" Near Huttatma Babu Genu Vidyalaya A/P- Mahaluge Padwal, Tal-Ambegaon Dist- Pune. Postal/Zip Code: 410515 Taluka: Ambegaon</t>
  </si>
  <si>
    <t>Aditya Complex, New Sopan Nagar Road, 2nd Floor, Saswad, Near S.T. Stand Postal/Zip Code: 412301 Taluka: Purandar</t>
  </si>
  <si>
    <t>1st Floor, Gala No1, Near Grampanchayat Postal/Zip Code: 410516 Taluka: Ambegaon</t>
  </si>
  <si>
    <t>SUYASH COMPUTER INSTITUTE, NASARAPUR Postal/Zip Code: 412213 Taluka: Bhor</t>
  </si>
  <si>
    <t>near swami samarth mandir, ambad Postal/Zip Code: 431204 Taluka: Ambad</t>
  </si>
  <si>
    <t>Main Road, Zenda Chowk, Tal: Patan, Dist:Satara Postal/Zip Code: 415206 Taluka: Patan</t>
  </si>
  <si>
    <t>Plot No. 95, Swami Vivekanand Nagar, Opp. Telephone Exchange. Tal: Phaltan, Dist: Satara. Postal/Zip Code: 415523 Taluka: Phaltan</t>
  </si>
  <si>
    <t>Pavan nagar, opp. water tank, cidco, Nashik, N44, A/A1/23/4 Postal/Zip Code: 422008 Taluka: Nashik</t>
  </si>
  <si>
    <t>Skylark computer, 4, Al-Saba apartment Kazi Nagar, Near Lifeline Hospital, Wadala road, Dwarka, Nashik. Postal/Zip Code: 422011 Taluka: Nashik</t>
  </si>
  <si>
    <t>Ambedkar Road, Kasabe Vani, Tal Dindori, Dist. Nashik Postal/Zip Code: 422215 Taluka: Dindori</t>
  </si>
  <si>
    <t>Behind Sharad Gramin Pathsansta Near, Wagdev College.Wathar Station Tal: Koregaon, Dist: Satara Postal/Zip Code: 415524 Taluka: Koregaon</t>
  </si>
  <si>
    <t>Geeta Niwas, Nr. Padalkar Doodh Dairy. Tal: Koregaon, Dist: Satara Postal/Zip Code: 415010 Taluka: Koregaon</t>
  </si>
  <si>
    <t>Chh. Shivaji Chowk, Near Prabhat Tea Depot &amp; ST Stand. Tal: Khatav, Dist: Satara Postal/Zip Code: 415502 Taluka: Khatav</t>
  </si>
  <si>
    <t>A/P-Kaledhon Tal: Khatav, Dist: Satara Postal/Zip Code: 415102 Taluka: Khatav</t>
  </si>
  <si>
    <t>Mrutyunjay Building,A/P-Jasai Postal/Zip Code: 410206 Taluka: Uran</t>
  </si>
  <si>
    <t>Deepak Building,C-wing-102, Plot No.37, Sector-08, Near MNR School, Kamothe,Navi Mumbai. Postal/Zip Code: 410209 Taluka: Panvel</t>
  </si>
  <si>
    <t>A/P-Goregaon,Hajwane Shopping Center,Block A-1 Postal/Zip Code: 402103 Taluka: Mangaon</t>
  </si>
  <si>
    <t>At Post- Birwadi, Postal/Zip Code: 402302 Taluka: Mahad</t>
  </si>
  <si>
    <t>Bhogeshwar Pakhadi, Near Shivani Medical Store, Murud- Janjira, Tal- Murud Dist- Raigad, Maharashtra Postal/Zip Code: 402401 Taluka: Murud</t>
  </si>
  <si>
    <t>Shop no-2,Yashwant Bldg, Shivaji Road, opp swami hotel,Near Agari samaj Mandal Postal/Zip Code: 410206 Taluka: Panvel</t>
  </si>
  <si>
    <t>At "nirmiti Safflya" Bldg, Hanuman Ali,Pen Postal/Zip Code: 402107 Taluka: Pen</t>
  </si>
  <si>
    <t>56 Shopping Complex JNPT Township uran Postal/Zip Code: 400707 Taluka: Uran</t>
  </si>
  <si>
    <t>Veer Savarkar Road, Near Ram Maruti Chawk, Post-Roha, Tal-Roha, Dist-Raigad, Pin-402 109 Postal/Zip Code: 402109 Taluka: Roha</t>
  </si>
  <si>
    <t>Near Jayanti college-Pali,Shubham Computer Education Postal/Zip Code: 410205 Taluka: Pali-Sudhagad</t>
  </si>
  <si>
    <t>P-2, 1/1, N-2, CIDCO Vithal Nagar Postal/Zip Code: 431003 Taluka: Aurangabad</t>
  </si>
  <si>
    <t>RH-20, NEAR RAJA SHIVAJI SCHOOL,BAJAJ NAGAR, MIDC AREA, WALUJ Postal/Zip Code: 431133 Taluka: Gangapur</t>
  </si>
  <si>
    <t>Near Vitthal Mandir shashtri nagar, Sillod. Postal/Zip Code: 431112 Taluka: Sillod</t>
  </si>
  <si>
    <t>N-12,D 51/6, 51/11, T.V. Center Chowk, Hudco,A'bad. Postal/Zip Code: 431003 Taluka: Aurangabad</t>
  </si>
  <si>
    <t>samarth nagar, behind zp office Postal/Zip Code: 431203 Taluka: Jalna</t>
  </si>
  <si>
    <t>Creative Hi-Tech Computer, Shambhu Mahadev College Road, Watur Fata Post. Watur Postal/Zip Code: 431501 Taluka: Partur</t>
  </si>
  <si>
    <t>16,sahyadri hsc.soci,near vikas nagar,hotgi road Postal/Zip Code: 413003 Taluka: Solapur(n)</t>
  </si>
  <si>
    <t>Anandi Niwas,Tahamane nage,Akluj Postal/Zip Code: 413101 Taluka: Malshiras</t>
  </si>
  <si>
    <t>Ashirwad Complex, Saat Rasta Solapur Postal/Zip Code: 413003 Taluka: Solapur(n)</t>
  </si>
  <si>
    <t>Near smrutibhavan, shankar nagar, Postal/Zip Code: 413103 Taluka: Malshiras</t>
  </si>
  <si>
    <t>Khandali road ,Shreepur Postal/Zip Code: 413112 Taluka: Malshiras</t>
  </si>
  <si>
    <t>In Front of National School "Patel Building" Hazar Kholi, Dhule Postal/Zip Code: 424001 Taluka: Dhule</t>
  </si>
  <si>
    <t>H.NO.793,Lane No.3,Zodage. Tal- Malegaon Dist- Nashik. Postal/Zip Code: 423205 Taluka: Malegaon</t>
  </si>
  <si>
    <t>Sawata Chowk, Karajgaon Chandur Bazar Postal/Zip Code: 444809 Taluka: Chandur bazar</t>
  </si>
  <si>
    <t>A.P. Kavatheekand, Tal: Tasgaon Postal/Zip Code: 416307 Taluka: Tasgaon</t>
  </si>
  <si>
    <t>Near ZP Primary School No 1 Postal/Zip Code: 416310 Taluka: Palus</t>
  </si>
  <si>
    <t>207, Matoshri Complex, Near Railway Station, New Town Postal/Zip Code: 444701 Taluka: Amravati</t>
  </si>
  <si>
    <t>1, Professor Colony, Deopur Postal/Zip Code: 424002 Taluka: Dhule</t>
  </si>
  <si>
    <t>At Post Hiwarkhed Postal/Zip Code: 444905 Taluka: Morshi</t>
  </si>
  <si>
    <t>PANDURANG NAGAR, DEWOOLGAON ROAD, AT-POST: FATTEPUR Postal/Zip Code: 424208 Taluka: Jamner</t>
  </si>
  <si>
    <t>At. Po. (Vivekananda Nagar), Hiwara Ashram Tah Mehekar Dist Buldhana Postal/Zip Code: 443301 Taluka: Mehekar</t>
  </si>
  <si>
    <t>AT PO DUSARBID Tah Sindhkhed Raja Dist Buldhana Postal/Zip Code: 443308 Taluka: Sindakhed raja</t>
  </si>
  <si>
    <t>AT PO WARWAT BAKAL Tah Sangrampur Dist Buldhana Postal/Zip Code: 444202 Taluka: Sangrampur</t>
  </si>
  <si>
    <t>At Post Chimthane, Kasar Lane, Maruti Chauk, Chimthane Postal/Zip Code: 425407 Taluka: Sindkhed</t>
  </si>
  <si>
    <t>19AB, Nitin Nagar,Near Patel Residency,Oppo. Chaitanya Hospital,Shahada Postal/Zip Code: 425409 Taluka: Shahada</t>
  </si>
  <si>
    <t>Shree Krupa Building,At Post- Nandgaon, Tal-Murud- Janjira, Raigad Postal/Zip Code: 402406 Taluka: Murud</t>
  </si>
  <si>
    <t>At-Ambewadi Naka Post-Kolad,Tatkare Complex, Shop No. 20 Postal/Zip Code: 402304 Taluka: Roha</t>
  </si>
  <si>
    <t>At.Po. Nizampur, Tal.Mangaon, Dist.Raigad Postal/Zip Code: 402120 Taluka: Mangaon</t>
  </si>
  <si>
    <t>At Post- Kashele,Near Hanuman Temple Kashele- Neral Road Postal/Zip Code: 410201 Taluka: Karjat</t>
  </si>
  <si>
    <t>Opp:Shri Chatrapati Vidyalaya &amp; Jr. College Of Arts &amp; Commerce,1St Floor, Near Shri Talor Opp.S.V.Jr.College Postal/Zip Code: 410203 Taluka: Khalapur</t>
  </si>
  <si>
    <t>At Post-Hashiware,Opp Mahatama Gandhi Vidyalaya,Tal-Alibag Postal/Zip Code: 402209 Taluka: Alibag</t>
  </si>
  <si>
    <t>Shreyash Computers Powerloom, Ayodhyanagar, Bahirwadi. Postal/Zip Code: 431122 Taluka: Beed</t>
  </si>
  <si>
    <t>At Post. Chikalthana Postal/Zip Code: 431007 Taluka: Aurangabad</t>
  </si>
  <si>
    <t>Shri Sai Computer,Shri Sai complex, lanzi road waluj Postal/Zip Code: 431136 Taluka: Gangapur</t>
  </si>
  <si>
    <t>It Solutions Behind S. B. College Postal/Zip Code: 431105 Taluka: Paithan</t>
  </si>
  <si>
    <t>MATRU SMURTI BUILDING, BEHIND DHANVANTARI MEDICAL STORES, OPP TO RAJASTANI BOYS HOSTEL, KHADKESHWR Postal/Zip Code: 431001 Taluka: Aurangabad</t>
  </si>
  <si>
    <t>A/p Margtamhane, Near Dr. Tatyasaheb Natu college of arts Postal/Zip Code: 415702 Taluka: Chiplun</t>
  </si>
  <si>
    <t>A/P Abloli Postal/Zip Code: 415726 Taluka: Guhagar</t>
  </si>
  <si>
    <t>Salunkhe's Microtech Computers Alore, Alore Highschool Road, Near Sukai Mandir Postal/Zip Code: 415603 Taluka: Chiplun</t>
  </si>
  <si>
    <t>Mahakali Palace, Swami Mnadir Road, Pawas Postal/Zip Code: 415616 Taluka: Ratnagiri</t>
  </si>
  <si>
    <t>House No 4/566 (D) Near SDCC Bank Bank Shiroda Postal/Zip Code: 416518 Taluka: Vengurle</t>
  </si>
  <si>
    <t>Opp. Police Station, Barshi Road At.Post.Yermala Postal/Zip Code: 413525 Taluka: Kalamb</t>
  </si>
  <si>
    <t>Near Balinga Highschool A/p Balinga Postal/Zip Code: 416010 Taluka: Karveer</t>
  </si>
  <si>
    <t>Near KDCC Bank, Adkur Postal/Zip Code: 416509 Taluka: Chandgad</t>
  </si>
  <si>
    <t>Main Road "Modern Plaza" Kodoli Postal/Zip Code: 416114 Taluka: Panhala</t>
  </si>
  <si>
    <t>Basement Mahalaxmi Seti Seva Kendra , Main Road Haladi, A/P Haladi Postal/Zip Code: 416205 Taluka: Karveer</t>
  </si>
  <si>
    <t>Ganbawale Builiding, Near Maruti Mandir, Main Road Kumbhoj Pin : 416111 Postal/Zip Code: 416111 Taluka: Hatkanangale</t>
  </si>
  <si>
    <t>A/p Nool Postal/Zip Code: 416551 Taluka: Gadhinglaj</t>
  </si>
  <si>
    <t>121,Hanuman Road, Opp Hanuman Temple. Tal: Mahabaleshwar, Dist: Satara. Postal/Zip Code: 412805 Taluka: Mahabaleshwar</t>
  </si>
  <si>
    <t>New English Junior College, Wardha Postal/Zip Code: 442001 Taluka: Wardha</t>
  </si>
  <si>
    <t>S.V.C. S.Ded college,M.I.D.C. Akkalkot road, solapur adsense, limewire Postal/Zip Code: 413006 Taluka: Solapur(n)</t>
  </si>
  <si>
    <t>Opposite S.T.Stand,Alkuti Postal/Zip Code: 414306 Taluka: Parner</t>
  </si>
  <si>
    <t>Shubham Comp. Institute .Jodmoha Postal/Zip Code: 445007 Taluka: Kalamb</t>
  </si>
  <si>
    <t>New petrol pump Arni road darwha Postal/Zip Code: 445202 Taluka: Darva</t>
  </si>
  <si>
    <t>Grampanchayat Complex Islapur Postal/Zip Code: 431803 Taluka: Kinvat</t>
  </si>
  <si>
    <t>Main Bazar Postal/Zip Code: 431705 Taluka: Audha Naganath</t>
  </si>
  <si>
    <t>near busstand nishana road yehlegaon Postal/Zip Code: 431502 Taluka: Audha Naganath</t>
  </si>
  <si>
    <t>Gram Panchayat Complex Room No. 01 Postal/Zip Code: 442710 Taluka: Bhamragad</t>
  </si>
  <si>
    <t>AT POST - BAZARPETH VAIBHAVWADI Postal/Zip Code: 416810 Taluka: Vaibhavawadi</t>
  </si>
  <si>
    <t>Shirgaon High School, Shirgaon Postal/Zip Code: 416610 Taluka: Devgad</t>
  </si>
  <si>
    <t>Kawalgaon, Purna Postal/Zip Code: 431511 Taluka: Purna</t>
  </si>
  <si>
    <t>SHREE VARAD COMPUTERS, FIRST FLOOR PATAL HANUMAN COMPLEX, SHIVAJI STAUTE JALNA Postal/Zip Code: 431203 Taluka: Jalna</t>
  </si>
  <si>
    <t>Shop no.1, Amey Apartment, Opp. Chunabhatti Fish Market, V.N. Purav Marg, Sion-Chunabhatti, Mumbai-400022. Postal/Zip Code: 400022 Taluka: Kurla</t>
  </si>
  <si>
    <t>Mahatma Phule Chowk DM Road Postal/Zip Code: 423104 Taluka: Nandgaon</t>
  </si>
  <si>
    <t>Near Bus Stand A/P Here Postal/Zip Code: 416509 Taluka: Chandgad</t>
  </si>
  <si>
    <t>Akshar Computer Institute, 7, Adhunik Shopping Cnetre, Nehurn Road, Postal/Zip Code: 425418 Taluka: Navapur</t>
  </si>
  <si>
    <t>Vaibhavi Laxmi' Shivaji Chowk, Dehugaon Tal- Haveli, Dist- Pune Postal/Zip Code: 412109 Taluka: Haveli</t>
  </si>
  <si>
    <t>main road , Bhansli Niwas Postal/Zip Code: 425415 Taluka: Akkalkuva</t>
  </si>
  <si>
    <t>Oasis Computer, 7 A, Talathi Colony, Postal/Zip Code: 425412 Taluka: Nandurbar</t>
  </si>
  <si>
    <t>Janki Plaza, Near Kanyadan Mangal Karyalay, Nalva Road Postal/Zip Code: 425412 Taluka: Nandurbar</t>
  </si>
  <si>
    <t>SM Computer Education,At Post-Mhasala Postal/Zip Code: 402105 Taluka: Mhasala</t>
  </si>
  <si>
    <t>Ganpati chowk, Gramvikas bhavan shop no 1 &amp; 2, At post Yewat Postal/Zip Code: 412214 Taluka: Daund</t>
  </si>
  <si>
    <t>105, Deshmukh Arunai Sankul, opp. New Court, Station Road Postal/Zip Code: 425401 Taluka: Amalner</t>
  </si>
  <si>
    <t>E-Tech Computers Station Road, Dhavale, Building, 1st Floor, A/P Nandgaon, Tal.Nandgaon, Dist.Nashik Postal/Zip Code: 423106 Taluka: Nandgaon</t>
  </si>
  <si>
    <t>opp. SBOA school, mayur park road Postal/Zip Code: 431008 Taluka: Aurangabad</t>
  </si>
  <si>
    <t>11,TULSI COMPLEX,NEW NAGAR ROAD Postal/Zip Code: 422605 Taluka: Sangamner</t>
  </si>
  <si>
    <t>SS-II , Room No.54, Sector 15, Koperkhairane Postal/Zip Code: 400709 Taluka: Thane</t>
  </si>
  <si>
    <t>SH B 1 22 NEAR AB. BANK NEHRU Postal/Zip Code: 400024 Taluka: Kurla</t>
  </si>
  <si>
    <t>Goodwill Arcade,Office No.1,First Floor,Plot No. 5,Sector-10,Nr.Nerul Station,Nerul(W) Postal/Zip Code: 400706 Taluka: Thane</t>
  </si>
  <si>
    <t>Madyamik Vidyalaya Nigdi Near Sindhunagar Postal/Zip Code: 411044 Taluka: Haveli</t>
  </si>
  <si>
    <t>Madhyamic Vidyalaya Pimple Saudagar, Near Water Tank, Pimple Saudagar, Pimpri Postal/Zip Code: 411027 Taluka: Haveli</t>
  </si>
  <si>
    <t>Keshavnagar Madyamik Vidyalaya Postal/Zip Code: 411033 Taluka: Haveli</t>
  </si>
  <si>
    <t>Madyamik Vidyalaya Landewadi near Fire Station Bhosari Postal/Zip Code: 411026 Taluka: Haveli</t>
  </si>
  <si>
    <t>Dept Adult Edu Dr. BAMU A'bad Postal/Zip Code: 431004 Taluka: Aurangabad</t>
  </si>
  <si>
    <t>Vidyatirth computers , Kamlapur Road , Bharat Nagar , waluj, tq, gangapur, dist. aurangabad Postal/Zip Code: 431133 Taluka: Gangapur</t>
  </si>
  <si>
    <t>AKSHAY COMPUTER INSTITUTE Rx5/25,Deep Chaitnya Ho.Society, MIDC Waluj, Bajajnagar, Postal/Zip Code: 431136 Taluka: Gangapur</t>
  </si>
  <si>
    <t>A/p Pangaon Postal/Zip Code: 431522 Taluka: Renapur</t>
  </si>
  <si>
    <t>Azhad complex daund jamkhed road a/p tal:-shrigonda Postal/Zip Code: 413701 Taluka: Shrigonda</t>
  </si>
  <si>
    <t>"First Floor",Naiknaware Complex, Sambhaji Nagar,Khadgaon Road Postal/Zip Code: 413531 Taluka: Latur</t>
  </si>
  <si>
    <t>SAMBHAJI NAGAR NEAR KALAMKAR HOSPITAL BHOKARDAN NAKA Postal/Zip Code: 431203 Taluka: Jalna</t>
  </si>
  <si>
    <t>560, RASTA PETH,Opp Ramakant Electricals Postal/Zip Code: 411011 Taluka: Haveli</t>
  </si>
  <si>
    <t>Patil Complex, Behind Pramod Gas Agency, Sitaram Nagar Postal/Zip Code: 413512 Taluka: Latur</t>
  </si>
  <si>
    <t>Sankpal Complex Block no 14, A/P Uchgaon, Tal. karveer, Dist. Kolhapur Postal/Zip Code: 416005 Taluka: Karveer</t>
  </si>
  <si>
    <t>Dande Colony, Sai Nagar Postal/Zip Code: 444607 Taluka: Amravati</t>
  </si>
  <si>
    <t>Chincholi Limbaji Postal/Zip Code: 431147 Taluka: Kannad</t>
  </si>
  <si>
    <t>Diwanji Complex, Ambajogai Road Postal/Zip Code: 413531 Taluka: Latur</t>
  </si>
  <si>
    <t>79, WardNo.6, M. P. Chowk. Market Yard. Postal/Zip Code: 414001 Taluka: Ahmednagar</t>
  </si>
  <si>
    <t>7, Devpriya Apartment, Near Patwardhan Hospital, Station Road Postal/Zip Code: 431005 Taluka: Aurangabad</t>
  </si>
  <si>
    <t>Office No. 3, Kalyan Park, Near Forest Colony Road, Ganesh Nagar. Tal: Satara, Dist: Satara. Postal/Zip Code: 415004 Taluka: Satara</t>
  </si>
  <si>
    <t>SINGH PLAZA, OPP. BIG BAZAAR, KAPURBAWDI CIRCLE, GHODBUNDER ROAD Postal/Zip Code: 400607 Taluka: Thane</t>
  </si>
  <si>
    <t>Above Vikram Nagari Pathsanstha Main Road. Tal: Patan, Dist: Satara. Postal/Zip Code: 415206 Taluka: Patan</t>
  </si>
  <si>
    <t>141, Budhwar Peth, Kelamata Appartment, Opp. Sourabh Hospital, Karad, Tal. Karad, Dist. Satara, Pin - 415110. Postal/Zip Code: 415110 Taluka: Karad</t>
  </si>
  <si>
    <t>UNISOFT COMPUTER EDUCATION CENTER,NEAR VIHITGAON,DEOLALI ROAD,OPP.SVKT COLLEGE Postal/Zip Code: 422401 Taluka: Nashik</t>
  </si>
  <si>
    <t>Near Grampanchayat, Market Pali, Postal/Zip Code: 415803 Taluka: Ratnagiri</t>
  </si>
  <si>
    <t>Garoba Maidan, Chaparu Nagar Chowk, Behind Dhanlaxmi Bank, Nagpur Postal/Zip Code: 440008 Taluka: Nagpur</t>
  </si>
  <si>
    <t>Shop No.122, 1st floor, Panchavati Plaza, Beside Daily Bazar, Plot No.92 to 96, Sector -5, Ghansoli, Navi Mumbai - 400 709 Postal/Zip Code: 400701 Taluka: Thane</t>
  </si>
  <si>
    <t>Behind Civil Hospital , Nagar Parishad Shop 3 &amp; 4 Postal/Zip Code: 413517 Taluka: Udgeer</t>
  </si>
  <si>
    <t>lokmanya computer institute 658,Appa Balwant Chowk ,bajirao road, pune 411030 Postal/Zip Code: 411030 Taluka: Haveli</t>
  </si>
  <si>
    <t>Near Dr.Pawar Hospital, Main Road, New Bus Stand Postal/Zip Code: 431209 Taluka: Ghansavangi</t>
  </si>
  <si>
    <t>H no-1316 Lasurgaon Road Adarsh Nagar Tal gangapur Postal/Zip Code: 423702 Taluka: Gangapur</t>
  </si>
  <si>
    <t>A/p : Daphalapur Tal : Jath Dist : Sangli Postal/Zip Code: 416402 Taluka: Jat</t>
  </si>
  <si>
    <t>shop no.3, royal building, plot no.142, sector 3, charkop. Postal/Zip Code: 400067 Taluka: Boriwali</t>
  </si>
  <si>
    <t>Kocheta Complex, Behind Shivsena Karyalaya Postal/Zip Code: 413520 Taluka: Ausa</t>
  </si>
  <si>
    <t>At. Post Kudashi Postal/Zip Code: 424306 Taluka: Sakri</t>
  </si>
  <si>
    <t>9/18, Gurav Chawl, Above Kohinoor Typewriting Institute, Opp.Lata Book Store,Station Road, Vikhroli(E) Postal/Zip Code: 400083 Taluka: Kurla</t>
  </si>
  <si>
    <t>a/p MANDAVAGAN PHARATA, TAL-SHIRUR ,DIST-PUNE Postal/Zip Code: 412211 Taluka: Shirur</t>
  </si>
  <si>
    <t>shri ganesh computers,bhimashankar hou.soc.Pune solapur Road,Near Asmita Vadewale,Hadapsar Postal/Zip Code: 411028 Taluka: Haveli</t>
  </si>
  <si>
    <t>Near Civil Court Karjat,Dist.A.Nagar Postal/Zip Code: 414402 Taluka: Karjat</t>
  </si>
  <si>
    <t>145/A-4 Lane No 1 Govind pura old dhule Postal/Zip Code: 424001 Taluka: Dhule</t>
  </si>
  <si>
    <t>A/ : P BHAVANINAGAR (SANSAR) Postal/Zip Code: 413104 Taluka: Indapur</t>
  </si>
  <si>
    <t>Near Sakal New Paper Office, station Road Postal/Zip Code: 431401 Taluka: Parbhani</t>
  </si>
  <si>
    <t>Prasad Chamber Majge Nagar,kava road. Postal/Zip Code: 413512 Taluka: Latur</t>
  </si>
  <si>
    <t>Gala No 1 &amp; 2, Plot No 913, Near Kanoba Mandir, Opp. Jay Durga Automobile, Padgha Postal/Zip Code: 421101 Taluka: Bhiwandi</t>
  </si>
  <si>
    <t>Shop-2, Plot No.35, Sector-20, Nr. Bharat Gas, Kharghar-410210 Postal/Zip Code: 410210 Taluka: Thane</t>
  </si>
  <si>
    <t>At Po Undangaon, Tq Sillod Postal/Zip Code: 431112 Taluka: Sillod</t>
  </si>
  <si>
    <t>At+Post: Kosamtondi Tah.- Sadak Arjuni, Dist.- Gondia, Pin- 441801 Postal/Zip Code: 441801 Taluka: Sadak arjuni</t>
  </si>
  <si>
    <t>3,Swami Vivekananda Society, Santnagar, Pune-411009 Postal/Zip Code: 411009 Taluka: Haveli</t>
  </si>
  <si>
    <t>A/p Bagani Tal Walwa Dist Sangli Postal/Zip Code: 416302 Taluka: Walva</t>
  </si>
  <si>
    <t>Upper Floor on Rajesh Vastu Bhandar, Opp of Datta Mandir, Vengurle Postal/Zip Code: 416516 Taluka: Vengurle</t>
  </si>
  <si>
    <t>18,shivshankar colony, chtod road Postal/Zip Code: 424001 Taluka: Dhule</t>
  </si>
  <si>
    <t>Near Bus stand , Mukteshewar Road, Alkanagar Postal/Zip Code: 413520 Taluka: Ausa</t>
  </si>
  <si>
    <t>At Shenda Road Postal/Zip Code: 441807 Taluka: Sadak arjuni</t>
  </si>
  <si>
    <t>At Po Rajur Postal/Zip Code: 431314 Taluka: Bhokardan</t>
  </si>
  <si>
    <t>MAIN ROAD, Karmad Postal/Zip Code: 431001 Taluka: Aurangabad</t>
  </si>
  <si>
    <t>Near Gurudwara,Chichgad Road Postal/Zip Code: 441901 Taluka: Devara</t>
  </si>
  <si>
    <t>A/p: Arala Tal:Shirala Dist: Sangli Postal/Zip Code: 415408 Taluka: Shirala</t>
  </si>
  <si>
    <t>Ward No.3, Near railway gate, Visapur Postal/Zip Code: 442701 Taluka: Ballarpur</t>
  </si>
  <si>
    <t>109 Inf Bn (TA) MARATHA LI, Temblai Hills, Shivaji University Road Kolhapur Postal/Zip Code: 416004 Taluka: Karveer</t>
  </si>
  <si>
    <t>111,Wani Galli, Bale, North Solapur Postal/Zip Code: 413255 Taluka: Solapur(n)</t>
  </si>
  <si>
    <t>Above Sarda Kirana, In Front Of Jama Masjid, Main Road, Bhadrawati Postal/Zip Code: 442902 Taluka: Bhadrawati</t>
  </si>
  <si>
    <t>159/60, Damani Nagar, Near Furde Complex, Solapur Postal/Zip Code: 413001 Taluka: Solapur(n)</t>
  </si>
  <si>
    <t>A/P - Kameri Postal/Zip Code: 415403 Taluka: Walva</t>
  </si>
  <si>
    <t>Indira Nagar Tarsa Road Kanhan -441401 Postal/Zip Code: 441401 Taluka: Parashivani</t>
  </si>
  <si>
    <t>95, Raviwar Peth, Postal/Zip Code: 413005 Taluka: Solapur(n)</t>
  </si>
  <si>
    <t>Nr. ST Stand, Vasantgad. Tal: Karad, Dist: Satara. Postal/Zip Code: 415114 Taluka: Karad</t>
  </si>
  <si>
    <t>733, Malojinagar, Kolaki, Tal: Phaltan, Dist: Satara. Postal/Zip Code: 415523 Taluka: Phaltan</t>
  </si>
  <si>
    <t>At.Post. Koor Postal/Zip Code: 416209 Taluka: Bhudargad</t>
  </si>
  <si>
    <t>13th Lane, Ashirwad Hospital Building, Jaysingpur games, limewire Postal/Zip Code: 416101 Taluka: Shirol</t>
  </si>
  <si>
    <t>a/p Bapusaheb Deshmukh complex, High school Rd, palus Postal/Zip Code: 416310 Taluka: Palus</t>
  </si>
  <si>
    <t>Flat No.6. 3rd floor, anushri Hights, S.No. 453 Shukrawar Peth, Pune 411002 Postal/Zip Code: 411002 Taluka: Haveli</t>
  </si>
  <si>
    <t>At post Betawad Tal. Shindkhada dist Dhule Postal/Zip Code: 425404 Taluka: Sindkhed</t>
  </si>
  <si>
    <t>Opp. ST Stand Wagholi. Tal: Koregaon, Dist: Satara. Postal/Zip Code: 415525 Taluka: Koregaon</t>
  </si>
  <si>
    <t>Yashodhan Complex, 1st Floor, Opp. Science College. Tal: Satara, Dist: Satara. Postal/Zip Code: 415002 Taluka: Satara</t>
  </si>
  <si>
    <t>80 B Yadogopal Peth, Near Samarth Mandir. Tal: Satara, Satara Postal/Zip Code: 415002 Taluka: Satara</t>
  </si>
  <si>
    <t>Near agriculture office, Gadchandur Road Rajura Postal/Zip Code: 442905 Taluka: Rajura</t>
  </si>
  <si>
    <t>First Floor Ward no48,MIG-54,Avishkar Colony CIDCO [Aurangabad] Postal/Zip Code: 431001 Taluka: Aurangabad</t>
  </si>
  <si>
    <t>At Post Mothi Aali, Bhadra maruti Road , Khultabad Postal/Zip Code: 431101 Taluka: Khulatabad</t>
  </si>
  <si>
    <t>AtP- Yelavi, Tal- Tasgaon, Dist- Sangli Postal/Zip Code: 416319 Taluka: Tasgaon</t>
  </si>
  <si>
    <t>At &amp; Po - Kadaval. Postal/Zip Code: 416521 Taluka: Kudal</t>
  </si>
  <si>
    <t>Old Bus Stand Lakhandur Ta- Lakahndur Dist- Bhandara 441803 Postal/Zip Code: 441803 Taluka: Lakhandur</t>
  </si>
  <si>
    <t>C/O CHATRAPATI BCA BCS COLLEGE, BEHIND RAJPUT PETROL PUMP, OASIS CHOWK, PANDHARPUR. Postal/Zip Code: 431001 Taluka: Aurangabad</t>
  </si>
  <si>
    <t>plot No.46,cosmopolitian Society,Somalwada,Wardha Rd.,Nagpur-25 Postal/Zip Code: 440025 Taluka: Nagpur</t>
  </si>
  <si>
    <t>Behind Z.P. School, Ganga Complex Postal/Zip Code: 413532 Taluka: Jalakot</t>
  </si>
  <si>
    <t>At. Post. Dhanegaon Postal/Zip Code: 413519 Taluka: Deoni</t>
  </si>
  <si>
    <t>Shaniwar Peth. Tal: Patan, Dist: Satara Postal/Zip Code: 415014 Taluka: Patan</t>
  </si>
  <si>
    <t>19 Cawasji Road, Opp. Hotel Mahableshwar Palace. Tal: Mahabalshwar, Dist: Satara Postal/Zip Code: 412806 Taluka: Mahabaleshwar</t>
  </si>
  <si>
    <t>Gram Sachivalaya building, A/P. Pachal, Tal. Rajapur Postal/Zip Code: 416704 Taluka: Rajapur</t>
  </si>
  <si>
    <t>At Post Sangrul, Main Road Postal/Zip Code: 416204 Taluka: Karveer</t>
  </si>
  <si>
    <t>Tantra Shikshan Prashikshan Sanstha, Ajanti, Laxminagar, Hinganghat Postal/Zip Code: 442301 Taluka: Hinganghat</t>
  </si>
  <si>
    <t>Near Main Bus Stop, Postal/Zip Code: 416119 Taluka: Karveer</t>
  </si>
  <si>
    <t>M.N.B. Industrial Home For Blind, 280, S.V.Road Postal/Zip Code: 400102 Taluka: Andheri</t>
  </si>
  <si>
    <t>Near Giri Hospital,Ramhaji Nagar,Yavatmal. Postal/Zip Code: 445001 Taluka: Yavatmal</t>
  </si>
  <si>
    <t>Near S.M.C. English School, Risod, Road Lakhala, Washim Postal/Zip Code: 444505 Taluka: Washim</t>
  </si>
  <si>
    <t>WAKHARKAR NAGAR,NATESHWAR COLONY, NEAR TO DR. SANJAY BORSE Postal/Zip Code: 424001 Taluka: Dhule</t>
  </si>
  <si>
    <t>Near Post Office Stop, 1st floor, Surve Building, Sangameshwar Postal/Zip Code: 415611 Taluka: Sangameshwar</t>
  </si>
  <si>
    <t>PISADEVI ROAD SIDHHE SQUAR HOUS N-18 AURANGABAD Postal/Zip Code: 431005 Taluka: Aurangabad</t>
  </si>
  <si>
    <t>300/301,Ghorpadi Peth,Vakratund appartment,2nd floor, flat no 3,pune. Postal/Zip Code: 411042 Taluka: Haveli</t>
  </si>
  <si>
    <t>4 Aisha nagar Behind National school chalisgaon road Postal/Zip Code: 424001 Taluka: Dhule</t>
  </si>
  <si>
    <t>Shop No. 16, Nilgiri Tower, Manvelpada Road, Virar (E) Postal/Zip Code: 401303 Taluka: Vasai</t>
  </si>
  <si>
    <t>New Bazar Peth Walchandnagar Postal/Zip Code: 413114 Taluka: Indapur</t>
  </si>
  <si>
    <t>saishyam complex AT/po Shirdi Kankuri Road Postal/Zip Code: 423109 Taluka: Rahata</t>
  </si>
  <si>
    <t>chatrapatinagar,deolai road,Near Aaiaapa Madir opp.prathameshnagari, Beed By Pass , Satara Parisar Postal/Zip Code: 431005 Taluka: Aurangabad</t>
  </si>
  <si>
    <t>A/p Zargadwadi Postal/Zip Code: 413102 Taluka: Baramati</t>
  </si>
  <si>
    <t>A/p Ranjani, Ambegaon Postal/Zip Code: 410504 Taluka: Ambegaon</t>
  </si>
  <si>
    <t>SHOP NO 2, KULSWAMINI BUILDING, NEAR CHEMBUR NAGRIK SAHAKARI BANK , GULMOHAR LANE CHUNABHATTI Postal/Zip Code: 400022 Taluka: Kurla</t>
  </si>
  <si>
    <t>Above Asha Ladies Collection. Tal: Patan, Dist: Satara Postal/Zip Code: 415205 Taluka: Patan</t>
  </si>
  <si>
    <t>VAZIRA NAKA, L T ROAD, BORIVALI WEST, MUMBAI 400091 Postal/Zip Code: 400091 Taluka: Boriwali</t>
  </si>
  <si>
    <t>BRAMHAN SABHA COLONY BEHIND MADAN MAHAL Postal/Zip Code: 444805 Taluka: Achalpur</t>
  </si>
  <si>
    <t>"Yashawant Sankul" , Post Office Road , Civil Line, Postal/Zip Code: 444705 Taluka: Anjangaon</t>
  </si>
  <si>
    <t>Shop No.4, Sneh sai milan , Ramchandra Nagar, Dombivli(E). Postal/Zip Code: 421201 Taluka: Kalyan</t>
  </si>
  <si>
    <t>N.H,6, BEHIND UMIYA MARBELS, MAIN ROAD, LAKHANI, DISTT. BHANDARA Postal/Zip Code: 441804 Taluka: Lakhani</t>
  </si>
  <si>
    <t>K.M.S.COMPUTER TRAINING CENTER, MITHBAV,TAL-DEVGAD,DIST-SINDHUDURG. Postal/Zip Code: 416615 Taluka: Devgad</t>
  </si>
  <si>
    <t>Gala No 2, Jayshree Building, Above Union Bank of India, Anagaon Naka, Anagaon Postal/Zip Code: 421302 Taluka: Bhiwandi</t>
  </si>
  <si>
    <t>13 Prakash Bldg., Maharashtra Nagar,Chandavakar Road, Borivali (W),Mumbai Postal/Zip Code: 400092 Taluka: Boriwali</t>
  </si>
  <si>
    <t>omkar computer's gajanan colony nagapur Postal/Zip Code: 414111 Taluka: Ahmednagar</t>
  </si>
  <si>
    <t>Geeta Laxmi Appartment, Shop No. 20, Geeta Nagar, Dindori Road Postal/Zip Code: 422004 Taluka: Nashik</t>
  </si>
  <si>
    <t>Nutan Nagar, Behind Bajarang hotel,Kanjurmarg (E) Mumbai-400042. Postal/Zip Code: 400042 Taluka: Kurla</t>
  </si>
  <si>
    <t>D-Tech Computers, Solse Market, Ground Floor, Behind Guruprasad Medical, Opp. Bus Depot, Badlapur(W). Postal/Zip Code: 421503 Taluka: Ambarnath</t>
  </si>
  <si>
    <t>Plot no-16 Jyotsna Housing Socity,Opp. SBOA School, Mayur park Road, Postal/Zip Code: 431003 Taluka: Aurangabad</t>
  </si>
  <si>
    <t>Near Grampanchyat Visapur Postal/Zip Code: 416314 Taluka: Tasgaon</t>
  </si>
  <si>
    <t>Vidya Mandir Tagore Nagar, Vikhroli(E), Mumbai-400083. Postal/Zip Code: 400083 Taluka: Kurla</t>
  </si>
  <si>
    <t>116/10/13, Opp. Mont Vert-1, Sus Road, Pashan, Pune. Postal/Zip Code: 411021 Taluka: Haveli</t>
  </si>
  <si>
    <t>Shop no 9, Shetye Complex, opp S. T. Stand, Mandangad Postal/Zip Code: 415203 Taluka: Mandangad</t>
  </si>
  <si>
    <t>Near Nirmal Hospital, Main Road Postal/Zip Code: 444801 Taluka: Amravati</t>
  </si>
  <si>
    <t>Main Road Jambazar Postal/Zip Code: 445204 Taluka: Pusad</t>
  </si>
  <si>
    <t>shetphalgadhe Postal/Zip Code: 413130 Taluka: Indapur</t>
  </si>
  <si>
    <t>front of MSEB office jalna road, new bhokardan Postal/Zip Code: 431114 Taluka: Bhokardan</t>
  </si>
  <si>
    <t>old city bhagirathwadi Postal/Zip Code: 444002 Taluka: Akola</t>
  </si>
  <si>
    <t>Main Road Partur Postal/Zip Code: 431501 Taluka: Partur</t>
  </si>
  <si>
    <t>A/P- Rajuri, near Grampanchayat Postal/Zip Code: 412411 Taluka: Junnar</t>
  </si>
  <si>
    <t>305 B South Kasaba, Solapur Postal/Zip Code: 413007 Taluka: Solapur(n)</t>
  </si>
  <si>
    <t>H.No. 2250A A/p Achara, c/o Vijay Lad Postal/Zip Code: 416614 Taluka: Malvan</t>
  </si>
  <si>
    <t>Laxmi Road, Behind Bus Stand, Sakri. Postal/Zip Code: 424304 Taluka: Sakri</t>
  </si>
  <si>
    <t>Gala No.34, Ambar Shopping Mall, 1st floor, Nr. Bhaji market, Palghar (W) Postal/Zip Code: 401404 Taluka: Palghar</t>
  </si>
  <si>
    <t>At/Post-Dahigaon Postal/Zip Code: 413122 Taluka: Malshiras</t>
  </si>
  <si>
    <t>Behind Police Station, College Road, Shiradhon Postal/Zip Code: 413528 Taluka: Kalamb</t>
  </si>
  <si>
    <t>Vittal Market Karanja Chowk Akalkot Postal/Zip Code: 413216 Taluka: Akkalkot</t>
  </si>
  <si>
    <t>SKY Institute "Deep Sadan" Near Jain Boarding 'C' ward Kolhapur Postal/Zip Code: 416002 Taluka: Karveer</t>
  </si>
  <si>
    <t>Pandur Postal/Zip Code: 416812 Taluka: Kudal</t>
  </si>
  <si>
    <t>GRAMPANCHYAT COMPLEX TAKLI HAJI Postal/Zip Code: 412218 Taluka: Shirur</t>
  </si>
  <si>
    <t>A/p- Kurkumbh, Near Primary School, Daund Road Postal/Zip Code: 413802 Taluka: Daund</t>
  </si>
  <si>
    <t>128/1,Murarji Peth,near of Sevasadan Highschool,Solapur Postal/Zip Code: 413001 Taluka: Solapur(n)</t>
  </si>
  <si>
    <t>C/O J.S.Thoke Radha Nagar Postal/Zip Code: 444603 Taluka: Amravati</t>
  </si>
  <si>
    <t>92 a1/5, Ravivar Peth, In front of Jagruti Temple, Shelgi Road, Postal/Zip Code: 432102 Taluka: Solapur(n)</t>
  </si>
  <si>
    <t>Near L.T. College, Warora Road - wani Distt - yavatmal Postal/Zip Code: 445304 Taluka: Vani</t>
  </si>
  <si>
    <t>Plot No 169, Opp. Hanuman Mandir, Main Road, Balaji Nagar, Nera Balaji Mangal Karyalay Postal/Zip Code: 431001 Taluka: Aurangabad</t>
  </si>
  <si>
    <t>click computers Narendranagar Postal/Zip Code: 414605 Taluka: Nevasa</t>
  </si>
  <si>
    <t>4,K.K Smruti,New Maniklal estate,N M Road Ghatkopar (W), Mumbai-400086 Postal/Zip Code: 400086 Taluka: Kurla</t>
  </si>
  <si>
    <t>Gala no 12 Sant Harlayya Shopping Center Kanda Bazar Near Nager Palika Akkalkot Postal/Zip Code: 413216 Taluka: Akkalkot</t>
  </si>
  <si>
    <t>207 A, Gheewala Bldg., 2nd floor , Above Cotton King, Opp New India Co.op.Bank, M.P. Road, Mulund (E), Mumbai -400081. Postal/Zip Code: 400081 Taluka: Kurla</t>
  </si>
  <si>
    <t>AKSHAR COMPUTERS SOFTWARE EDUCATION 2, SUKH SAGAR, FIRST FLOOR, AKURLI CROSS ROAD NO. 1, KANDIVALI (E), MUMBAI-400 101 Postal/Zip Code: 400101 Taluka: Boriwali</t>
  </si>
  <si>
    <t>: - 108,1st floor, classic Heritage, opp. Charbhuja jewelers, Near Jay prakash nagar, Aarey Rd; Goregaon (E), Postal/Zip Code: 400063 Taluka: Boriwali</t>
  </si>
  <si>
    <t>743,mali galli near kali masjid, solapur avg, limewire Postal/Zip Code: 413007 Taluka: Solapur(n)</t>
  </si>
  <si>
    <t>1254, N. Kasaba isohunt, limewire Postal/Zip Code: 413003 Taluka: Solapur(n)</t>
  </si>
  <si>
    <t>195/26, wale bulding, budhwar peth, Solapur Postal/Zip Code: 413002 Taluka: Solapur(n)</t>
  </si>
  <si>
    <t>BALAJI WARD, Near Dr. Tumbade Hospital, BALLARPUR Postal/Zip Code: 442701 Taluka: Ballarpur</t>
  </si>
  <si>
    <t>Krishana Nagar, Seminary Hills Postal/Zip Code: 440006 Taluka: Nagpur</t>
  </si>
  <si>
    <t>Samarth Nagar Main Road, Rajapur Tal - Rajapur, Dist- Ratnagiri Postal/Zip Code: 416702 Taluka: Rajapur</t>
  </si>
  <si>
    <t>Station Road,Near Devgiri College,Padampura,Aurangabad Postal/Zip Code: 431005 Taluka: Aurangabad</t>
  </si>
  <si>
    <t>9, Mayanagar, N-2 Cidco, Near Deepali Hotel Postal/Zip Code: 431003 Taluka: Aurangabad</t>
  </si>
  <si>
    <t>Near SBI Bank, Athwadi Bazar, Main Road, Manwath Postal/Zip Code: 431505 Taluka: Manvat</t>
  </si>
  <si>
    <t>Police Head Quarter, Vishrambag, Sangli Postal/Zip Code: 416415 Taluka: Miraj</t>
  </si>
  <si>
    <t>3,Meghraj Shopping Center,Dhule Road, Near Bus Stand, Postal/Zip Code: 425401 Taluka: Amalner</t>
  </si>
  <si>
    <t>ACME institute, 2nd Floor ,Manikpur-Chulna Road, Vasai (w), Dist- Thane 401202 Postal/Zip Code: 401202 Taluka: Vasai</t>
  </si>
  <si>
    <t>SUKHADEVE NIWAS, Vidya Nagar, Wadsa Road, Bramhapuri Postal/Zip Code: 441206 Taluka: Brahmapuri</t>
  </si>
  <si>
    <t>158, Omkar Nagar ,Post Bhagwan Nagar, Nagpur Postal/Zip Code: 440027 Taluka: Nagpur</t>
  </si>
  <si>
    <t>Muslim Library Square, Bhhandara Postal/Zip Code: 441904 Taluka: Bhandara</t>
  </si>
  <si>
    <t>P.No.323 Baba Santosh Arcade Apatment No.Fs-4 Ganesh Nagar Chowk Ajamshah Layout Sd Hospital Road Sangam Talkties Nagpur Postal/Zip Code: 440009 Taluka: Nagpur</t>
  </si>
  <si>
    <t>Near Datta Mandir, opp.Bus Stand,Hinganghat Postal/Zip Code: 442301 Taluka: Hinganghat</t>
  </si>
  <si>
    <t>Near Parvati Nagar Bus Stand ,Nagpur Postal/Zip Code: 440027 Taluka: Nagpur</t>
  </si>
  <si>
    <t>8,Navkar Plaza ,Opp,KBH High School,Malegaon Camp Postal/Zip Code: 423105 Taluka: Malegaon</t>
  </si>
  <si>
    <t>Vitthal Park, (Commercial Building), Gangapur Road, Near Ashok Stambh, Nashik. Postal/Zip Code: 422001 Taluka: Nashik</t>
  </si>
  <si>
    <t>gajara bangla,shivkrupa housing society, T.C. college road ,Baramati,bhigawan Road Postal/Zip Code: 413102 Taluka: Baramati</t>
  </si>
  <si>
    <t>TURBO COMPUTER POINT 7,"GOURISHANKAR" NIWAS, OLD SUBHEDAR LAYOUT (EXTn). B/H SBI (SHARDA CHOWK), NAGPUR NAGPUR Postal/Zip Code: 440024 Taluka: Nagpur</t>
  </si>
  <si>
    <t>1st Floor, Above Samay Photo Studio, Golibar Chowk Postal/Zip Code: 440002 Taluka: Nagpur</t>
  </si>
  <si>
    <t>179, Gajanan Society, Dattawadi Postal/Zip Code: 441023 Taluka: Nagpur Rural</t>
  </si>
  <si>
    <t>Aptech Computer Education Opposite Zilla Parishad Akola Naka Road Washim 444505 Postal/Zip Code: 444505 Taluka: Washim</t>
  </si>
  <si>
    <t>Jain Plaza, Back Side Atithi Hotel, Above Bhairav Jwellers, Shivaji Chowk, Ambernath (E) Postal/Zip Code: 421501 Taluka: Ambarnath</t>
  </si>
  <si>
    <t>26, First Floor, Shahu Maharaj Complex, Court Road. Postal/Zip Code: 425001 Taluka: Jalgaon</t>
  </si>
  <si>
    <t>Near Sonali Deshmukh Hospital, Rukmini Nagar Post office Postal/Zip Code: 444606 Taluka: Amravati</t>
  </si>
  <si>
    <t>299, Kotnis House, Radhakrishna Ext., S.T. Stand Road, Sangli Postal/Zip Code: 416416 Taluka: Miraj</t>
  </si>
  <si>
    <t>102, 1st floor, Vasant Vishwanath Apartment, Nr. Wonder Collection, Post office lane, Tilak Chowk, Kalyan (West) Postal/Zip Code: 421301 Taluka: Kalyan</t>
  </si>
  <si>
    <t>SHO NO-24,Mahavir Plaza,Plot-11,Sec-5,OPP.HINDUSTHAN BANK Kalamboli. Postal/Zip Code: 410218 Taluka: Panvel</t>
  </si>
  <si>
    <t>Shop No. 2, Near RDC Bank, New Posari, Mohopada Postal/Zip Code: 410222 Taluka: Khalapur</t>
  </si>
  <si>
    <t>Siddhi Computers, 1/2, Jagannath Complex, Near S.T.Stand Postal/Zip Code: 415709 Taluka: Khed</t>
  </si>
  <si>
    <t>1st Floor, Shruti Apartment., Kelaskar Naka, Postal/Zip Code: 415712 Taluka: Dapoli</t>
  </si>
  <si>
    <t>Saraswati Coony, Near Nakshatra garden, Old Ausa Road Postal/Zip Code: 413531 Taluka: Latur</t>
  </si>
  <si>
    <t>C/O.Aptech Computer Education Bhandarkar Lay-Out By Pass Chowk , Girad Rd, Postal/Zip Code: 441203 Taluka: Umred</t>
  </si>
  <si>
    <t>8 Rajesh Smruti Near Sai Bazar Deccan Chowk. Tal; Phaltan, Dist: Satara. Postal/Zip Code: 415523 Taluka: Phaltan</t>
  </si>
  <si>
    <t>Captains Corner, IInd Floor, Bhadgaon Road, Postal/Zip Code: 424101 Taluka: Chalisgaon</t>
  </si>
  <si>
    <t>Shop no.14,Office no16,Neelkanth commercial complex,N.G.Acharya marg,Chembur,Mumbai Postal/Zip Code: 400071 Taluka: Kurla</t>
  </si>
  <si>
    <t>103,Nav-Niketan,1st floor,M.D.S.Marg,Mumbai-400071 Postal/Zip Code: 400071 Taluka: Kurla</t>
  </si>
  <si>
    <t>Main Road, Dhad, Tah Buldhana Dist-Buldhana Postal/Zip Code: 443106 Taluka: Buldhana</t>
  </si>
  <si>
    <t>Pathrud Road, Walwad Postal/Zip Code: 413504 Taluka: Bhoom</t>
  </si>
  <si>
    <t>Sarvodaya, Near Waje Lawns Postal/Zip Code: 422103 Taluka: Sinnar</t>
  </si>
  <si>
    <t>SHREE COMPUTER INSTITUTE, MORE BUILDING, NEAR VITTHAL MANDIR, DANGE CHOWK ROAD, HINJAWADI, Tehsil:- Mulshi. Postal/Zip Code: 411057 Taluka: Haveli</t>
  </si>
  <si>
    <t>ART INFOTECH COMPUTER EDUCATION RADHIKA APARTMENT, SHOP NO 6, GROUND FLOOR, NEAR ST. MARY'S SCHOOL, CHAKKI NAKA, KALYAN (E) - 421306 Postal/Zip Code: 421306 Taluka: Kalyan</t>
  </si>
  <si>
    <t>Oasis Computer Institute, In Front of Janata Boys School, Nagbhid Postal/Zip Code: 441205 Taluka: Nagbhid</t>
  </si>
  <si>
    <t>102,GAGANGIRI SANKUL,OPP.BUS STAND,AT/POST/TAL:DINDORI-422202. Postal/Zip Code: 422202 Taluka: Dindori</t>
  </si>
  <si>
    <t>8/1, Sai Sankul-A, Opp. Mayur Hospital, ITI Ambad Link Road, Kamatwada, Postal/Zip Code: 422010 Taluka: Nashik</t>
  </si>
  <si>
    <t>JAYOSTUTE COMPLEX, MAIN ROAD, BHAGUR Postal/Zip Code: 422502 Taluka: Nashik</t>
  </si>
  <si>
    <t>3rd Floor, Vardhman Complex, Near Chember of commerce Postal/Zip Code: 416416 Taluka: Miraj</t>
  </si>
  <si>
    <t>2nd floor,kure plaza,opp.konark pooram,kondhwa Khurd Postal/Zip Code: 411048 Taluka: Haveli</t>
  </si>
  <si>
    <t>Near Shubham Palace, Chaitanya Colony Square, Old Bye-Pass Road, Amravati Postal/Zip Code: 444606 Taluka: Amravati</t>
  </si>
  <si>
    <t>Ward No. 27,Kadrabad ,Near Misal Complex,infront of suryakant Tel Bhandar Kadrabad , Jalna Postal/Zip Code: 431203 Taluka: Jalna</t>
  </si>
  <si>
    <t>"Laxmi Niwas", Near Society, Postal/Zip Code: 445207 Taluka: Umarkhed</t>
  </si>
  <si>
    <t>Ashok nagar,Barshinaka, Beed Postal/Zip Code: 431122 Taluka: Beed</t>
  </si>
  <si>
    <t>Ram Mandir, Arya Chowk Postal/Zip Code: 413601 Taluka: Tulajapur</t>
  </si>
  <si>
    <t>Azad nager Old Pedagoan Road Postal/Zip Code: 431401 Taluka: Parbhani</t>
  </si>
  <si>
    <t>SHANTI SANKUL OPP MAHSOBA MANDIR DEOLALI GAON Postal/Zip Code: 422101 Taluka: Nashik</t>
  </si>
  <si>
    <t>Near Nursery Gate, Behind New Bus Stand , Sakoli Postal/Zip Code: 441802 Taluka: Sakoli</t>
  </si>
  <si>
    <t>Belwandi Bk. Postal/Zip Code: 413702 Taluka: Shrigonda</t>
  </si>
  <si>
    <t>Plot No -328/1, Upandra Nagar, Cidco Ambad Link Road, Nashik - 10 Postal/Zip Code: 422010 Taluka: Nashik</t>
  </si>
  <si>
    <t>Near R.A. College, Kata Road,Marge Complex,Washim Postal/Zip Code: 444505 Taluka: Washim</t>
  </si>
  <si>
    <t>Plot No. 309/A, Main Road, Yashwantnagar, Postal/Zip Code: 416416 Taluka: Miraj</t>
  </si>
  <si>
    <t>Main Road , Loni Postal/Zip Code: 444913 Taluka: Warud</t>
  </si>
  <si>
    <t>Near Gothi Medical, Main Road, Warora Postal/Zip Code: 442907 Taluka: Warora</t>
  </si>
  <si>
    <t>Near Ranuka temple, Bus Stand Road Postal/Zip Code: 431536 Taluka: Gangakhed</t>
  </si>
  <si>
    <t>C/o MANGESH ELECTRONIC, NEAR SHINDE COLLEGE, SANTAJI NAGAR, MAIN ROAD, BHADRAWATI Postal/Zip Code: 442902 Taluka: Bhadrawati</t>
  </si>
  <si>
    <t>Madhu-Mangal Society, Dindori Road, Nasik 4. Postal/Zip Code: 422004 Taluka: Nashik</t>
  </si>
  <si>
    <t>CYBER COMPUTER, N.COMPLEX,MAIN ROAD LOHA Postal/Zip Code: 431708 Taluka: Loha</t>
  </si>
  <si>
    <t>1259, "Hari Om Niwas" Shantinagar Nachane Road Ratnagiri. 415639 Postal/Zip Code: 415639 Taluka: Ratnagiri</t>
  </si>
  <si>
    <t>C/o Rajani Classes, Ranand Road, Behind Rammandir, A/T-Post Dahiwadi Tal: Man, Dist: Satara Postal/Zip Code: 415508 Taluka: Man</t>
  </si>
  <si>
    <t>Iqra Campus, P.A. Inamdar School, Govindpura, Ahmednagar Postal/Zip Code: 414001 Taluka: Ahmednagar</t>
  </si>
  <si>
    <t>Bhusawal road,Girija Colony,Jamner Postal/Zip Code: 424206 Taluka: Jamner</t>
  </si>
  <si>
    <t>Near Police Station Main Road Pishor Postal/Zip Code: 431104 Taluka: Kannad</t>
  </si>
  <si>
    <t>1st floor, Pasifund Shatimal Shangh, Rajgurunagar Postal/Zip Code: 416203 Taluka: Hatkanangale</t>
  </si>
  <si>
    <t>A/P- Deulgaon Raje(Aadmal),Daund Postal/Zip Code: 413801 Taluka: Daund</t>
  </si>
  <si>
    <t>Tilak Chowk behind Shani Mandir Dhamangaon Rly Postal/Zip Code: 444709 Taluka: Dhamangaon</t>
  </si>
  <si>
    <t>Loni Road, Ward No. 2, Lonar Tah Lonar Dist Buldhana Postal/Zip Code: 443302 Taluka: Lonar</t>
  </si>
  <si>
    <t>Sarswati Colony No. 2, In Front Of New High School, Takedgaon Road, Georai. Postal/Zip Code: 431127 Taluka: Georai</t>
  </si>
  <si>
    <t>34, 2nd Floor, Thakur Arcade, Opp. Virar Railway Station, Virar(W) Postal/Zip Code: 401303 Taluka: Vasai</t>
  </si>
  <si>
    <t>Sayba Shopping Center Office No. 12 &amp; 13 Second Floor New Mill Road Next to New Post office Kurla(w), Mumbai-400070. Postal/Zip Code: 400070 Taluka: Kurla</t>
  </si>
  <si>
    <t>Light pada, Near Ratnadeep Build., Satpati. Palghar Postal/Zip Code: 401405 Taluka: Palghar</t>
  </si>
  <si>
    <t>Taharabad Road, Near Hira Hardware, Dr.Nagraj Patil Building, 1st Floor, A/P Satana, Tal.Baglan, Dist.Nashik Pin-423301 Postal/Zip Code: 423301 Taluka: Baglan</t>
  </si>
  <si>
    <t>Vivid Sahakari Society, Narkhed Road, Sawargaon Postal/Zip Code: 441306 Taluka: Narkhed</t>
  </si>
  <si>
    <t>4, Krishna Charani, Near City-Care Hospital, Kathe Lane, Dwaka Postal/Zip Code: 422011 Taluka: Nashik</t>
  </si>
  <si>
    <t>Shop No. 202, Marwadi Tekdi Vibhag, Sangh No. 1, Near MD Decoraters, G. D. Ambekar Marg, Parel Villege Postal/Zip Code: 400012 Taluka: Mumbai</t>
  </si>
  <si>
    <t>Shahu Nagar Majalgaon Postal/Zip Code: 431131 Taluka: Majalgaon</t>
  </si>
  <si>
    <t>26, Shri Ram Mandir, Behind Varad Ganesh Mandir, Samarth Nagar, Aurangabad Postal/Zip Code: 431001 Taluka: Aurangabad</t>
  </si>
  <si>
    <t>Mauli Niwas Bhavani Nagar, Dongaon Road Lasur Station Postal/Zip Code: 423702 Taluka: Gangapur</t>
  </si>
  <si>
    <t>2'nd Floor, Tourist Complex, Nehru Chowk , Station Road . JALGAON Postal/Zip Code: 425001 Taluka: Jalgaon</t>
  </si>
  <si>
    <t>jyoti computer, new monda, Gangakhed Postal/Zip Code: 431514 Taluka: Gangakhed</t>
  </si>
  <si>
    <t>SHARDA NAGAR,BEHIND PATRI SCHOOL Postal/Zip Code: 425201 Taluka: Bhusawal</t>
  </si>
  <si>
    <t>SHOP NO-11,AMEYA APPARTMENT,V.N. PURAV MARG, NEAR TATANAGAR,SION-CHUNABHATTI, MUMBAI-400022 Postal/Zip Code: 400022 Taluka: Kurla</t>
  </si>
  <si>
    <t>Opp. St. Aloysius High School, Yawal Road, Postal/Zip Code: 425201 Taluka: Bhusawal</t>
  </si>
  <si>
    <t>Sahyadri Heights, Shop No 3 Postal/Zip Code: 410401 Taluka: Maval</t>
  </si>
  <si>
    <t>Chawbe pura, pani ke take ke pass, Balapur. Postal/Zip Code: 444302 Taluka: Balapur</t>
  </si>
  <si>
    <t>Near Kanya Vidyalaya, Kopargaon Postal/Zip Code: 423601 Taluka: Kopargaon</t>
  </si>
  <si>
    <t>Old Govt. Iti Mahajanwadi Hingna Road Postal/Zip Code: 441110 Taluka: Hingana</t>
  </si>
  <si>
    <t>3 PANCHAMUKHI APARTMENT, NETAJI SUBHASHCHANDRA MARG,OLD BELAPUR ROAD,KALWA - W THANE Postal/Zip Code: 400605 Taluka: Thane</t>
  </si>
  <si>
    <t>new mondha,gajanan mandir road,majalgaon Postal/Zip Code: 431131 Taluka: Majalgaon</t>
  </si>
  <si>
    <t>Shubam Apartment, First Floor,Karad Road, Verchi Peth, Kherdi. Postal/Zip Code: 415605 Taluka: Chiplun</t>
  </si>
  <si>
    <t>Plot. No.64, Sarswati Nagar, Near Govt. Rest House, Jamner Road, Bodwad, Pin. 425310 Postal/Zip Code: 425310 Taluka: Bodwad</t>
  </si>
  <si>
    <t>21-VYANKATESH APP., RAMKRUSHNANAGAR,KHAMLA,NAGPUR Postal/Zip Code: 440025 Taluka: Nagpur</t>
  </si>
  <si>
    <t>Shop No.4 Nandadeep Apt,DGP Nagar 2, Ambad, Nashik 10 Postal/Zip Code: 422010 Taluka: Nashik</t>
  </si>
  <si>
    <t>231/1842, Road No5, Motilal Nagar No 1, Postal/Zip Code: 400104 Taluka: Boriwali</t>
  </si>
  <si>
    <t>at/post:-asegaon Tq;-Gangapur Dist:-aurangabad Postal/Zip Code: 431133 Taluka: Gangapur</t>
  </si>
  <si>
    <t>Near Police Station, Gandhi Chowk, Kurha Postal/Zip Code: 444709 Taluka: Tivsa</t>
  </si>
  <si>
    <t>Dandvate Complex, Degloor Road Postal/Zip Code: 413517 Taluka: Udgeer</t>
  </si>
  <si>
    <t>Pimpalgaon road, Chousala Tehsil : Beed Postal/Zip Code: 431126 Taluka: Beed</t>
  </si>
  <si>
    <t>At.po. BIbi Main Road bibi Postal/Zip Code: 443202 Taluka: Lonar</t>
  </si>
  <si>
    <t>C-SECTOR, M-LINE, ROOM NO.3, CHEETA CAMP TROMBAY MUMBAI Postal/Zip Code: 400088 Taluka: Kurla</t>
  </si>
  <si>
    <t>At Post Gurukunj Ashram Postal/Zip Code: 444902 Taluka: Tivsa</t>
  </si>
  <si>
    <t>soudamini Arked, shop no 22, v n paras Postal/Zip Code: 444109 Taluka: Balapur</t>
  </si>
  <si>
    <t>House No. 620, In Front of Mahila Kendra, Postal/Zip Code: 413522 Taluka: Lohara</t>
  </si>
  <si>
    <t>220 2ndFloor, Balaji Shopping Center, Opp Platform No. 7, Gawadwadi, Nr. Shiv Mandir, Virar East. 401 303 Postal/Zip Code: 401303 Taluka: Vasai</t>
  </si>
  <si>
    <t>1st Floor , Bashir Peshkar Building , In front of Shri Krishna Vidyalaya , Baher Peth , At.Post Gunjoti. Postal/Zip Code: 413606 Taluka: Omarga</t>
  </si>
  <si>
    <t>LOTUS COMPUTERS TSF 4-1/2, NEAR JANALAXMI BANK, NTPS EKLAHARE COLONY Postal/Zip Code: 422105 Taluka: Nashik</t>
  </si>
  <si>
    <t>C/O Shri Babaraoji Thakre Complex, Nr. N.P.Scholl No. 5, Nandepera Road, Wani Postal/Zip Code: 445304 Taluka: Vani</t>
  </si>
  <si>
    <t>11, KAYPEE HERITAGE, PLOT NO.41, SEC-7 OPP. NANDA ELECTRONICS KOPARKHAIRNE Postal/Zip Code: 400709 Taluka: Thane</t>
  </si>
  <si>
    <t>Disha Computers A/p Nira, Nira-Baramati Road, Near Kalyani Hardware Postal/Zip Code: 412102 Taluka: Purandar</t>
  </si>
  <si>
    <t>C/o. NanakSeth Agrawal's Building,Infront of Saw Mill, Main Road,Telhara Postal/Zip Code: 444108 Taluka: Telhara</t>
  </si>
  <si>
    <t>Near Malviya Guest House, Holi Chowk,Dharni Postal/Zip Code: 444702 Taluka: Dharani</t>
  </si>
  <si>
    <t>Hasnabad Taluka Bhokardan Postal/Zip Code: 431135 Taluka: Bhokardan</t>
  </si>
  <si>
    <t>Shop No.5, Above Staylo Tailor, Opp. Sadguru Millenium Tower, Devipada, Borivali (East), Mumbai 400066 Postal/Zip Code: 400066 Taluka: Boriwali</t>
  </si>
  <si>
    <t>Shop No.26, D.M.S. complex, Opp. Krishna Hospital.Malkapur Tal: Karad, Dist: Satara Postal/Zip Code: 415539 Taluka: Karad</t>
  </si>
  <si>
    <t>Vivekanand Chowk, Near Kolpuke Hospital, Channagire Niwas, Nath Nagar Postal/Zip Code: 413512 Taluka: Latur</t>
  </si>
  <si>
    <t>2nd Floor, Bank of Maharashtra, Nanded Road, Shahu Chowk Postal/Zip Code: 413512 Taluka: Latur</t>
  </si>
  <si>
    <t>Wadgalli Near Jabreshwar Temple Postal/Zip Code: 431401 Taluka: Parbhani</t>
  </si>
  <si>
    <t>Old Cloth line, near Marathawada Gramin Bank kinwat Postal/Zip Code: 431804 Taluka: Kinvat</t>
  </si>
  <si>
    <t>3, Shripatrao Kadam Yatri Bhavan,Opp. KBP College Postal/Zip Code: 413304 Taluka: Pandharpur</t>
  </si>
  <si>
    <t>Mahaveer Chowk Opposit Khiloshiya Bhavan Postal/Zip Code: 444303 Taluka: Khamgaon</t>
  </si>
  <si>
    <t>Om colony near Dr.Dahane's clinic behind Circuit house camp Postal/Zip Code: 444602 Taluka: Amravati</t>
  </si>
  <si>
    <t>Plot no 19 Ramjidas Nagar near Pooja complex ,Gaurakshan Road Akola Postal/Zip Code: 444004 Taluka: Akola</t>
  </si>
  <si>
    <t>samta nagar, near bhartiya dhyanpith school, MURTIZAPUR Postal/Zip Code: 444107 Taluka: Murtijapur</t>
  </si>
  <si>
    <t>Near Nagreshwar Mandir , Rekhawar Building Postal/Zip Code: 431717 Taluka: Deglur</t>
  </si>
  <si>
    <t>Joshiwada, Nr. Chintamani Kartyalaya, Behind Gurudwara, Manmad Postal/Zip Code: 423104 Taluka: Nandgaon</t>
  </si>
  <si>
    <t>SHOP NO. 4, RAJANIGANDHA APT, NEAR OLD POST OFFICE Postal/Zip Code: 410206 Taluka: Panvel</t>
  </si>
  <si>
    <t>Above Amol Elec tronics, In Front Of Panchayat Samiti, Motala Tah Motala Dist Buldhana Postal/Zip Code: 443103 Taluka: Motala</t>
  </si>
  <si>
    <t>Opp.ZP.Primary School,At Post, Gondegaon Postal/Zip Code: 431150 Taluka: Soygaon</t>
  </si>
  <si>
    <t>Shop No. 2, Suchak Apt, Near Poornima Bus Stop, Murbad Road, Kalyan (w) Postal/Zip Code: 421301 Taluka: Kalyan</t>
  </si>
  <si>
    <t>N41VB/1/12/16, SAVATA NAGAR,KANHIYA CHOWK,CIDCO NASHIK-8 Postal/Zip Code: 422008 Taluka: Nashik</t>
  </si>
  <si>
    <t>Shafik Complex Near Bus Stand NH-9 Road Naldurg Postal/Zip Code: 413602 Taluka: Tulajapur</t>
  </si>
  <si>
    <t>a/p.uruli kanchan,chakrdhar complex, Postal/Zip Code: 412202 Taluka: Haveli</t>
  </si>
  <si>
    <t>315/1B Shrikant Nagar, Pharmacy College Road, Twin Solapur Postal/Zip Code: 413004 Taluka: Solapur(n)</t>
  </si>
  <si>
    <t>M.G.College Road Postal/Zip Code: 413515 Taluka: Ahmadpur</t>
  </si>
  <si>
    <t>3,4 White House Lasalgaon Postal/Zip Code: 422306 Taluka: Niphad</t>
  </si>
  <si>
    <t>At/po:-vidya Nagar Postal/Zip Code: 423102 Taluka: Deola</t>
  </si>
  <si>
    <t>Ambedkar Chowk, Near MHADA Colony, Shahapur Postal/Zip Code: 416121 Taluka: Hatkanangale</t>
  </si>
  <si>
    <t>Cirsus Maidan, Jirapure Nagar, Arni, Road, Darwha Postal/Zip Code: 445202 Taluka: Darva</t>
  </si>
  <si>
    <t>Ujjwal Computer, Front of college Gate, Chalisgaon Road, Kannad Tal. Kannad Dist. Aurangabad Postal/Zip Code: 431103 Taluka: Kannad</t>
  </si>
  <si>
    <t>Kumbhar Complex, Vinayak Nagar. Postal/Zip Code: 431602 Taluka: Nanded</t>
  </si>
  <si>
    <t>SHOP NO.1 &amp; 2 SAMIDHA APT. OPP. DANDIYA GROUND, Near Samrat Sweets, Rajivnagar, NASHIK Postal/Zip Code: 422009 Taluka: Nashik</t>
  </si>
  <si>
    <t>Golibar Chowk, Jain Mandir RD,Darwha Postal/Zip Code: 445202 Taluka: Darva</t>
  </si>
  <si>
    <t>At\PO-Kandur Postal/Zip Code: 415408 Taluka: Shirala</t>
  </si>
  <si>
    <t>Near Bhoiwada, SAVDA Postal/Zip Code: 425502 Taluka: Raver</t>
  </si>
  <si>
    <t>Om Computer Bharadi Shree S.B.HighSchool Bharadi . Postal/Zip Code: 431113 Taluka: Sillod</t>
  </si>
  <si>
    <t>Below Bank of Maharashtra, Depo Road,Vaijapur - 423701 Dist Aurangabad Postal/Zip Code: 423701 Taluka: Vaijapur</t>
  </si>
  <si>
    <t>MAZDOOR MANZIL, G.D. AMBEKAR MARG, BHOIWADA, PAREL Postal/Zip Code: 400012 Taluka: Mumbai</t>
  </si>
  <si>
    <t>Teli Galli Postal/Zip Code: 422211 Taluka: Surgana</t>
  </si>
  <si>
    <t>SHIVTEJ HOS. SOC., BASMENT, MAHALXMI ROAD, MAIN ROAD, ADGOAN, NASHIK 3 Postal/Zip Code: 422003 Taluka: Nashik</t>
  </si>
  <si>
    <t>Near Gurukrupa Classes, Renuka Complex Postal/Zip Code: 423101 Taluka: Chandwad</t>
  </si>
  <si>
    <t>Basement, Pitruchaya Apartment, Ghankar Lane, Raviwar Peth, Nashik Postal/Zip Code: 422001 Taluka: Nashik</t>
  </si>
  <si>
    <t>Behind Rural Hospital,Lonari Nagar,Kopargaon Road,Yeola. Postal/Zip Code: 423401 Taluka: Yeole</t>
  </si>
  <si>
    <t>Kranti Chowk A/P Upale (M) Postal/Zip Code: 413501 Taluka: Osmanabad</t>
  </si>
  <si>
    <t>Maniyar Galli,Chowk Bazaar. Postal/Zip Code: 431604 Taluka: Nanded</t>
  </si>
  <si>
    <t>RANE WADI, HANUMAN NAGAR, MALAD(E) M-97 Postal/Zip Code: 400097 Taluka: Boriwali</t>
  </si>
  <si>
    <t>Near JeevanJyoti Hospital, Opp. Grampanchayat office, kumbhargaon Road, Talmavale. Tal: Patan, Dist: Satara Postal/Zip Code: 415103 Taluka: Patan</t>
  </si>
  <si>
    <t>Palki Maidan Road Natepute, Postal/Zip Code: 413109 Taluka: Malshiras</t>
  </si>
  <si>
    <t>Sai Ganesh Sankul, Opp. Laxmi Hostel, Narhe Road, Dhayari, Pune - 411041 Postal/Zip Code: 411041 Taluka: Haveli</t>
  </si>
  <si>
    <t>Shop No 21, Plot No - 69, Minakshi Tower, Sector - 16A, Nerul (W) Postal/Zip Code: 400706 Taluka: Thane</t>
  </si>
  <si>
    <t>Mane Chembers, Shivaji Chowk Postal/Zip Code: 413531 Taluka: Latur</t>
  </si>
  <si>
    <t>New Gajanan Maharaj Mandir,New Manisha Nagar, Baiturkar Pada, Kalyan (w). Near Mohindersingh Kabalsingh school &amp; Near Godavari Sankul. Postal/Zip Code: 421301 Taluka: Kalyan</t>
  </si>
  <si>
    <t>75, Shukrawar Peth, Bhande Galli, Solapur. Postal/Zip Code: 413002 Taluka: Solapur(n)</t>
  </si>
  <si>
    <t>KSK COLLEGE ROAD DATTA NAGAR CHOWK, BEED-431122 Postal/Zip Code: 431122 Taluka: Beed</t>
  </si>
  <si>
    <t>SUDARSHAN COLONY, TEMBLAIWADI Postal/Zip Code: 416005 Taluka: Karveer</t>
  </si>
  <si>
    <t>530/B/3/5,Rohan Heights,Near Pendharkar Hospital,Science College Road,Sadarbazar, Satara. Tal: Satara, Dist: Satara Postal/Zip Code: 415001 Taluka: Satara</t>
  </si>
  <si>
    <t>A/p Shivajinagar, Tal- Karmala Postal/Zip Code: 413203 Taluka: Karmala</t>
  </si>
  <si>
    <t>Gramsachivalay Building, Ground Floor, Taradgaon. Tal: Phaltan, Dist: Satara Postal/Zip Code: 415528 Taluka: Phaltan</t>
  </si>
  <si>
    <t>Takkar chowk Postal/Zip Code: 444806 Taluka: Achalpur</t>
  </si>
  <si>
    <t>New Bus Stand, Taharabad Postal/Zip Code: 423302 Taluka: Baglan</t>
  </si>
  <si>
    <t>SHOP NO 6 PATILCOMPLEX, SR NO 37/A1. BULD. NO 3. AUNDH ROAD Postal/Zip Code: 411003 Taluka: Haveli</t>
  </si>
  <si>
    <t>LOTUS COMPUTER ACADEMY HUDCO Postal/Zip Code: 431603 Taluka: Nanded</t>
  </si>
  <si>
    <t>Front of HP Petrol Pump, Nathuram Lane, Nampur Postal/Zip Code: 423204 Taluka: Baglan</t>
  </si>
  <si>
    <t>Near Dnyaneshwar Madir, Bajoriya Nagar, Yavatmal Postal/Zip Code: 445001 Taluka: Yavatmal</t>
  </si>
  <si>
    <t>Shivaji Chowk, Near Sahakar Maharshi Complex, Postal/Zip Code: 413510 Taluka: Latur</t>
  </si>
  <si>
    <t>YASH COMPUTERS NEAR SIDDHIVINAYAK GANESH MANDIR , MAIN ROAD , KURUNDA Postal/Zip Code: 431525 Taluka: Basamat</t>
  </si>
  <si>
    <t>Office No.4, First Floor, Chitralekha Chambers, Above Hotel Harsh, Near Sony Showroom, Ideal Colony Bus Stop, Paud Road,Kothrud - Pune-38 Postal/Zip Code: 411038 Taluka: Haveli</t>
  </si>
  <si>
    <t>Naik nagar road, Anand Nagar, Nanded Postal/Zip Code: 431605 Taluka: Nanded</t>
  </si>
  <si>
    <t>At &amp; Post-Manor Fahim Apt., Gala no-7, near manor post Office, Tal-Palghar, Dist-Thane, Pin code-401403. Postal/Zip Code: 401403 Taluka: Palghar</t>
  </si>
  <si>
    <t>"Vijayashree" Complex, 1st. fl., Bazarpeth, Khed. Postal/Zip Code: 415709 Taluka: Khed</t>
  </si>
  <si>
    <t>Nighoj Postal/Zip Code: 414306 Taluka: Parner</t>
  </si>
  <si>
    <t>Shubham Computers Dhanora Road Beed Postal/Zip Code: 431122 Taluka: Beed</t>
  </si>
  <si>
    <t>B-10, Ward G, Second Floor Vasant Plaza,Gandhi Chowk, Sawantwadi Postal/Zip Code: 416510 Taluka: Savantwadi</t>
  </si>
  <si>
    <t>Vitthal Nagar, Mothi Umri, Akola Postal/Zip Code: 444005 Taluka: Akola</t>
  </si>
  <si>
    <t>At-Shop no.4/6, Janki Plaza, Near Kharbanda Park, Nshik Pune road, Dwarka. Postal/Zip Code: 422011 Taluka: Nashik</t>
  </si>
  <si>
    <t>1/NEW SHIVAJI NAGAR, JAI BHAVANI MATA MARG, AMBOLI HILL, NEAR MAKAD PADA. Postal/Zip Code: 400058 Taluka: Andheri</t>
  </si>
  <si>
    <t>1, Kiran Appartment, Gangotri Vihar, Amrut Dham, Panchavati Postal/Zip Code: 422003 Taluka: Nashik</t>
  </si>
  <si>
    <t>Gangapur road Postal/Zip Code: 423701 Taluka: Vaijapur</t>
  </si>
  <si>
    <t>NUTAN ADARSHA COLONY, NEAR BUS STAND, CHIMUR Postal/Zip Code: 442903 Taluka: Chimur</t>
  </si>
  <si>
    <t>Tilak Road, Bhatia Lane, Vaijapur Postal/Zip Code: 423701 Taluka: Vaijapur</t>
  </si>
  <si>
    <t>814/1, 1st Floor Nilanjan Tower, Near Bank of Maharashtra, opp. Kaswa Complex, Wada Road, Rajgurunagar Postal/Zip Code: 410505 Taluka: Khed</t>
  </si>
  <si>
    <t>INFRONT SAHYOG MANGAL KARYALAYA, BASMATH ROAD, PARBHANI Postal/Zip Code: 431401 Taluka: Parbhani</t>
  </si>
  <si>
    <t>PACE COMPUTER Opp. Post Officei, Warora Postal/Zip Code: 442907 Taluka: Warora</t>
  </si>
  <si>
    <t>Shahaji Nagar, Opp.SBH Bank Nanded. Postal/Zip Code: 431605 Taluka: Nanded</t>
  </si>
  <si>
    <t>Hake Complex, Opp New Bus Stand Postal/Zip Code: 413513 Taluka: Chakur</t>
  </si>
  <si>
    <t>Plot No. 43, Sector No. 21, Near Maharashtra Bank of Maharashtra, Opp Aarti Society, Yamunanagar, Nigdi Postal/Zip Code: 411044 Taluka: Haveli</t>
  </si>
  <si>
    <t>Near S.T. Stand Wathar. Tal: Katad, Dist: Satara. Postal/Zip Code: 415539 Taluka: Karad</t>
  </si>
  <si>
    <t>At.Post.Ankushnagar Tq.Ambad Dist.Jalna Postal/Zip Code: 431212 Taluka: Ambad</t>
  </si>
  <si>
    <t>Muktangan, Sarwajanik Wachanalaya, A/p-Bhausaheb Nagar, Tal-Niphad, Dist-Nashik (NSSK) Postal/Zip Code: 422301 Taluka: Niphad</t>
  </si>
  <si>
    <t>Sharda Nagar,Jalna Beed Road, Ambad Postal/Zip Code: 431204 Taluka: Ambad</t>
  </si>
  <si>
    <t>Shivaji Chowk, Tandulja Postal/Zip Code: 413511 Taluka: Latur</t>
  </si>
  <si>
    <t>OMKAR PLAZA , 2ND FLOOR ,ABOVE SIDDHART BOOK STALL, NEAR BANK OF MAHARASHTRA,NAGAR ROAD AT/PO:-ALEPHATA TAL:-JUNNAR DIST:-PUNE PIN:-412411 Postal/Zip Code: 412411 Taluka: Junnar</t>
  </si>
  <si>
    <t>Main Road, Opp. Govt Rest House, Postal/Zip Code: 413510 Taluka: Latur</t>
  </si>
  <si>
    <t>A/P-Ralegan siddhi Postal/Zip Code: 414302 Taluka: Parner</t>
  </si>
  <si>
    <t>At Po Sonala Tah Sangrampur Dist Buldhana Postal/Zip Code: 444204 Taluka: Sangrampur</t>
  </si>
  <si>
    <t>At Post: Chandori Tal: Niphad,Chandori Postal/Zip Code: 422201 Taluka: Niphad</t>
  </si>
  <si>
    <t>S-6, Rajavi Enclave New Pandit Colony, Nashik Postal/Zip Code: 422002 Taluka: Nashik</t>
  </si>
  <si>
    <t>Ekata Nagar,Near Vivekanand Colony,Opposite Fatima Convent, Amravati Road. Postal/Zip Code: 444805 Taluka: Achalpur</t>
  </si>
  <si>
    <t>Aparna Villa, Nr. Nutan Vidyalaya, Opp SuperFast food, Karnik Road, Kalyan (W) Postal/Zip Code: 421301 Taluka: Kalyan</t>
  </si>
  <si>
    <t>A/P KODOLI Postal/Zip Code: 416114 Taluka: Panhala</t>
  </si>
  <si>
    <t>At Post Jarud Postal/Zip Code: 444908 Taluka: Warud</t>
  </si>
  <si>
    <t>A/p- Bhigwan Postal/Zip Code: 413130 Taluka: Indapur</t>
  </si>
  <si>
    <t>Sanganika, Vidya Prabhodini Prashala School Campus, Dr. B.S. Moonje Marg, Near College Road, Rambhoomi, Nashik Postal/Zip Code: 422005 Taluka: Nashik</t>
  </si>
  <si>
    <t>3rd Floor,Above Sagar Medical,Main Bazar,Karjat. Postal/Zip Code: 414402 Taluka: Karjat</t>
  </si>
  <si>
    <t>GOLD CRAFT SOC., FLAT NO 12, VISHRANT WADI ALANDI ROAD PUNE 15 Postal/Zip Code: 411015 Taluka: Haveli</t>
  </si>
  <si>
    <t>20, SHRIRAM NAGAR, Shegaon Tah Shegaon Dist Buldhana Postal/Zip Code: 444203 Taluka: Shegaon</t>
  </si>
  <si>
    <t>Shop No. 833, Building No. 26, P.M.G.P. Colony Postal/Zip Code: 400043 Taluka: Kurla</t>
  </si>
  <si>
    <t>Main Road, Babhalgaon Postal/Zip Code: 413512 Taluka: Latur</t>
  </si>
  <si>
    <t>Nilanga Road Postal/Zip Code: 413519 Taluka: Deoni</t>
  </si>
  <si>
    <t>Global Computer Training Academy, Opp Giri Hospital,Adarsh Nager, Beed Postal/Zip Code: 431122 Taluka: Beed</t>
  </si>
  <si>
    <t>Market Chowk, Shivaji Peth, Radhanagari Postal/Zip Code: 416212 Taluka: Radhanagari</t>
  </si>
  <si>
    <t>Shop No. B-7, Gagangiri Sankul, Opp Kate Petrol Pump, Dapodi, Pune 6 Postal/Zip Code: 411006 Taluka: Haveli</t>
  </si>
  <si>
    <t>L-8, KASLIWAL MARKET, N-2, CIDCO, NEAR SOHAM MOTORS Postal/Zip Code: 431006 Taluka: Aurangabad</t>
  </si>
  <si>
    <t>SAWALI NIWAS , SAMTANAGAR Postal/Zip Code: 431109 Taluka: Gangapur</t>
  </si>
  <si>
    <t>A/P:- Nimgaon Ketki, Postal/Zip Code: 413120 Taluka: Indapur</t>
  </si>
  <si>
    <t>MAMTA COLONY Postal/Zip Code: 431401 Taluka: Parbhani</t>
  </si>
  <si>
    <t>OPP' POLICE STATION. Postal/Zip Code: 445102 Taluka: Ner</t>
  </si>
  <si>
    <t>Infront of People college, Timbar market, Bhusawal Postal/Zip Code: 425201 Taluka: Bhusawal</t>
  </si>
  <si>
    <t>A/p - Kolpewadi Postal/Zip Code: 423602 Taluka: Kopargaon</t>
  </si>
  <si>
    <t>41,42, Vaibhav Complex, Irani Road, Dahanu Road, Dahanu Postal/Zip Code: 401602 Taluka: Dahanu</t>
  </si>
  <si>
    <t>1b/92 , Gajanan Chhaya, Ground Floor , V. N. Purav Marg , Chunabhatti Postal/Zip Code: 400022 Taluka: Kurla</t>
  </si>
  <si>
    <t>2, SANTKRIPA ROW HOUSES, S. NO. 909/2, ICHHAMANI NAGAR, OPP. POLICE QUARTER, PATHARDI ROAD, NASHIK Postal/Zip Code: 422009 Taluka: Nashik</t>
  </si>
  <si>
    <t>Satish Shopping complex, Shop No.24,25 first floor, Howson road, Deolali Camp Nashik Postal/Zip Code: 422401 Taluka: Nashik</t>
  </si>
  <si>
    <t>shop no.24,Laxmi Darshan Tower,Chehadi Shiv,Nashik Road Postal/Zip Code: 422101 Taluka: Nashik</t>
  </si>
  <si>
    <t>S.B.I ROAD, NEAR SAI HOSPITAL Postal/Zip Code: 445001 Taluka: Yavatmal</t>
  </si>
  <si>
    <t>At. post. - Penur, Tal. - Mohol Postal/Zip Code: 413248 Taluka: Mohol</t>
  </si>
  <si>
    <t>Near Shiv mahadev Mandir,c/o Namrata Kirana stores, Vidyanagar Postal/Zip Code: 431515 Taluka: Parali</t>
  </si>
  <si>
    <t>C/o Alkatai Ashokrao Sunderkar, Nangliya Nagar, Pralhadpur Shirajgaon Band Postal/Zip Code: 444704 Taluka: Chandur bazar</t>
  </si>
  <si>
    <t>Pat-Mhapan Titha, At-Post- Pat, Tal-Kudal, Dist-Sindhudurg Postal/Zip Code: 416522 Taluka: Kudal</t>
  </si>
  <si>
    <t>At Post : Kardi Tah. Mohadi Dist : Bhandara Postal/Zip Code: 441917 Taluka: Mohadi</t>
  </si>
  <si>
    <t>26 Mantri Chandak Vihar, Aasra Chowk, Hotgi Road, Postal/Zip Code: 413003 Taluka: Solapur(n)</t>
  </si>
  <si>
    <t>GRAMPANCHAYAT GALA NO-6 , NEAR GRAMPANCHAYAT OFFICE ,AT/PO-NEWASA Postal/Zip Code: 414603 Taluka: Nevasa</t>
  </si>
  <si>
    <t>Patil Market, Lahan Umari, Road, Akola. Postal/Zip Code: 444001 Taluka: Akola</t>
  </si>
  <si>
    <t>Opp. Court Behind Hirwe Xerox, Main Road Postal/Zip Code: 413606 Taluka: Omarga</t>
  </si>
  <si>
    <t>shop no 7, krishna kamal app,opp shubham park,ambad link road uttam nagar, cidco nashik Postal/Zip Code: 422009 Taluka: Nashik</t>
  </si>
  <si>
    <t>Sahayog Chambers, Srinagar Main Road, Kailashnagar, Nanded. 431 605 Postal/Zip Code: 431605 Taluka: Nanded</t>
  </si>
  <si>
    <t>Above SBI, Mahajan Complex, Mondha Road, Shivaji Chowk Postal/Zip Code: 413517 Taluka: Udgeer</t>
  </si>
  <si>
    <t>Vidya Computer Institute,Khanapur .Ta.Haveli Dist: Pune-411042 Postal/Zip Code: 411042 Taluka: Haveli</t>
  </si>
  <si>
    <t>VPM's Institute of Professional Studies (Regd) Mithagar Road, Mulund East Postal/Zip Code: 400081 Taluka: Kurla</t>
  </si>
  <si>
    <t>Gramvikas Society Building, 1st Floor, Kalamb Postal/Zip Code: 410515 Taluka: Ambegaon</t>
  </si>
  <si>
    <t>106 'B' Wing Lokmat Complex, Ramdaspeth, Nagpur. Postal/Zip Code: 440012 Taluka: Nagpur</t>
  </si>
  <si>
    <t>SHOP NO.11&amp; 3 DREAM SANKUL &amp; RAJ LAXMI APPT., BEHIND DESHMUKH BHAVAN, CHANDRESHWAR NAGAR, OLD-SAI KHEDA ROAD, JAIL ROAD, NASIK ROAD. Postal/Zip Code: 422101 Taluka: Nashik</t>
  </si>
  <si>
    <t>Ganpati Galli,Badnapur Postal/Zip Code: 431202 Taluka: Badnapur</t>
  </si>
  <si>
    <t>C/O D.B.R.K. Highschool, Nr. Ganesh Temple, R. K. Nagar Pachgaon- 416013 Postal/Zip Code: 416013 Taluka: Karveer</t>
  </si>
  <si>
    <t>Shop No. 2, Sai Tower, Near R. J. Thakur College, Mahatma Phule Nagar, Thane (w) 400606 Postal/Zip Code: 400606 Taluka: Thane</t>
  </si>
  <si>
    <t>Jain Lane, Near Nagar Arban Bank, Shevgaon. Postal/Zip Code: 414502 Taluka: Shevgaon</t>
  </si>
  <si>
    <t>A/p Palsap Postal/Zip Code: 413509 Taluka: Osmanabad</t>
  </si>
  <si>
    <t>24/740, Ground Floor, Bh. Datta Mandir, Vartak Nagar, Thane (W) Postal/Zip Code: 400606 Taluka: Thane</t>
  </si>
  <si>
    <t>49, Gorle Layout, Second Bus Stop, Gopal Nagar, Nagpur Postal/Zip Code: 440022 Taluka: Nagpur</t>
  </si>
  <si>
    <t>6913, Lonar Lane, Telikhunt, Ahmednagar Postal/Zip Code: 414001 Taluka: Ahmednagar</t>
  </si>
  <si>
    <t>Karad - Tasgaon, Main Road,Takari Postal/Zip Code: 415313 Taluka: Walva</t>
  </si>
  <si>
    <t>NEAR PVP COLLAGE VIDYANAGAR Postal/Zip Code: 416405 Taluka: Kavathe Mahakal</t>
  </si>
  <si>
    <t>Opposite Sanskratik Sabhagrah Main Road Postal/Zip Code: 413520 Taluka: Ausa</t>
  </si>
  <si>
    <t>Sangli-Kolhapur road , Udgoan Postal/Zip Code: 416134 Taluka: Shirol</t>
  </si>
  <si>
    <t>Near Balak Mandir School Bhaji Mandi Road Jintur Postal/Zip Code: 431509 Taluka: Jintur</t>
  </si>
  <si>
    <t>microbace computer education laxmibai shopping complex opp.bus stand saralgaon Postal/Zip Code: 421401 Taluka: Murbad</t>
  </si>
  <si>
    <t>Hashmji Premji Shoping Complex, Station road, amalner Postal/Zip Code: 425401 Taluka: Amalner</t>
  </si>
  <si>
    <t>N-10, M-1/10/4, Maharana Pratap Chowk, New Cidco, Nashik-422009 Postal/Zip Code: 422009 Taluka: Nashik</t>
  </si>
  <si>
    <t>Chaitnya Computer ,Shivanjali Nager,Opp-RTO,Peth Road,NAshik-4 Postal/Zip Code: 422004 Taluka: Nashik</t>
  </si>
  <si>
    <t>OPP POLICE CHAWKI BABA SETH COMPLEX, DEGLOOR NAKA CHAURASTA, Postal/Zip Code: 431604 Taluka: Nanded</t>
  </si>
  <si>
    <t>1,2, Sai Anand Sankul, Behind Sanjay Medical, Bytco Point, Nashik Road - 422101 Postal/Zip Code: 422101 Taluka: Nashik</t>
  </si>
  <si>
    <t>IN FRONT OF SAHU HOSPITAL GAJANAN NAGAR, ARVI ROAD , PIPRI(M),WARDHA Postal/Zip Code: 442001 Taluka: Wardha</t>
  </si>
  <si>
    <t>Guruprasad Computers,Near Benale Bakery, Dattawad Postal/Zip Code: 416107 Taluka: Shirol</t>
  </si>
  <si>
    <t>Plot No 13, Om Shanti Nagar, Bazaar Road, Pimprala Postal/Zip Code: 425001 Taluka: Jalgaon</t>
  </si>
  <si>
    <t>Gurukrupa Computer Education Center Postal/Zip Code: 431605 Taluka: Nanded</t>
  </si>
  <si>
    <t>A/P- SARAWADE, TAL- RADHANAGARI, DIST- KOLHAPUR, 416228 Postal/Zip Code: 416212 Taluka: Radhanagari</t>
  </si>
  <si>
    <t>JAWHAR SCHOOL ROAD, KHAIRI PLOT, JINTUR Postal/Zip Code: 431509 Taluka: Jintur</t>
  </si>
  <si>
    <t>1692, Datta Nagar, Opp.Police Head Quarter, Solapur Postal/Zip Code: 413005 Taluka: Solapur(n)</t>
  </si>
  <si>
    <t>Castle infotech, Bakle Kindergarten, Near DSP Office, Vasmat Road , Parbhani Postal/Zip Code: 431401 Taluka: Parbhani</t>
  </si>
  <si>
    <t>REVDANDA (BAZAR PETH) NEAR REVDANDA HIGHSCHOOL, Postal/Zip Code: 402202 Taluka: Alibag</t>
  </si>
  <si>
    <t>V.S.Khandekar School Sahakarnagar Part 1 Postal/Zip Code: 411009 Taluka: Haveli</t>
  </si>
  <si>
    <t>Kajve Building, Sarud Road, Bambawade Postal/Zip Code: 416213 Taluka: Shahuwadi</t>
  </si>
  <si>
    <t>Bus Stand Asalgaon (Bazar) Tah Jalgaon Jamod Dist Buldhana Postal/Zip Code: 443402 Taluka: Jalagaon</t>
  </si>
  <si>
    <t>A/P 173/9 near pravin ptrol pump Ujalaiwadi kolhapur Postal/Zip Code: 416004 Taluka: Karveer</t>
  </si>
  <si>
    <t>nr annapurnat mangal karyalay nr sane guruji school ganesh colony amalner Postal/Zip Code: 425401 Taluka: Amalner</t>
  </si>
  <si>
    <t>SHARP COMPUTER LABOUR COLONY,NEAR JANI BHAI BUILDING NANDED Postal/Zip Code: 431602 Taluka: Nanded</t>
  </si>
  <si>
    <t>Shop No 3, Yesh Heights, Govind Nagar, Postal/Zip Code: 422009 Taluka: Nashik</t>
  </si>
  <si>
    <t>DYNAGANGA COMPUTER ACADEMY SONKHED Postal/Zip Code: 431725 Taluka: Loha</t>
  </si>
  <si>
    <t>RS. No. 843, Pl. No. 81, Akkatai Mane Nagar, Near Sai Mandir, Kalamba Road, Kolhapur Postal/Zip Code: 416007 Taluka: Karveer</t>
  </si>
  <si>
    <t>Adarsh Nagar, DIC Road, Near Niraj Gas Agency Postal/Zip Code: 413501 Taluka: Osmanabad</t>
  </si>
  <si>
    <t>at, Post :- Dabh,Pahur Postal/Zip Code: 445101 Taluka: Babulgaon</t>
  </si>
  <si>
    <t>Aregaon Road, Gajanan Maharaj Mandira Mage Dongaon Tah Mehekar Dist Buldhana Postal/Zip Code: 443303 Taluka: Mehekar</t>
  </si>
  <si>
    <t>Rajarshi Shahu Arts &amp; Commerce College, Rukadi Postal/Zip Code: 416118 Taluka: Hatkanangale</t>
  </si>
  <si>
    <t>At Post Mohadi, Tal. - Dindori Postal/Zip Code: 422206 Taluka: Dindori</t>
  </si>
  <si>
    <t>Near Rajasthani Bhavan, Dr. Radhakrishnan Ward, Infront of Vilasini Color Lab Postal/Zip Code: 441904 Taluka: Bhandara</t>
  </si>
  <si>
    <t>Bhadule chouk, Navi Peth, Pandharpur Postal/Zip Code: 413304 Taluka: Pandharpur</t>
  </si>
  <si>
    <t>NEAR POST OFFICE,BHAVANI PETH,JANORI Postal/Zip Code: 422206 Taluka: Dindori</t>
  </si>
  <si>
    <t>Shop No. CLH-155, S.G.Barve Road, Nehru Nagar, Kurla (E), Mumbai-400024 Postal/Zip Code: 400024 Taluka: Kurla</t>
  </si>
  <si>
    <t>Near Jalna Co-oprative Bank sai hospital Ranjani Postal/Zip Code: 431201 Taluka: Partur</t>
  </si>
  <si>
    <t>H.O.C. Colony, rasayani, Type A, 23/4 Postal/Zip Code: 410207 Taluka: Khalapur</t>
  </si>
  <si>
    <t>Gadgebaba Market, Old Bus Stand Postal/Zip Code: 444904 Taluka: Chandur Railway</t>
  </si>
  <si>
    <t>VIPUL SRUSHTI, SECOND FLOOR ,SF-6 15/2B, RAVIWAR PETH, SATARA. Postal/Zip Code: 415001 Taluka: Satara</t>
  </si>
  <si>
    <t>SAMARTH COMPUTER NAGOTHANE, Opp. To Movan ViharSAMARTH VIHAR, PRABHU ALI, NAGOTHANE Postal/Zip Code: 402106 Taluka: Roha</t>
  </si>
  <si>
    <t>Bashwashwar Chowk, Gurukrupa Sadan Postal/Zip Code: 413512 Taluka: Latur</t>
  </si>
  <si>
    <t>sara vrundavan D-3 cidco waluj Postal/Zip Code: 431136 Taluka: Gangapur</t>
  </si>
  <si>
    <t>47/9, Khot Chawl, Gramasth Mandal, Shivaji Nagar Gala, Takia Ward, Kurla (W), Mumbai -400 070 Postal/Zip Code: 400070 Taluka: Kurla</t>
  </si>
  <si>
    <t>A/p : Bisur Tal:Miraj Dist : Sangli Postal/Zip Code: 416304 Taluka: Miraj</t>
  </si>
  <si>
    <t>SHOP NO. 64, AZAD MAIDAN RAMNAGAR NEAR SANTOSH BOOK STALL JALNA Postal/Zip Code: 431203 Taluka: Jalna</t>
  </si>
  <si>
    <t>Shop No.1, Shiv Chhaya CHS. Ltd, Opp. Aarsa Hotel, M.V. Road, Andheri (E), Mumbai -400069 Postal/Zip Code: 400069 Taluka: Andheri</t>
  </si>
  <si>
    <t>At Post Tungi (Bk) Postal/Zip Code: 413520 Taluka: Ausa</t>
  </si>
  <si>
    <t>KALESHWAR COMPUTER ACADEMY ,NEAR VISHNUPURI CAMAN,MAIN ROAD VISHNUPURI. Postal/Zip Code: 431606 Taluka: Nanded</t>
  </si>
  <si>
    <t>Shivaji Nagar road, pathri Postal/Zip Code: 431506 Taluka: Pathri</t>
  </si>
  <si>
    <t>Suraj Palace, Shivaji Nagar, Near Wani Nagar Kaman, Pipeline Road, Savedi, Ahmednagar Postal/Zip Code: 414003 Taluka: Ahmednagar</t>
  </si>
  <si>
    <t>Shop No.24, Sai Sangat Chs., Plot No.4, Sector No.3, Sanpada (E) Navi Mumbai Postal/Zip Code: 400705 Taluka: Thane</t>
  </si>
  <si>
    <t>I T CAREER C/o Dhakate Tailors, Near Patel Highschool, Shivaji Chowk ,Chandrapur Postal/Zip Code: 442402 Taluka: Chandrapur</t>
  </si>
  <si>
    <t>R-98, First Phase , Awanti Nagar, Murarji Peth Postal/Zip Code: 413001 Taluka: Solapur(n)</t>
  </si>
  <si>
    <t>2402/6 , A Ward , New College Road, P.M.C. Bank Basement Postal/Zip Code: 416012 Taluka: Karveer</t>
  </si>
  <si>
    <t>At-Post- Kudal, Shivaji Nagar Postal/Zip Code: 416520 Taluka: Kudal</t>
  </si>
  <si>
    <t>Mahadev Nagar (Khalchi Peth) House No.695 Postal/Zip Code: 422403 Taluka: Igatpuri</t>
  </si>
  <si>
    <t>Shop No.4, Behind Grampanchyat Postal/Zip Code: 422402 Taluka: Igatpuri</t>
  </si>
  <si>
    <t>Behind Katyayani Hospital,C/o Maddiwar Wada, Balaji Ward,Chandrapur Postal/Zip Code: 442402 Taluka: Chandrapur</t>
  </si>
  <si>
    <t>179, Kamalkunj, Nandanwan Main Road Postal/Zip Code: 440009 Taluka: Nagpur</t>
  </si>
  <si>
    <t>Dr. Wankhede Complex, Basaweshwar Chowk, Tamasa Corner Postal/Zip Code: 431704 Taluka: Ardhapur</t>
  </si>
  <si>
    <t>A/p : Kasbe Sukene, tal : Niphad, Dist : Nashik, pin 422 302. Postal/Zip Code: 422302 Taluka: Niphad</t>
  </si>
  <si>
    <t>A/P : Arawade, Tal : Tasgaon, Dist : Sangli Postal/Zip Code: 416312 Taluka: Tasgaon</t>
  </si>
  <si>
    <t>"Krushnachintan apt" Pune haiway,near waje petrol pump,sinnar Postal/Zip Code: 422103 Taluka: Sinnar</t>
  </si>
  <si>
    <t>Shop No. 8/9, Behind Chaitanya Electrical, Above Sai Raj Electronic, Punyi Complex, Opp. Bus Stop, Pune Satara Road, Dhankawadi Postal/Zip Code: 411043 Taluka: Haveli</t>
  </si>
  <si>
    <t>Sudarshan Building,Ring Road, Tukaram chowk, Akola Postal/Zip Code: 444004 Taluka: Akola</t>
  </si>
  <si>
    <t>17-19 Taluka Sangh Complex opp.Bardeskar Petrol Pump Main Raod Gargoti,tal :Bhudargad,Dist :Kolhapur 416209 Postal/Zip Code: 416209 Taluka: Bhudargad</t>
  </si>
  <si>
    <t>At Post Ghamodia Plot,Near Bus Stand Postal/Zip Code: 444805 Taluka: Achalpur</t>
  </si>
  <si>
    <t>Near Z.P. School , Satara Rahimatpur Road , Kodoli , Satara. Tal: Satara, Dist: Satara Postal/Zip Code: 415004 Taluka: Satara</t>
  </si>
  <si>
    <t>FF4 &amp; FF5, Krishna Empire, Opp. Science College, Satara to Rahimatpur Road, Kamathipura Satara. Tal: Satara. Dist: Satara Postal/Zip Code: 415501 Taluka: Satara</t>
  </si>
  <si>
    <t>10, First Floor, Panchdevi Complex, Shivaji Chowk Postal/Zip Code: 413521 Taluka: Nilanga</t>
  </si>
  <si>
    <t>Vinoba Bhave Nagar, Bhandara Road Tumsar Postal/Zip Code: 441912 Taluka: Tumsar</t>
  </si>
  <si>
    <t>15, Siddhivinayak, sahyog nagar, ulkanagari Postal/Zip Code: 431005 Taluka: Aurangabad</t>
  </si>
  <si>
    <t>,Juna Sarafa Deodi ACHALPUR Postal/Zip Code: 444806 Taluka: Achalpur</t>
  </si>
  <si>
    <t>golaite Nagar, Near K.K. M. College Manwat Postal/Zip Code: 431505 Taluka: Manvat</t>
  </si>
  <si>
    <t>Janki Niwas , Akola Road , Shelubazar Postal/Zip Code: 444402 Taluka: Mangrulpir</t>
  </si>
  <si>
    <t>Shop no-1, Gangotri Appt.,Shalimar Chowk, Daund. Postal/Zip Code: 413801 Taluka: Daund</t>
  </si>
  <si>
    <t>Dr. Jadhao Complex, Near Darshan Collection, Kingaon Raja Tah Sindhkhed Raja Dist Buldhana Postal/Zip Code: 443203 Taluka: Sindakhed raja</t>
  </si>
  <si>
    <t>R. No.1, Saraswati Niwas Vadwali Section, Near Rotary Club. Ambernath (E) Postal/Zip Code: 421501 Taluka: Ambarnath</t>
  </si>
  <si>
    <t>2544, Dr. Ambedkar Marg, Ratnagiri Postal/Zip Code: 415612 Taluka: Ratnagiri</t>
  </si>
  <si>
    <t>12, VASANT MARKET, TAMBAT LANE, NEAR VISWASATTY COLLEGE, OZAR MIG Postal/Zip Code: 422206 Taluka: Niphad</t>
  </si>
  <si>
    <t>Behind Hotel Rajshri, New Renapur Naka, Ambajogai Road Postal/Zip Code: 413512 Taluka: Latur</t>
  </si>
  <si>
    <t>Huttatma Smarak, Jintur Postal/Zip Code: 431509 Taluka: Jintur</t>
  </si>
  <si>
    <t>OPP. PRIMARY Z.P. SCHOOL , MAIN ROAD HARSOOL, AURANGABAD. Postal/Zip Code: 431119 Taluka: Aurangabad</t>
  </si>
  <si>
    <t>CHANDGAD TALUKA KHAREDI VIKRI SANGH , PETROL PUMP COMPLEX, HALKARNI FATA. Postal/Zip Code: 416552 Taluka: Chandgad</t>
  </si>
  <si>
    <t>Godwe lay out, ward no.6,Arni Postal/Zip Code: 445103 Taluka: Arni</t>
  </si>
  <si>
    <t>304, Somwar Peth, New English School Road, Near Arun Tailors, Satara. Tal: Satara, Dist: Satara Postal/Zip Code: 415002 Taluka: Satara</t>
  </si>
  <si>
    <t>5/6 azad shopping center,first floor Postal/Zip Code: 400062 Taluka: Boriwali</t>
  </si>
  <si>
    <t>The Shikshan Prasarak Mandal, Utkarsh Mandir, 2, Mamletdar Wadi, Malad, Mumbai - 64. Postal/Zip Code: 400064 Taluka: Boriwali</t>
  </si>
  <si>
    <t>Perfect Computer Education, Opp.R.T.O.Office, Yashwantrao chavan chowk, Ambajogai, Dist Beed. Postal/Zip Code: 431517 Taluka: Ambejogai</t>
  </si>
  <si>
    <t>At.Po.Ansing Tq.Dist.Washim Postal/Zip Code: 444507 Taluka: Washim</t>
  </si>
  <si>
    <t>OPP. Girl High School, Near ST Stand, Rahul complex, Murum Postal/Zip Code: 413605 Taluka: Omarga</t>
  </si>
  <si>
    <t>Near Warana Bazar, Kurlap. A/p : Kurlap Tal: Walwa Postal/Zip Code: 415417 Taluka: Walva</t>
  </si>
  <si>
    <t>Chikhli Road Postal/Zip Code: 443204 Taluka: Deulgaonraja</t>
  </si>
  <si>
    <t>SAI ENTERPRISES,RUTUJA NIVAS ,SHOP NO -1&amp; 2 SINHAGAD COLLEGE ROAD,JADHAV NAGAR VADGAON B.K PUNE Postal/Zip Code: 411041 Taluka: Haveli</t>
  </si>
  <si>
    <t>Rajiv Gandhi Chowk Bhandara Postal/Zip Code: 441904 Taluka: Bhandara</t>
  </si>
  <si>
    <t>17/12, Bhagashri Park, Hotagi Road, Manjarewadi, Solapur Postal/Zip Code: 413224 Taluka: Solapur(n)</t>
  </si>
  <si>
    <t>Near Post Office Patoda Postal/Zip Code: 414204 Taluka: Patoda</t>
  </si>
  <si>
    <t>Near Bus Station, Durgapura, Deulgaonraja, Tah Deulgaon Raja Dist Buldhana Postal/Zip Code: 443204 Taluka: Deulgaonraja</t>
  </si>
  <si>
    <t>SHIVAJI NAGAR ALIPUR ROAD BARSHI Postal/Zip Code: 413411 Taluka: Barshi</t>
  </si>
  <si>
    <t>At Post Veltur Postal/Zip Code: 441211 Taluka: Kuhi</t>
  </si>
  <si>
    <t>Above Atharva Jwellers, Near S. T. Bus Stand Postal/Zip Code: 441802 Taluka: Sakoli</t>
  </si>
  <si>
    <t>1/1Geetanjali apts Opp. Devendra Industrial Estate, Lokmanya Nagar Pada-2, Thane-(w)-400606 Postal/Zip Code: 400606 Taluka: Thane</t>
  </si>
  <si>
    <t>Gajanan Nagar Ward No 1 Near Dnyaneshwar Mandir,Arvi Naka Postal/Zip Code: 442001 Taluka: Wardha</t>
  </si>
  <si>
    <t>Plot No 1 "Nisarg" Appt. Dnyaneshwar nagar, near Vinayak Park, Garkheda, Aurangabad. Postal/Zip Code: 431001 Taluka: Aurangabad</t>
  </si>
  <si>
    <t>OPP.PIR GAIBSHAB DARGAH ,S.T. COLONY ,AURNAGABAD Postal/Zip Code: 431001 Taluka: Aurangabad</t>
  </si>
  <si>
    <t>Hatture Wasti, In front of Air Port, Hotgi Road,Majrewadi Postal/Zip Code: 413224 Taluka: Solapur(n)</t>
  </si>
  <si>
    <t>125, new subhedar layout, uday nagar road, ayodhya nagar, Nagpur Postal/Zip Code: 440024 Taluka: Nagpur</t>
  </si>
  <si>
    <t>53, Kukde Layout, Postal/Zip Code: 440027 Taluka: Nagpur</t>
  </si>
  <si>
    <t>I.T.I., Vijapur Road, ebay, limewire Postal/Zip Code: 413004 Taluka: Solapur(n)</t>
  </si>
  <si>
    <t>Old Pedgaon Road Postal/Zip Code: 431401 Taluka: Parbhani</t>
  </si>
  <si>
    <t>Shop No. 15,16,17, Surya Complex saiful chowk, Vijapur road , solapur Postal/Zip Code: 413004 Taluka: Solapur(n)</t>
  </si>
  <si>
    <t>8,Yogesh Colony dahiwel Tal Sakri Postal/Zip Code: 424304 Taluka: Sakri</t>
  </si>
  <si>
    <t>trimurti chawk, near Bharat gas godown, Pipeline road , ahmednagar Postal/Zip Code: 414003 Taluka: Ahmednagar</t>
  </si>
  <si>
    <t>Narsinha Nagar Khanapur Phata Parbhani Postal/Zip Code: 431401 Taluka: Parbhani</t>
  </si>
  <si>
    <t>38,WATHURKAR LAYOUT, ADARSHA COLONY,AKOLA Postal/Zip Code: 444004 Taluka: Akola</t>
  </si>
  <si>
    <t>2ND FLOOR, ANANT APARTMENTS, ANAND NAGAR, Postal/Zip Code: 411051 Taluka: Haveli</t>
  </si>
  <si>
    <t>At. Post-Anandwan, Warora Postal/Zip Code: 442914 Taluka: Warora</t>
  </si>
  <si>
    <t>Near Bus Stand, Main Road, Opp. Jaihind Mandal, Ichalkaranji. Postal/Zip Code: 416115 Taluka: Hatkanangale</t>
  </si>
  <si>
    <t>Jogi Thana Peth, Umred Postal/Zip Code: 441203 Taluka: Umred</t>
  </si>
  <si>
    <t>SHANKAR SMRUTI, SHOP NO. 1 &amp; 2, NEAR JOSHI SCHOOL, DOMBIVLI (E) Postal/Zip Code: 421201 Taluka: Kalyan</t>
  </si>
  <si>
    <t>Sonai Complex , Ground Floor, Near Prathamik shikshak bank, bazarpeth, Rahimatpur, Tal. Koregaon , Dist Satara. Pin - 415511 Postal/Zip Code: 415511 Taluka: Koregaon</t>
  </si>
  <si>
    <t>Near Post Office, Malgaon ,Tal : Miraj Dist : Sangli Postal/Zip Code: 416407 Taluka: Miraj</t>
  </si>
  <si>
    <t>Plot No.50-51, Gut No.3, Shital Nagar, Satara (Khandoba) Aurangabad Postal/Zip Code: 431001 Taluka: Aurangabad</t>
  </si>
  <si>
    <t>Basement, New Babar Building, Near Maliwada Ves, Ahmednagar. Postal/Zip Code: 414001 Taluka: Ahmednagar</t>
  </si>
  <si>
    <t>DATTA CHOWK TANDALI ROAD A/P -KASHTI,TAL-SRIGONDA DIST-NAGER Postal/Zip Code: 414701 Taluka: Shrigonda</t>
  </si>
  <si>
    <t>Smashan Maruti Road, Line No.-1(East), Kailash Nager Postal/Zip Code: 431001 Taluka: Aurangabad</t>
  </si>
  <si>
    <t>Godaun Gally,Near Lokmany Primary School Postal/Zip Code: 413201 Taluka: Jamkhed</t>
  </si>
  <si>
    <t>Mahadeo Bhavan, Main Road, Neharu Bazar, Katol Postal/Zip Code: 441302 Taluka: Katol</t>
  </si>
  <si>
    <t>CENTRAL RAILWAYS , MATUNGA WELFARE HALL T.H.KATRIA MARG NEAR SYNDICATE BANK Postal/Zip Code: 400019 Taluka: Mumbai</t>
  </si>
  <si>
    <t>A/P: Manerajuri, Tal: Tasgaon, Dist: Sangli Postal/Zip Code: 416408 Taluka: Tasgaon</t>
  </si>
  <si>
    <t>Tamri Vibhag, Yashwant Nagar, Dandnaik Complex Postal/Zip Code: 413501 Taluka: Osmanabad</t>
  </si>
  <si>
    <t>2ND FLOOR, KALGUNDE BUILDING, NEAR OLD BUS STOP, H.N. 250, Dhore Nagar, Old Sangavi, Pune- 27 Postal/Zip Code: 411027 Taluka: Haveli</t>
  </si>
  <si>
    <t>Opp.New English School,Vasud Road ,City : Sangola Tal: Sangola Dist:Solpur-413307 Postal/Zip Code: 413307 Taluka: Sangola</t>
  </si>
  <si>
    <t>Karad-Naikaba Road, Ahead Dr.Rao Hos. Dhebewadi.(M.Kole), Tal: Patan, Dist: Satara Postal/Zip Code: 415112 Taluka: Patan</t>
  </si>
  <si>
    <t>Main Road Shankar Nagar. Postal/Zip Code: 431710 Taluka: Biloli</t>
  </si>
  <si>
    <t>SANGAMNER NAGARPALIKA ARTS,D.J.MALPANI COMMERCE &amp; B.N. SARADA SCIENCE COLLEGE,Sangamner Postal/Zip Code: 422605 Taluka: Sangamner</t>
  </si>
  <si>
    <t>Saptarshi Computer Academy, Near Tiranga Mitra Mandal, Kavathe Piran. Postal/Zip Code: 416417 Taluka: Miraj</t>
  </si>
  <si>
    <t>Shop No.20,21, New Market Committee, Shoping Complex, College Road, Navapur Postal/Zip Code: 425418 Taluka: Navapur</t>
  </si>
  <si>
    <t>Dadabhai Nouroji Ward, Ballarpur Postal/Zip Code: 442701 Taluka: Ballarpur</t>
  </si>
  <si>
    <t>Jijai Complex,Near Bapat Mala, Sangli Postal/Zip Code: 416416 Taluka: Miraj</t>
  </si>
  <si>
    <t>Jijamata Kanya Highschool Road Postal/Zip Code: 445102 Taluka: Ner</t>
  </si>
  <si>
    <t>Urjanagar Kondi, Ward No. 5 Near, Urjanagar Grampanchayat Postal/Zip Code: 442404 Taluka: Chandrapur</t>
  </si>
  <si>
    <t>At. Po. Vishnupuri, Postal/Zip Code: 431606 Taluka: Nanded</t>
  </si>
  <si>
    <t>Sarvesh Sankul, First Floor, Opp. Bank Of India, Tilak Path, GADHINGLAJ   Pincode:416502 , Tahsil: Gadhinglaj, District : Kolhapur Postal/Zip Code: 416502 Taluka: Gadhinglaj</t>
  </si>
  <si>
    <t>"Suman Infotech", First Floor, Vishal Arcade, Manki Chowk, Main Road, Chakan Postal/Zip Code: 410501 Taluka: Khed</t>
  </si>
  <si>
    <t>A/P:ARAG TAL : MIRAJ DIST : SANGLI Postal/Zip Code: 416401 Taluka: Miraj</t>
  </si>
  <si>
    <t>1573, A Ward, Shivaji Peth, Tarabai Road, Rankala, C/o Ingawale Hospital, Postal/Zip Code: 416012 Taluka: Karveer</t>
  </si>
  <si>
    <t>Mahesh Rekha Appt ganpati chowk uran Postal/Zip Code: 400702 Taluka: Uran</t>
  </si>
  <si>
    <t>108,Pathan Lay Out,Sambhaji Nagar,Near Lokhande Nagar,Ngp-22 Postal/Zip Code: 440022 Taluka: Nagpur</t>
  </si>
  <si>
    <t>at/po-Bachani, Tal- Kagal, Dist-Kolhapur Postal/Zip Code: 416221 Taluka: Kagal</t>
  </si>
  <si>
    <t>At Post Nannaj Postal/Zip Code: 413222 Taluka: Solapur(n)</t>
  </si>
  <si>
    <t>At post Sonai Rahuri road Tal newasa Dist Ahmednagar Postal/Zip Code: 414105 Taluka: Nevasa</t>
  </si>
  <si>
    <t>Near S.T. Stand, A. P. Kharda Postal/Zip Code: 413204 Taluka: Jamkhed</t>
  </si>
  <si>
    <t>DB Patil Complex, Near Adarsh Coaching Classes (Under Ground), Sarafa Market Road, Naigaon Postal/Zip Code: 431709 Taluka: Naigaon</t>
  </si>
  <si>
    <t>Behing PVP Engineering College,Sant Dnyaeshwarnagar, Budhgaon Tal ; Miraj Postal/Zip Code: 416304 Taluka: Miraj</t>
  </si>
  <si>
    <t>8, Mukta sainik Vasahat Postal/Zip Code: 416005 Taluka: Karveer</t>
  </si>
  <si>
    <t>Gat No - 1407/3, Sanaswadi Postal/Zip Code: 412208 Taluka: Shirur</t>
  </si>
  <si>
    <t>C/o Vidhyavardhini Vidhyalaya, TPS Colony Postal/Zip Code: 431520 Taluka: Parali</t>
  </si>
  <si>
    <t>Thakker Bazar, Nr. S T Stand, Peth Vadgaon Postal/Zip Code: 416112 Taluka: Hatkanangale</t>
  </si>
  <si>
    <t>Near Lomeshwar Cloth,Opp.Vikhe Patil Petrol Pump,Loni KD Postal/Zip Code: 413713 Taluka: Rahata</t>
  </si>
  <si>
    <t>RAM MANDIR ROAD , MOTHA BAZAR,PATELPURA WARD,BHANDARA Postal/Zip Code: 441904 Taluka: Bhandara</t>
  </si>
  <si>
    <t>Datta Chowk, Nr old Octroi Naka, Sangaliwadi Tal : Miraj Postal/Zip Code: 416416 Taluka: Miraj</t>
  </si>
  <si>
    <t>9,FIRST FLOOR NIRMAL GANGA COMPLEX, KATOL ROAD, GITTIKHADAN, NAGPUR -13 Postal/Zip Code: 440013 Taluka: Nagpur</t>
  </si>
  <si>
    <t>At-Post-Katta, Tal -Malvan Postal/Zip Code: 416604 Taluka: Malvan</t>
  </si>
  <si>
    <t>LIG 2ND, SEC-2E, SHOP No. H-10, KALAMBOLI Postal/Zip Code: 410218 Taluka: Panvel</t>
  </si>
  <si>
    <t>Archana Computer ' Tara-Bhavan ' 13 Th Lane Renuka Chowk Jaysingpur Postal/Zip Code: 416101 Taluka: Shirol</t>
  </si>
  <si>
    <t>Ramnagar Kondhali, Tah: Katol, Dist: Nagpur Postal/Zip Code: 441103 Taluka: Nagpur Rural</t>
  </si>
  <si>
    <t>C/o Jawale Nivas Main road , MOHA Postal/Zip Code: 413507 Taluka: Kalamb</t>
  </si>
  <si>
    <t>Pimpal Fhata Postal/Zip Code: 413527 Taluka: Renapur</t>
  </si>
  <si>
    <t>Durga chowk, GT Road friday market Kampthi Postal/Zip Code: 441002 Taluka: Kamathi</t>
  </si>
  <si>
    <t>Shastri Nagar Postal/Zip Code: 431112 Taluka: Sillod</t>
  </si>
  <si>
    <t>Nr. DCC Bank, Nandre. A/p: Nandre Tal:Miraj Postal/Zip Code: 416423 Taluka: Miraj</t>
  </si>
  <si>
    <t>Shop No. 17, Triveni Complex, 8th Mile Amaravati Road Nagpur Postal/Zip Code: 440023 Taluka: Nagpur Rural</t>
  </si>
  <si>
    <t>DWARKADISH HOUSE CIVIL COLONY DEULGAON RAJA Postal/Zip Code: 443204 Taluka: Deulgaonraja</t>
  </si>
  <si>
    <t>shivaji chowk, A/P- Khadkala, Kamshet, Tal-Maval, Dist- Pune Postal/Zip Code: 410405 Taluka: Maval</t>
  </si>
  <si>
    <t>PADHEGAON ROAD A/P- BELAPUR TAL-SHRIRAMPUR DIST-AHMEDNAGAR Postal/Zip Code: 413715 Taluka: Srirampur</t>
  </si>
  <si>
    <t>Shop no-B-1, Pralhad Arcade, Kalpataru nagar, Ashoka marg, Postal/Zip Code: 422011 Taluka: Nashik</t>
  </si>
  <si>
    <t>SHOP NO. 17-18, ABOVE MEERA JEWELLERS, STATION ROAD, KANJURMARG (WEST), MUMBAI - 400 078 Postal/Zip Code: 400078 Taluka: Kurla</t>
  </si>
  <si>
    <t>1013, MAROTI SADAN, ASHIRWAD Nagar NAGAR, NIT SQ. Postal/Zip Code: 440024 Taluka: Nagpur</t>
  </si>
  <si>
    <t>At/po:- Savalivihir (Near Dr. Dodiya Hospital) Postal/Zip Code: 423109 Taluka: Rahata</t>
  </si>
  <si>
    <t>Near Sai Mandir, Ghode Plot, Katol Postal/Zip Code: 441302 Taluka: Katol</t>
  </si>
  <si>
    <t>Plot No.-17A,Shivarajcolony, , Gadiya Vihar Road, shahanoorwadi Postal/Zip Code: 431005 Taluka: Aurangabad</t>
  </si>
  <si>
    <t>Near Bus Stand, Dhamangaon Badhe Tah Motala Dist Buldhana Postal/Zip Code: 443104 Taluka: Motala</t>
  </si>
  <si>
    <t>C0/6/14/4,CIDCO COLONY SECTOR 18,NEW PANVEL Postal/Zip Code: 410206 Taluka: Panvel</t>
  </si>
  <si>
    <t>Bhavani Chowk, Sanja Road Postal/Zip Code: 413501 Taluka: Osmanabad</t>
  </si>
  <si>
    <t>c/o Mr. Vitthalrao Thakare, Pandurang Ward No- 2, Civil Line, Near Z.P. Girls High School Postal/Zip Code: 442201 Taluka: Arvee</t>
  </si>
  <si>
    <t>Maniya Niwas, Near Police Quarter, Goverdhan Ghat Road, Vazirabad Postal/Zip Code: 431605 Taluka: Nanded</t>
  </si>
  <si>
    <t>Unix Computer, Marwadi Pura, Jaistambh Chowk, New Town Badnera Postal/Zip Code: 444701 Taluka: Amravati</t>
  </si>
  <si>
    <t>Kranti Chowk, Mangalwar Peth Postal/Zip Code: 413601 Taluka: Tulajapur</t>
  </si>
  <si>
    <t>Near S.H. Kelkar College, College Road Jamsande Postal/Zip Code: 416612 Taluka: Devgad</t>
  </si>
  <si>
    <t>mangalwara peth,basmath Postal/Zip Code: 431512 Taluka: Basamat</t>
  </si>
  <si>
    <t>32,Green Park Society, Near Kolhe Layout, Darwha Rd, Yavatmal Postal/Zip Code: 445001 Taluka: Yavatmal</t>
  </si>
  <si>
    <t>Munde Complex, Bank Colony, Mayur Talkies Raod, Behind Dena Bank, Anand Nagar, Nanded Postal/Zip Code: 431602 Taluka: Nanded</t>
  </si>
  <si>
    <t>Biloli Road, Narsi Postal/Zip Code: 431709 Taluka: Naigaon</t>
  </si>
  <si>
    <t>Main Road, moti Nagar Postal/Zip Code: 444606 Taluka: Amravati</t>
  </si>
  <si>
    <t>At &amp; Post : Nangalwadi, Tal : Mahad, Dist : Raigad Postal/Zip Code: 402309 Taluka: Mahad</t>
  </si>
  <si>
    <t>ABOVE SBI DUFFRIN CHOWK SOLAPUR Postal/Zip Code: 413001 Taluka: Solapur(n)</t>
  </si>
  <si>
    <t>ahilyabhai chowk, near kalika mandir, gangapur goan gangapur Postal/Zip Code: 422222 Taluka: Nashik</t>
  </si>
  <si>
    <t>4, Adhyapak Layout, Hingna Road T Point, Near Rajat Marbal Postal/Zip Code: 440022 Taluka: Nagpur</t>
  </si>
  <si>
    <t>760, 'Shree Bal Datta Mandir, Chavdar Tale, Near Dr. Ambedkar Chowk, A/P. TAl. Mahad Postal/Zip Code: 402301 Taluka: Mahad</t>
  </si>
  <si>
    <t>13, East mangalwar PethGovind Complex flat no.5 Postal/Zip Code: 413003 Taluka: Solapur(n)</t>
  </si>
  <si>
    <t>Near Jijamata Rajwada, Sindhkhed Raja Tah Sindhkhed Raja Dist Buldhana Postal/Zip Code: 443203 Taluka: Sindakhed raja</t>
  </si>
  <si>
    <t>Plot No-2 Near Mahatmaphule High School Ward No 13 Rajendr Nagar Nanded Postal/Zip Code: 431602 Taluka: Nanded</t>
  </si>
  <si>
    <t>Railway Station Road, Postal/Zip Code: 441304 Taluka: Narkhed</t>
  </si>
  <si>
    <t>KAMGAR KALYAN BHAVAN, , AZAD ROAD, GUNDAVALI, Postal/Zip Code: 400069 Taluka: Andheri</t>
  </si>
  <si>
    <t>Nanded-Hingoli Road,Kamtha Phata Postal/Zip Code: 431701 Taluka: Kalamanuri</t>
  </si>
  <si>
    <t>Yelur (Shivajinagar) Postal/Zip Code: 415411 Taluka: Walva</t>
  </si>
  <si>
    <t>At Po JANEPHALTah Mehekar Dist Buldhana Postal/Zip Code: 443304 Taluka: Mehekar</t>
  </si>
  <si>
    <t>at-post-Borawade tal.kagal dist kolhapur Postal/Zip Code: 416208 Taluka: Kagal</t>
  </si>
  <si>
    <t>santakrupa Appt. opp morya hall. pipeline road, savedi Ahmednagar Postal/Zip Code: 414003 Taluka: Ahmednagar</t>
  </si>
  <si>
    <t>NEAR SUNDARLAL SAWJI JINTUR BANK SUBHASH ROAD, PARBHANI Postal/Zip Code: 431401 Taluka: Parbhani</t>
  </si>
  <si>
    <t>Shop no 6, Suchandra Corner, BT Kawade Rd,Ghorpadi,pune-411036 Postal/Zip Code: 411036 Taluka: Haveli</t>
  </si>
  <si>
    <t>Yashonandan Plaza,Near Shubhash Photo Lab,Shahupuri 3Rd Lane Postal/Zip Code: 416001 Taluka: Karveer</t>
  </si>
  <si>
    <t>2nd Floor, Sagar Tower, Dr. Babasaheb Ambedkar Marg, Beside Rajput Restaurent, Kamal Chowk, Nagpur Postal/Zip Code: 440017 Taluka: Nagpur</t>
  </si>
  <si>
    <t>1623, Near Vegetable market, Khanderao Mandir Road, SHIRPUR Postal/Zip Code: 425405 Taluka: Shirpur</t>
  </si>
  <si>
    <t>806, Vidyanagar, Above manesh agencies, Postal/Zip Code: 422605 Taluka: Sangamner</t>
  </si>
  <si>
    <t>old pir bajar road, eaknath nagar, osmanpura,Aurangabad Postal/Zip Code: 431005 Taluka: Aurangabad</t>
  </si>
  <si>
    <t>Near Sindhu Bank, Below ICICI insurance office Risod Naka to Gopal Talkies Washim Postal/Zip Code: 444505 Taluka: Washim</t>
  </si>
  <si>
    <t>FF3 &amp; FF4,Gite Compex, Pantacha Got , Opp . Karad Urban Bank , Near Lucky Arts , Powai Naka to Police Station Road , Satara Postal/Zip Code: 415501 Taluka: Satara</t>
  </si>
  <si>
    <t>Near Police Station Postal/Zip Code: 413502 Taluka: Paranda</t>
  </si>
  <si>
    <t>AT/P GHODEGAON TAL. AMBEGAON DIST. PUNE Postal/Zip Code: 412408 Taluka: Ambegaon</t>
  </si>
  <si>
    <t>Shop No.8, Anandsagar Park, Near Filteration Plant, Tapovan Link Road, Kathe Galli, Postal/Zip Code: 422011 Taluka: Nashik</t>
  </si>
  <si>
    <t>AT POST SEVLI BARHMAN GALLI TQ. DIST. JALNA Postal/Zip Code: 431203 Taluka: Jalna</t>
  </si>
  <si>
    <t>Siddhivinayak nagar, Tembhurni, Tal- Jafrabad, Dist- Jalna Postal/Zip Code: 431208 Taluka: Jaffarabad</t>
  </si>
  <si>
    <t>Shop No.1, Old Mohammadi Bldg., Opp. Lalbaug Market, Lalbaug, Mumbai - 400012 Postal/Zip Code: 400012 Taluka: Mumbai</t>
  </si>
  <si>
    <t>Near KBP High School Sangavi, Postal/Zip Code: 413102 Taluka: Baramati</t>
  </si>
  <si>
    <t>At post Panchwad Tal. Wai Dist.Satara Postal/Zip Code: 415513 Taluka: Wai</t>
  </si>
  <si>
    <t>Main Road Shiroli (p) Postal/Zip Code: 416122 Taluka: Hatkanangale</t>
  </si>
  <si>
    <t>Near Police Station Rahimatpur. Tal: Koregaon, Dist: satara. Postal/Zip Code: 415511 Taluka: Koregaon</t>
  </si>
  <si>
    <t>Darwha Road, Pusad Postal/Zip Code: 445204 Taluka: Pusad</t>
  </si>
  <si>
    <t>A/P Dhanora Tq Ashti Dist Beed Postal/Zip Code: 414202 Taluka: Ashti</t>
  </si>
  <si>
    <t>IInd Floor, Municipal Market,Beside Rajapeth Police Staion, Rajapeth, Amravati Postal/Zip Code: 444602 Taluka: Amravati</t>
  </si>
  <si>
    <t>Weekly Bazar,Near Matoshri Jwalers, Main road Postal/Zip Code: 444202 Taluka: Sangrampur</t>
  </si>
  <si>
    <t>Shop No.8, Prabhudarshan Aprt., Behind Fire Brigade, Near Hotel Shiv sagar, Netaji Kurla Road, Ulhas Nagar -5 Postal/Zip Code: 421005 Taluka: Ulhasnagar</t>
  </si>
  <si>
    <t>Dande Colony Akoli Road Sai Nagar Postal/Zip Code: 444605 Taluka: Amravati</t>
  </si>
  <si>
    <t>DATTA NAGAR NAVGAN COLLEGE ROAD BEED 431122 Postal/Zip Code: 431122 Taluka: Beed</t>
  </si>
  <si>
    <t>104, Neel Angan, Sector 19, Near Popular Finance, New Panvel Postal/Zip Code: 410206 Taluka: Panvel</t>
  </si>
  <si>
    <t>B-36 STATE GOVT. EMPLOYEES HSG SOC. BEHIND ASHOK NAGAR LAST BUS STOP , ASHOK NAGAR , SATPUR ,NASIK -12 Postal/Zip Code: 422012 Taluka: Nashik</t>
  </si>
  <si>
    <t>Everest Shopping Centre, First Floor, Dombivli (W) Postal/Zip Code: 421202 Taluka: Kalyan</t>
  </si>
  <si>
    <t>rani durgawati chowk near agrawal hospital nagpur Postal/Zip Code: 440017 Taluka: Nagpur</t>
  </si>
  <si>
    <t>Mahalaxmi Complex Near Jain Mandir, Bhaji Bazar Postal/Zip Code: 444601 Taluka: Amravati</t>
  </si>
  <si>
    <t>1153/D, OPP. HASANBAGH POLICE CHOWKI, NEW NANDANWAN LAYOUT, Postal/Zip Code: 440009 Taluka: Nagpur</t>
  </si>
  <si>
    <t>A/p-Shinde Postal/Zip Code: 422101 Taluka: Nashik</t>
  </si>
  <si>
    <t>Potadar Bulding Infront of Bank of India ,Main Road Radhanagari Postal/Zip Code: 416212 Taluka: Radhanagari</t>
  </si>
  <si>
    <t>Shop No.8, New Aga Khan Bldg., Opp. Masjid Bazar Gali , Saat rasta, Jacob Circle, Mahalaxmi Postal/Zip Code: 400011 Taluka: Mumbai</t>
  </si>
  <si>
    <t>Kalpak Estate C/16, Shop No.51, Shaikh Mistry Road, Near Saraswat Co.op Bank, Antop Hill, Mumbai- 400037 Postal/Zip Code: 400037 Taluka: Mumbai</t>
  </si>
  <si>
    <t>Chikhalthan Road, At Post Jeur, Tal Karmala, Dist Solapur. PIN 413202 Postal/Zip Code: 413202 Taluka: Karmala</t>
  </si>
  <si>
    <t>Ashok chowk post office near lokseva high-school solapur Postal/Zip Code: 413003 Taluka: Solapur(n)</t>
  </si>
  <si>
    <t>Manish Academy. C/o- Ram Deshpande, opp. kholeshwar vidyalaya Postal/Zip Code: 431517 Taluka: Ambejogai</t>
  </si>
  <si>
    <t>Sigma VII Computer, Near Patil Darwaja, Chopda Postal/Zip Code: 425107 Taluka: Chopada</t>
  </si>
  <si>
    <t>Atharva Plaza,Nr,Shivaji Bank Behind Hawal Building,Gadshinglaj,Tal Gadhinglaj Dist. Kolhapur Pin 416502 Postal/Zip Code: 416502 Taluka: Gadhinglaj</t>
  </si>
  <si>
    <t>18/19, Dr. Moharir Shoping Colplex, Above Suyog Gas Agencie, Near Nh 6, Parola Postal/Zip Code: 425111 Taluka: Parola</t>
  </si>
  <si>
    <t>Talvav Lane, Parola Postal/Zip Code: 425111 Taluka: Parola</t>
  </si>
  <si>
    <t>Pushpak Apartments, Jathar peth , Akola Postal/Zip Code: 444005 Taluka: Akola</t>
  </si>
  <si>
    <t>Raje Shivaji Complex Krushi Uttapan Bazar Samiti,Near Shushil Dairy Bhadgaon Road,Pachora Postal/Zip Code: 424201 Taluka: Pachora</t>
  </si>
  <si>
    <t>Room No 102, 1St Floor, Suparb CHS, Uthalsar Naka, Castlemill Postal/Zip Code: 400601 Taluka: Thane</t>
  </si>
  <si>
    <t>G-19,2nd Floor, Golani Market,Jalgaon Postal/Zip Code: 425001 Taluka: Jalgaon</t>
  </si>
  <si>
    <t>MEN2 1&amp;2,RAMCHANDRAPLAZA Postal/Zip Code: 402104 Taluka: Mangaon</t>
  </si>
  <si>
    <t>Pandurang Nivas,Near Bank Of India ,Chondhi Postal/Zip Code: 402201 Taluka: Alibag</t>
  </si>
  <si>
    <t>99 C, Industrial Estate, Jyoti Talkies Road, Shivaji Nagar, Nanded Postal/Zip Code: 431602 Taluka: Nanded</t>
  </si>
  <si>
    <t>Queen Mary`s Technical Institute For Disabled Soldiers Park Road,Range Hills,Khadki-Pune Postal/Zip Code: 411020 Taluka: Haveli</t>
  </si>
  <si>
    <t>Datta Niwas,Near Cidco Post Office,Lekha Nagar,Nashik Postal/Zip Code: 422009 Taluka: Nashik</t>
  </si>
  <si>
    <t>PRIYADARSHANI COMPLEX, ROOM NO 2, OLD AGARA ROAD, NEAR MSEB OFFICE, DESHMUKHWADI, SHAHAPUR. Postal/Zip Code: 421601 Taluka: Shahapur</t>
  </si>
  <si>
    <t>-- Pincode:425201 , Tahsil: Bhusawal, District : Jalgaon Postal/Zip Code: 425201 Taluka: Bhusawal</t>
  </si>
  <si>
    <t>Krushi Utpanna Bazar Samiti Complex, Yaval Road, Postal/Zip Code: 425503 Taluka: Yaval</t>
  </si>
  <si>
    <t>Near Ridhhi Sidhhi Super Market Bajrang Chowk Narkesri Ward Bhandara-441904 Postal/Zip Code: 441904 Taluka: Bhandara</t>
  </si>
  <si>
    <t>1st Floor,Nildeep complex,Arogya Mandir,Ratnagiri Postal/Zip Code: 415712 Taluka: Ratnagiri</t>
  </si>
  <si>
    <t>shop no,19, triveni park (Indraprashta) opp vyapari bank, jail road. nashik road. Postal/Zip Code: 422101 Taluka: Nashik</t>
  </si>
  <si>
    <t>Tapkir Sadan Behind Ajab Nivas Pune-Alandi Road, Wadmukhwadi,Charoli , Pune-05 Postal/Zip Code: 412105 Taluka: Haveli</t>
  </si>
  <si>
    <t>Dipali Complex,Block no 2/3/4,Pusegaon Postal/Zip Code: 415502 Taluka: Khatav</t>
  </si>
  <si>
    <t>2nd Floor, Ayodhya Anex, Flat No 6&amp;7, Above Hemraj Travels, Near Hotel Pai-Prakash, Vishrambag, Sangli Postal/Zip Code: 416415 Taluka: Miraj</t>
  </si>
  <si>
    <t>Ghar-683,First Floor, Jamner Road, Badri Plot Postal/Zip Code: 425201 Taluka: Bhusawal</t>
  </si>
  <si>
    <t>S.No.56, Azad Nagar, Near Kroot Memorial School, Opp. Kapila wood row House Pune 40 Postal/Zip Code: 411022 Taluka: Haveli</t>
  </si>
  <si>
    <t>A/p Pophali Tal- Chiplun Dist-Ratnagiri Postal/Zip Code: 415601 Taluka: Chiplun</t>
  </si>
  <si>
    <t>11,Janata Colony Near R.S S V P S Coleege, Dondaicha Postal/Zip Code: 425408 Taluka: Sindkhed</t>
  </si>
  <si>
    <t>Hande Complex, In Front Of Petrol Pump, At Po Tivasa, Dist Amravati Postal/Zip Code: 444903 Taluka: Tivsa</t>
  </si>
  <si>
    <t>Near YCMOU Building, Walgaon Road , Amravati Postal/Zip Code: 444604 Taluka: Amravati</t>
  </si>
  <si>
    <t>H.No 626, Shivaji Nagar, Jintur Postal/Zip Code: 431509 Taluka: Jintur</t>
  </si>
  <si>
    <t>SHOP NO. B/4, PARANKUTTY C.H.S., LAKDAWALA BLDG., OPP. KALI MATA MANDIR , ANTOP HILL MUMBAI - 400037 Postal/Zip Code: 400037 Taluka: Mumbai</t>
  </si>
  <si>
    <t>Behind Luxury Bus Stand Postal/Zip Code: 431542 Taluka: Sengaon</t>
  </si>
  <si>
    <t>SHOP NO.8, TARA "B" WING SHRISTHI COMPLEX, OPP. L &amp; T GATE NO.7, POWAI, MUMBAI Postal/Zip Code: 400072 Taluka: Kurla</t>
  </si>
  <si>
    <t>Arvi Fata Wathar(kiroli) Postal/Zip Code: 415116 Taluka: Koregaon</t>
  </si>
  <si>
    <t>First Floor,Sonwane Complex,Block No 1,Opposite State bank of India,Jawlabazar Postal/Zip Code: 431705 Taluka: Audha Naganath</t>
  </si>
  <si>
    <t>31, Janata Colony, Behind 169 Bus Stop, Worli Village, Mumbai 400030 Postal/Zip Code: 400030 Taluka: Mumbai</t>
  </si>
  <si>
    <t>SHOP NO 1, VIKRANT SOCITY, S.V.S.ROAD, BHANDUP (E), MUMBAI Postal/Zip Code: 400042 Taluka: Kurla</t>
  </si>
  <si>
    <t>Bari Pura, Juni Wasti Badnera, Amravati Postal/Zip Code: 444701 Taluka: Amravati</t>
  </si>
  <si>
    <t>Shivshahi Seva Trust, Ganesh Nagar, Salt Pan Road, Opp. Nirmal Vidyalaya Postal/Zip Code: 400037 Taluka: Mumbai</t>
  </si>
  <si>
    <t>Above R. D. C. C. Bank, Zilla Kharedi Vikri Sangha Building, Sangmeshwar Postal/Zip Code: 415611 Taluka: Sangameshwar</t>
  </si>
  <si>
    <t>GUIDELINE COMPUTERS, INFORNT OF CBI BANK, WADEGAON Postal/Zip Code: 444502 Taluka: Balapur</t>
  </si>
  <si>
    <t>IN FRONT OF VITTHAL MANDIR ANDHARI Postal/Zip Code: 431151 Taluka: Sillod</t>
  </si>
  <si>
    <t>First Floor, Khatib Complex, Near Ragukul Mangal Karyalay, Bidar Road Postal/Zip Code: 413517 Taluka: Udgeer</t>
  </si>
  <si>
    <t>Dr.BAMUniversity Road. Ghati area, Aurangabad- Postal/Zip Code: 431005 Taluka: Aurangabad</t>
  </si>
  <si>
    <t>SHREE KRISHNA NAGAR, SASMIRA MARG, WORLI, MUMBAI Postal/Zip Code: 400030 Taluka: Mumbai</t>
  </si>
  <si>
    <t>M. E. S. Highschool &amp; Art's, Science Junior College, Mekhar Tq. Mehkar Dist. Buldana Postal/Zip Code: 443301 Taluka: Mehekar</t>
  </si>
  <si>
    <t>Near Tahcil Office, Teosa,Dist Amravati Postal/Zip Code: 444903 Taluka: Tivsa</t>
  </si>
  <si>
    <t>B/1, Near Fish O Fish, Shilangan Road , Ravi Nagar, Amravati Postal/Zip Code: 444605 Taluka: Amravati</t>
  </si>
  <si>
    <t>NANDADDEP EDUCATION SOCIETY 272 PARVATI PUNE Postal/Zip Code: 411009 Taluka: Haveli</t>
  </si>
  <si>
    <t>At Post Varye Tal,Dist Satara Postal/Zip Code: 415015 Taluka: Satara</t>
  </si>
  <si>
    <t>Opposite S T Depot Bhusawal Road Muktainagar Postal/Zip Code: 425306 Taluka: Muktainagar</t>
  </si>
  <si>
    <t>"Prasad" camp area, Rampuri Ward, Gadchiroli Postal/Zip Code: 442605 Taluka: Gadchiroli</t>
  </si>
  <si>
    <t>At.Post OTUR Postal/Zip Code: 412409 Taluka: Junnar</t>
  </si>
  <si>
    <t>Mumbai Pune Road CTS 4235 Below Hotel Casino Akurdi Pune-35 Postal/Zip Code: 411035 Taluka: Haveli</t>
  </si>
  <si>
    <t>At Pusegaon Postal/Zip Code: 431513 Taluka: Sengaon</t>
  </si>
  <si>
    <t>World Class Info Tech Near Bus Stand Deulghat Ta.Dist Buldana Postal/Zip Code: 443105 Taluka: Buldhana</t>
  </si>
  <si>
    <t>Killa Bhag, Mangalwedha Postal/Zip Code: 413305 Taluka: Mangalwedha</t>
  </si>
  <si>
    <t>Office No.5, Matai Chamber, Near Mhatre Bridge, Mehendale Garage Chowk, Erandawane Pune Postal/Zip Code: 411004 Taluka: Haveli</t>
  </si>
  <si>
    <t>S.No. 7, Near Maruti Mandir,Old Sangavi Gavthan ,Pune 27 Postal/Zip Code: 411027 Taluka: Haveli</t>
  </si>
  <si>
    <t>Plot 251/2, Above Rajesh Medical, Dr.Babasaheb Ambedkar Chowk,Lumbini Baug Postal/Zip Code: 400043 Taluka: Kurla</t>
  </si>
  <si>
    <t>KRISHNA NAGAR WARD, NEAR MAKODE'S HOUSE Postal/Zip Code: 442701 Taluka: Ballarpur</t>
  </si>
  <si>
    <t>At Post Kalus Infront Of Grampchayat Postal/Zip Code: 410501 Taluka: Khed</t>
  </si>
  <si>
    <t>Gawade chawl, Near Govt. Hospital, Main Road, Mohol Tal-Mohol Dist-Solapur Postal/Zip Code: 413213 Taluka: Mohol</t>
  </si>
  <si>
    <t>C/O. Shri Sai Medicose, Nawegaon/Bandh. Postal/Zip Code: 441702 Taluka: Arjuni moregaon</t>
  </si>
  <si>
    <t>1523,Ananad Shilp Building,Sadashiv Peth. Postal/Zip Code: 411030 Taluka: Haveli</t>
  </si>
  <si>
    <t>Shop No.2, Shiv Plaza, Near Somji Bus stop, Kondhwa- Saswad Road, Kondhwa, Pune 48 Postal/Zip Code: 411048 Taluka: Haveli</t>
  </si>
  <si>
    <t>Smt.S.D.Gange Prashala,Triveninagar At.Post Talwade Tal.Haveli,Dist.Pune Postal/Zip Code: 412114 Taluka: Haveli</t>
  </si>
  <si>
    <t>126/131, JAIMALA BUNGALOW, GORAI 1 Postal/Zip Code: 400092 Taluka: Boriwali</t>
  </si>
  <si>
    <t>Rajendra Nagar, Kinvat, Tq.Kinvat Dist.Nanded Postal/Zip Code: 431804 Taluka: Kinvat</t>
  </si>
  <si>
    <t>At : Satral , Post : Songaon, Satral Market Yard, Grampanchayat Vyapari Sankul, satral Postal/Zip Code: 413711 Taluka: Rahuri</t>
  </si>
  <si>
    <t>Near State Bnak of Hyderabad, Ambedkar Nagar Bhokar Postal/Zip Code: 431801 Taluka: Bhokar</t>
  </si>
  <si>
    <t>At.Post.Kuntur Tq.Naigaon Dist.Nanded Postal/Zip Code: 431709 Taluka: Naigaon</t>
  </si>
  <si>
    <t>Moti Niwas, First Floor, Room No. 1. Beside bank of Maharashtra, Nr. Holycross High School, At Post Nirmal. Postal/Zip Code: 401304 Taluka: Vasai</t>
  </si>
  <si>
    <t>Haider Bhai Complex Padoli Postal/Zip Code: 442406 Taluka: Chandrapur</t>
  </si>
  <si>
    <t>Pusad Road, Near Wadawala Jin, Digras Postal/Zip Code: 445203 Taluka: Digras</t>
  </si>
  <si>
    <t>Trimurti Complex(Vaidya Building),2nd Floor,Above Vyankatesh Handlooms,Main Road Shirwal Postal/Zip Code: 412801 Taluka: Khandala</t>
  </si>
  <si>
    <t>Shriram Nagar, Bhosare - Kurduwadi Postal/Zip Code: 413208 Taluka: Madha</t>
  </si>
  <si>
    <t>TARA BHAVAN, Near Z P School, Main Road, Karve, Tal Karad Postal/Zip Code: 415110 Taluka: Karad</t>
  </si>
  <si>
    <t>Plot No.27, Shop No.1, Reliance Fresh, MGM Road, Aurangabad Postal/Zip Code: 431003 Taluka: Aurangabad</t>
  </si>
  <si>
    <t>Sankeshwar Gardan,33,Near Jaistambha,Ratnagiri Postal/Zip Code: 415612 Taluka: Ratnagiri</t>
  </si>
  <si>
    <t>PLOT NO. 3, NEAR VIDYUT COLONY, BEHIND NES HIGH SCHOOL,Parola Postal/Zip Code: 425111 Taluka: Parola</t>
  </si>
  <si>
    <t>BESIDE TAHSIL OFFICE, GANDEWAR COLONY, BHOKAR Postal/Zip Code: 431801 Taluka: Bhokar</t>
  </si>
  <si>
    <t>Mahatma Phule Chowk, Mali Lane, Bhingar Postal/Zip Code: 414002 Taluka: Ahmednagar</t>
  </si>
  <si>
    <t>Shop No.135 1st floor Kakde plaza Buid Opp.Kakde City.Karvenagar Pune.52 Postal/Zip Code: 411052 Taluka: Haveli</t>
  </si>
  <si>
    <t>Plot No. 38, Gaurav Bhavan, Near Petrol Pump, Khedi Shivar Postal/Zip Code: 425003 Taluka: Jalgaon</t>
  </si>
  <si>
    <t>Rahatani Phata Road, Near To Old Mseb Office , Rahatani Gaothan, Rahatani Postal/Zip Code: 411017 Taluka: Haveli</t>
  </si>
  <si>
    <t>Lonand-Satara Road, Near Mhaske Hospital, Above Pratik Footware, Lonand, Tal: Khandala Postal/Zip Code: 415521 Taluka: Khandala</t>
  </si>
  <si>
    <t>Plot No. 33, Vivekanand Nagar, Alodi Road, Nalwadi, Wardha Postal/Zip Code: 442001 Taluka: Wardha</t>
  </si>
  <si>
    <t>Bhima Devi Road, Ward No. 2, Bhiwapur Postal/Zip Code: 441201 Taluka: Bhivapur</t>
  </si>
  <si>
    <t>At Nagardevla Tal Pachora Dist Jalgaon Postal/Zip Code: 424104 Taluka: Pachora</t>
  </si>
  <si>
    <t>MAIN ROAD TAMSA Postal/Zip Code: 431713 Taluka: Hadgaon</t>
  </si>
  <si>
    <t>AT-Near swarup Stationary, wadkhal ,pen Postal/Zip Code: 402107 Taluka: Pen</t>
  </si>
  <si>
    <t>SHOP NO7 UNITED ENCIAVE, UDAY CHS,60FT ROAD OPP,CHOTTA SION HOSPITAL,BEHIND DHANWANTARY NURSING HOME, DHARAVI MUMBAI-17 Postal/Zip Code: 400017 Taluka: Mumbai</t>
  </si>
  <si>
    <t>7285, Central Bank Road, Opp. Dasi Pan, Ahmednagar Postal/Zip Code: 414001 Taluka: Ahmednagar</t>
  </si>
  <si>
    <t>Gandhi Nagar, Near Naik Bunglow, Mr. B. C. Jadhao House, Pusad Postal/Zip Code: 445204 Taluka: Pusad</t>
  </si>
  <si>
    <t>Old Bus Stand, Kalamnuri Postal/Zip Code: 431702 Taluka: Kalamanuri</t>
  </si>
  <si>
    <t>AT:KOPROLI ,NEAR SHREYASH HOSPITAL Postal/Zip Code: 400702 Taluka: Uran</t>
  </si>
  <si>
    <t>Sai Puja Building, Behind S.T. Stand, Sangameshwar Postal/Zip Code: 415611 Taluka: Sangameshwar</t>
  </si>
  <si>
    <t>Near post office, Second Floor Hadgaon Postal/Zip Code: 431712 Taluka: Hadgaon</t>
  </si>
  <si>
    <t>207, Vardhaman Shopping Center, Abv. Tungareshwar Sweet Mart, Vasai Station Postal/Zip Code: 401202 Taluka: Vasai</t>
  </si>
  <si>
    <t>17-18-19, Thanage Comlex, Near S.T. Stand , Newasa Postal/Zip Code: 414603 Taluka: Nevasa</t>
  </si>
  <si>
    <t>NAIK NAGAR SBI ROAD MANORA Postal/Zip Code: 444404 Taluka: Manora</t>
  </si>
  <si>
    <t>1st floor,Nale Building,near bhaji mandai, Tanaji chowk, Lonand Tal. Khandala , Dist. Satara. Postal/Zip Code: 415521 Taluka: Khandala</t>
  </si>
  <si>
    <t>4,First Floor,Sonibai Complex,Opp.Saibaba Mandir,At &amp; Post - Kalher,Tal.-Bhiwandi Postal/Zip Code: 421302 Taluka: Bhiwandi</t>
  </si>
  <si>
    <t>Avis Computers, Velapur Road, Malewadi, Akluj, Tah: Malshiras, Dist: Solapur Postal/Zip Code: 413101 Taluka: Malshiras</t>
  </si>
  <si>
    <t>At post, Wadner, Taluka-Nandura Postal/Zip Code: 443102 Taluka: Nandura</t>
  </si>
  <si>
    <t>K.M.S.Education Institutions Postal/Zip Code: 416518 Taluka: Vengurle</t>
  </si>
  <si>
    <t>C/O. Hanvate, Sailani Road, Raipur Postal/Zip Code: 443001 Taluka: Buldhana</t>
  </si>
  <si>
    <t>Orange Corner, Sangamner College Road, Sangamner Postal/Zip Code: 422605 Taluka: Sangamner</t>
  </si>
  <si>
    <t>At post Karajgi Tal:- Akkalkot Postal/Zip Code: 413219 Taluka: Akkalkot</t>
  </si>
  <si>
    <t>Marvel Apartment, Nara Road, Near Jaripatka Police Station Postal/Zip Code: 440014 Taluka: Nagpur</t>
  </si>
  <si>
    <t>Mangal Bhuvan Shopping Complex Ganpati Mandir Road Nandurbar Postal/Zip Code: 425412 Taluka: Nandurbar</t>
  </si>
  <si>
    <t>Near PCMC Primary School,AT Po.KIwale Gaothan,Tal Haveli,Pune Postal/Zip Code: 412101 Taluka: Haveli</t>
  </si>
  <si>
    <t>Om Sai Datta Niwas, Plot NO.-A-32, 1st floor, Room No - 201, Nerul - (W) Navi Mumbai - 400 706 Postal/Zip Code: 400706 Taluka: Thane</t>
  </si>
  <si>
    <t>Kalpataru Soceity Balkrushna Nagar,Plot No 81, Vijay Chowk Garkhda Parisar, Aurangabad Postal/Zip Code: 431005 Taluka: Aurangabad</t>
  </si>
  <si>
    <t>Office No.6,1st Floor,Sagar Plaza,M.G.Road gahtkopar (W) Postal/Zip Code: 400086 Taluka: Kurla</t>
  </si>
  <si>
    <t>At Post Parinche, Near KBP High School. Postal/Zip Code: 412311 Taluka: Purandar</t>
  </si>
  <si>
    <t>Ward no. 5, Main Road Gadchandur Postal/Zip Code: 442908 Taluka: Korpana</t>
  </si>
  <si>
    <t>Poorva Apts, Shop No.4, Plot No.64, NEAR Raghavendra Hotel ,near chikhali bsnl office.near RTO office purnanagar, chikhali. Postal/Zip Code: 411014 Taluka: Haveli</t>
  </si>
  <si>
    <t>At. post HANEGAON Tq. DEGLOOR DIST. NANDED Postal/Zip Code: 431741 Taluka: Deglur</t>
  </si>
  <si>
    <t>House 1176,First Floor , Rajguru Complex, Banda ,Sawantwadi Postal/Zip Code: 416511 Taluka: Savantwadi</t>
  </si>
  <si>
    <t>At : Pedali, Post : Tiware, Tal. : Sudhagad, Dist : Raigad. Postal/Zip Code: 410205 Taluka: Pali-Sudhagad</t>
  </si>
  <si>
    <t>5/341, Near Maharanapratap Vidyalaya , Jamner Road , Bhusawal Postal/Zip Code: 425201 Taluka: Bhusawal</t>
  </si>
  <si>
    <t>Pir Makhdum Saheb Charitable Trust(WAKF), Dargah Sharief, Dargah Street, Mahim, Mumbai Postal/Zip Code: 400016 Taluka: Mumbai</t>
  </si>
  <si>
    <t>MOTHI KUNBI LANE, BHADRA MARUTI ROAD Postal/Zip Code: 431101 Taluka: Khulatabad</t>
  </si>
  <si>
    <t>At Post Takrarwadi backup, limewire Postal/Zip Code: 413130 Taluka: Indapur</t>
  </si>
  <si>
    <t>Achanak Chouk,NDA Rd,Opp Anant Mangal Karyalaya,UttamNagar,Pune Postal/Zip Code: 411023 Taluka: Haveli</t>
  </si>
  <si>
    <t>At Post Nimgaon Ketki Postal/Zip Code: 413120 Taluka: Indapur</t>
  </si>
  <si>
    <t>At Post Sangavi Postal/Zip Code: 423101 Taluka: Chandwad</t>
  </si>
  <si>
    <t>MAIN MARKET AREA AT POST KUNDALWADI TQ. BILOLI DIST. NANDED Postal/Zip Code: 431711 Taluka: Biloli</t>
  </si>
  <si>
    <t>Sawitribai Fule Society, Sambhaji Nager, Waghapur, Yavatmal Postal/Zip Code: 445001 Taluka: Yavatmal</t>
  </si>
  <si>
    <t>53, Bank Colony, Bhagwan Nagar Postal/Zip Code: 440027 Taluka: Nagpur</t>
  </si>
  <si>
    <t>Above SBI Bank, 786(A), NH-8, Talasari Postal/Zip Code: 401606 Taluka: Talasari</t>
  </si>
  <si>
    <t>Indira Nagar, Mul Road, Nr. Railway Crossing,Chandrapur Postal/Zip Code: 442401 Taluka: Chandrapur</t>
  </si>
  <si>
    <t>Sanskar Bharti Computer Training Center, At+Post : Kandri, Kanhan Postal/Zip Code: 441401 Taluka: Parashivani</t>
  </si>
  <si>
    <t>Shop No 6 Sureshdada Jain Complex,First Floor, Near Kashinath Lodge, Mehrun Road, Midc Postal/Zip Code: 425003 Taluka: Jalgaon</t>
  </si>
  <si>
    <t>AT POST HASNABAD Postal/Zip Code: 431114 Taluka: Bhokardan</t>
  </si>
  <si>
    <t>Shop No ,4,5 Padamshri Complex, Near Railway Gate, Postal/Zip Code: 425105 Taluka: Dharangaon</t>
  </si>
  <si>
    <t>Near bus-stop, Lakhani Postal/Zip Code: 441804 Taluka: Lakhani</t>
  </si>
  <si>
    <t>Jogi Complex,Chandrapur Road, Ghugus Postal/Zip Code: 442505 Taluka: Chandrapur</t>
  </si>
  <si>
    <t>PLOT NO 12 VIDYUAT NAGAR,COLONY NO 2 BEHIND PRATAP MILL AHILLYADEVI NAGAR CHOUK,DHULE Postal/Zip Code: 424001 Taluka: Dhule</t>
  </si>
  <si>
    <t>DEVIGALLY BUS STAND ROAD UMRI Postal/Zip Code: 431807 Taluka: Umree</t>
  </si>
  <si>
    <t>Panchvati Nagar, Ring Road, Ekmat Chowk, Postal/Zip Code: 413531 Taluka: Latur</t>
  </si>
  <si>
    <t>New Satara Near Nahata Bank Mamaji Talkies Road Bhusawal Postal/Zip Code: 425201 Taluka: Bhusawal</t>
  </si>
  <si>
    <t>Smt. Neerabai Jagannath Parkar Vidyanagari, Post- Devgad, Tal- Devgad, Dist- Sindhudurga. Postal/Zip Code: 416613 Taluka: Devgad</t>
  </si>
  <si>
    <t>AT POST BETAWAD Postal/Zip Code: 425403 Taluka: Sindkhed</t>
  </si>
  <si>
    <t>Shop-6, Shanti Enclave Bldg, Near Mira road Station, Mira Road (East)-401107 Postal/Zip Code: 401107 Taluka: Thane</t>
  </si>
  <si>
    <t>2578 Near S.T. Stand, Pandharpur Road, Zadbuke Hospital, Mohol Postal/Zip Code: 413213 Taluka: Mohol</t>
  </si>
  <si>
    <t>BRAHAMAN GALLI, BEGAMPURA, AURNAGABAD Postal/Zip Code: 431004 Taluka: Aurangabad</t>
  </si>
  <si>
    <t>Dastur nager old by pass road Jivan Jyoti colony Gajana Complex Amravati Postal/Zip Code: 444606 Taluka: Amravati</t>
  </si>
  <si>
    <t>Above Print-O-Graphics, Sai Nath Nagar, Near Tirandaz Village School, I.I.T.Maingate, Powai, Postal/Zip Code: 400076 Taluka: Kurla</t>
  </si>
  <si>
    <t>Shop no 2, ground floor, plot no 129, s no 34/2, dhanori, vidyanagar,pune Postal/Zip Code: 411032 Taluka: Haveli</t>
  </si>
  <si>
    <t>5,NEAR RENUKA MATA MANDIR GATE BEED BY PASS, SATARA PARISAR,ABAD Postal/Zip Code: 431001 Taluka: Aurangabad</t>
  </si>
  <si>
    <t>At post Chikhali, Taluka-Kandha, Dist-Nanded Postal/Zip Code: 431746 Taluka: Kandhar</t>
  </si>
  <si>
    <t>DURWANKUR, NR. VETOBA TEMPLE, AJGAON Postal/Zip Code: 416538 Taluka: Savantwadi</t>
  </si>
  <si>
    <t>S.No.87,Shubham Complex,Opp Aher Garden,Valhekar Wadi,Chinchwad Postal/Zip Code: 411033 Taluka: Haveli</t>
  </si>
  <si>
    <t>KAILAS SHOPING CENTER,KUWARBAV,RATNAGIRI Postal/Zip Code: 415639 Taluka: Ratnagiri</t>
  </si>
  <si>
    <t>Chhtrapati Sambhaji Maharaj Mahavidyalaya (BCA&amp;BScCS) Mahur Postal/Zip Code: 431721 Taluka: Mahoor</t>
  </si>
  <si>
    <t>2nd Floor Trishul apt,Nana Pawshe Chowk,Katemanivali,Kalyan(E) Postal/Zip Code: 421306 Taluka: Kalyan</t>
  </si>
  <si>
    <t>Yashogan Complex, Near Sant Tukaram Maharaj Mandir, Lohagaon, Tal - Haveli, Dist - Pune, Pincode- 411047 Postal/Zip Code: 411047 Taluka: Haveli</t>
  </si>
  <si>
    <t>Shatabdi Complex, Opposite To S.T. Stand, Near Pranjal Hospital, Manchar, Tal. Ambegaon, Dist.Pune Postal/Zip Code: 410503 Taluka: Ambegaon</t>
  </si>
  <si>
    <t>1st flr, Jaya Talkies Building, Borivali ( W ) Postal/Zip Code: 400092 Taluka: Boriwali</t>
  </si>
  <si>
    <t>C/O R.J.MUDDERAJ NEAR RAM MANDIR Postal/Zip Code: 443302 Taluka: Lonar</t>
  </si>
  <si>
    <t>Chawl No-104, Room No-830,D.B. More Marg ,Near Trikoni Maidan, Motilal Nagar - 1, Goregaon (W). Postal/Zip Code: 400104 Taluka: Boriwali</t>
  </si>
  <si>
    <t>Plot No.22, Line 'k', Room No. 3, Baigan Wadi, Govandi Postal/Zip Code: 400033 Taluka: Kurla</t>
  </si>
  <si>
    <t>Main Road Barashiv Postal/Zip Code: 431705 Taluka: Audha Naganath</t>
  </si>
  <si>
    <t>Subhash/ Sada Patil Bldg, Shop No.2, Near Maruti Mandir, Yadav Nagar Road, Mohone Postal/Zip Code: 421102 Taluka: Kalyan</t>
  </si>
  <si>
    <t>Near Gujral Petrol Pump, Postal/Zip Code: 425002 Taluka: Jalgaon</t>
  </si>
  <si>
    <t>Near Doordarshan Kendra, Bus Stand Road, Risod Postal/Zip Code: 444506 Taluka: Risod</t>
  </si>
  <si>
    <t>Khade Niwas, Dongaon Road, Mehkar Postal/Zip Code: 443301 Taluka: Mehekar</t>
  </si>
  <si>
    <t>KBP College Road, Near Dosti Road Lines, Market Yard Shoping Centre, shop no. 12, Pandharpur Postal/Zip Code: 413304 Taluka: Pandharpur</t>
  </si>
  <si>
    <t>vaduj road opposite to post office pusegaon Tal Khatav dist satara Postal/Zip Code: 415502 Taluka: Khatav</t>
  </si>
  <si>
    <t>UNDANGAON CHOUFULI,GOLEGAON. Postal/Zip Code: 431112 Taluka: Sillod</t>
  </si>
  <si>
    <t>Behind Police Station Postal/Zip Code: 413502 Taluka: Paranda</t>
  </si>
  <si>
    <t>Infront of Tahsil office, Bus stand Road, Palam Postal/Zip Code: 431720 Taluka: Palam</t>
  </si>
  <si>
    <t>At Po Ner Pinglai, Tah Morshi, Dist Amravati Postal/Zip Code: 444707 Taluka: Morshi</t>
  </si>
  <si>
    <t>3, Navjiwan Colony, University Road, Camp Amravati Postal/Zip Code: 444602 Taluka: Amravati</t>
  </si>
  <si>
    <t>Vidyanidhi infotech academy, Vidyanidhi Education Complex, 5th Flr, Juhu Postal/Zip Code: 400049 Taluka: Andheri</t>
  </si>
  <si>
    <t>Shrinathji Nagar Plot No 62 Parola Postal/Zip Code: 425111 Taluka: Parola</t>
  </si>
  <si>
    <t>Shop No.1, Kamraj CHS., Balaji Nagar, below apna sahakari bank,90 ft Road, Dharavi, Mumbai-17 Postal/Zip Code: 400017 Taluka: Mumbai</t>
  </si>
  <si>
    <t>Apeksha Computers, Ground Floor,Sai Suman Apartment Bldg, Wada Road,Vikramgad. Pin 401605. Postal/Zip Code: 401605 Taluka: Vikramgad</t>
  </si>
  <si>
    <t>At Post - Wadner Postal/Zip Code: 442307 Taluka: Hinganghat</t>
  </si>
  <si>
    <t>Opp.Old Khojja Jamat Khana, Devi Road, Dharmabad. Postal/Zip Code: 431809 Taluka: Dharmabad</t>
  </si>
  <si>
    <t>Main Road, Line No. 3, Vilas Nagar Amravati Postal/Zip Code: 444604 Taluka: Amravati</t>
  </si>
  <si>
    <t>Near Buldana Urban Bank, Medewar Complex, Main Road, Naigaon Bazar. Postal/Zip Code: 431709 Taluka: Naigaon</t>
  </si>
  <si>
    <t>At post Kanholibara, Taluka-Hingana Postal/Zip Code: 441110 Taluka: Hingana</t>
  </si>
  <si>
    <t>Dhanokar Complex Postal/Zip Code: 444502 Taluka: Balapur</t>
  </si>
  <si>
    <t>98, Haji kasam Chawl, 1st Floor, Near Jacob Circle, Saat Rasta, Keshavrao Khade Marg, Mahalakshmi Postal/Zip Code: 400011 Taluka: Mumbai</t>
  </si>
  <si>
    <t>SHOP NO-38,YASHWANT VIHAR,SR NO-44/4,GARMAL DHAIRY(OPPOSITE KHENAT HOSPITAL) PUNE Postal/Zip Code: 411041 Taluka: Haveli</t>
  </si>
  <si>
    <t>13, 1st Flr, Kalptaru Shopping complex, Agra Rd., At &amp; post-Shahapur Postal/Zip Code: 421601 Taluka: Shahapur</t>
  </si>
  <si>
    <t>Master Colony, Anji Mothi Postal/Zip Code: 442103 Taluka: Wardha</t>
  </si>
  <si>
    <t>Indar Complex, Pachora Road, Bhadgaon Postal/Zip Code: 424105 Taluka: Bhadgaon</t>
  </si>
  <si>
    <t>PRAGATI COMPUTER EDUCATION, FULE NAGAR, MAIN ROAD KAIJ, TQ. KAIJ DIST. BEED Postal/Zip Code: 431123 Taluka: Kaij</t>
  </si>
  <si>
    <t>Shakuntala Nivas main road, kautha area Postal/Zip Code: 431603 Taluka: Nanded</t>
  </si>
  <si>
    <t>FLAT NO. 2, MAHESH VIHAR, , SHIVAJI NAGAR, JAIL ROAD, NASHIK ROAD. Postal/Zip Code: 422101 Taluka: Nashik</t>
  </si>
  <si>
    <t>SHOP NO. 5 /5 RAMADHAR SHUKLA CHL, SAMARTH NAGAR,MAJAS WAD JOGESHWARI MU. 60 Postal/Zip Code: 400060 Taluka: Andheri</t>
  </si>
  <si>
    <t>Sector no 1, Ram Tilak Housing Society,Sai chowk,Indrayaninagar Bhosari Postal/Zip Code: 411026 Taluka: Haveli</t>
  </si>
  <si>
    <t>Ramnager Grampanchayat, (Sugar Factry ) Postal/Zip Code: 431203 Taluka: Jalna</t>
  </si>
  <si>
    <t>At post Bori Arab, Postal/Zip Code: 445201 Taluka: Darva</t>
  </si>
  <si>
    <t>Workshop Road Jangamwadi Postal/Zip Code: 431605 Taluka: Nanded</t>
  </si>
  <si>
    <t>Asmita heights, Near Bhausaheb Fulari Heigh school, Balikashram road, Savedi, Ahmednagar. Postal/Zip Code: 414003 Taluka: Ahmednagar</t>
  </si>
  <si>
    <t>Nanded-Hingoli Road Akhada Balapur Tq.Kalamnuri Dist.Hingoli Postal/Zip Code: 431701 Taluka: Kalamanuri</t>
  </si>
  <si>
    <t>Neri Bk. Postal/Zip Code: 425114 Taluka: Jamner</t>
  </si>
  <si>
    <t>Sneh-Sadan, Survey No. 85, Opp. Rode Hospital, Sai Park, Dighi, Pune-15 Postal/Zip Code: 411015 Taluka: Haveli</t>
  </si>
  <si>
    <t>21, Desai Plaza, Opp. State Bank, Karad Road, Chinch Naka, Chiplun Postal/Zip Code: 415605 Taluka: Chiplun</t>
  </si>
  <si>
    <t>In Front Of Janta College, Risod, Dist. Washim Postal/Zip Code: 444506 Taluka: Risod</t>
  </si>
  <si>
    <t>Hanuman Chowk, Chikalthana, Aurangabad Postal/Zip Code: 431201 Taluka: Aurangabad</t>
  </si>
  <si>
    <t>At- Wanadongri, Mahajanwadi, Hingna road, Nagpur. Postal/Zip Code: 441110 Taluka: Hingana</t>
  </si>
  <si>
    <t>Dhamangaon Road,Kada Tal Ashti Dist Beed Postal/Zip Code: 414202 Taluka: Ashti</t>
  </si>
  <si>
    <t>Sahebrao Vaidhya's House, Rajnagar , Infront of PWD office,Achalpur Road , Paratwada,Tq Achalpur Dist Amravati Postal/Zip Code: 444806 Taluka: Achalpur</t>
  </si>
  <si>
    <t>Jui Appartment,Proffessor-Colony Chowk,Near Akashwani Kendra,Savedi,Ahmednagar Postal/Zip Code: 414003 Taluka: Ahmednagar</t>
  </si>
  <si>
    <t>C/o Naval Mantri, Near Sringar Sadan, Ward No.4, Telhara, Dist. Akola Postal/Zip Code: 444108 Taluka: Telhara</t>
  </si>
  <si>
    <t>Bholenath Chowk, Near Success Classes, Rashin Postal/Zip Code: 414402 Taluka: Karjat</t>
  </si>
  <si>
    <t>At/P Alkuti Tal- Parner Dist- Ahmednagar Postal/Zip Code: 414305 Taluka: Parner</t>
  </si>
  <si>
    <t>G-16 Nit Complex, Mirchibazar, Bhande Plot, Nagpur-24 Postal/Zip Code: 440024 Taluka: Nagpur</t>
  </si>
  <si>
    <t>A/P. Medha, Tal. Jawali, Dist. Satara Postal/Zip Code: 415012 Taluka: Jawali</t>
  </si>
  <si>
    <t>1st Floor, Opp. Canara Bank, Pune-Nagar Road, Wagholi Postal/Zip Code: 412207 Taluka: Haveli</t>
  </si>
  <si>
    <t>Navbharat Vidhayaly, 100, St. Xavier Street, Opp. Bhoiwada Court, Parel, Bhoiwada, Mumbai Postal/Zip Code: 400012 Taluka: Mumbai</t>
  </si>
  <si>
    <t>Digras Road, Manora Dist Washim Postal/Zip Code: 444404 Taluka: Manora</t>
  </si>
  <si>
    <t>Nagar Road, Pathardi, Tal-Pathardi, Dist-Ahmednagar Postal/Zip Code: 414102 Taluka: Pathardi</t>
  </si>
  <si>
    <t>Shop No. 5 Ubale Complex Main Road , Pandharpur , Aurangabad. Postal/Zip Code: 431136 Taluka: Aurangabad</t>
  </si>
  <si>
    <t>N/R Marathi School , Bhurhanpur Road, Anturli Tal-Muktainagar, Dist-Jalgaon Postal/Zip Code: 425324 Taluka: Muktainagar</t>
  </si>
  <si>
    <t>10 SUNDARACH COLONY NEAR AGRASEN HIGH SCHOOL SAKRI ROAD DHULE Postal/Zip Code: 424001 Taluka: Dhule</t>
  </si>
  <si>
    <t>Near Datta Mandir, Navegaon, A/P Bolthan, Tal.Nandgaon, Dist.Nashik Postal/Zip Code: 423106 Taluka: Nandgaon</t>
  </si>
  <si>
    <t>"Bhanji Complex", Near Vrandawan Appartment, Sutmill Road Postal/Zip Code: 413512 Taluka: Latur</t>
  </si>
  <si>
    <t>116 1/1 MEZZENINE FLOOR, OPP.RAWLI CAMP GURUDWARA, Postal/Zip Code: 400022 Taluka: Mumbai</t>
  </si>
  <si>
    <t>SHEGAON RAOD , INFARND OF SARGIT HOUSE, TELHARA. Postal/Zip Code: 444108 Taluka: Telhara</t>
  </si>
  <si>
    <t>Near Dynadeep Highschool, Rupi Nagar Talwade. Postal/Zip Code: 412114 Taluka: Haveli</t>
  </si>
  <si>
    <t>At. Po. Pimpalgoan Postal/Zip Code: 431114 Taluka: Bhokardan</t>
  </si>
  <si>
    <t>Main Road, Wadvani, Tq.Wadvani Dist. Beed Postal/Zip Code: 431122 Taluka: Vadavani</t>
  </si>
  <si>
    <t>Shree Computers , Above Bajaj Showroom ,Vicky Plaza , Opp. S.T. Stand , Karmala , Dist. - Solapur. Postal/Zip Code: 413203 Taluka: Karmala</t>
  </si>
  <si>
    <t>A-209, Hydrabad Road, Vidi Gharkul Postal/Zip Code: 413005 Taluka: Solapur(s)</t>
  </si>
  <si>
    <t>At.Palshi Post.Bhokramba Postal/Zip Code: 413527 Taluka: Renapur</t>
  </si>
  <si>
    <t>Samata Nagar,Babasaheb Mandir to Nutan College Road Postal/Zip Code: 431503 Taluka: Selu</t>
  </si>
  <si>
    <t>Sai Baba Colony,Satana Road,Near Suhari Hospital Postal/Zip Code: 424306 Taluka: Sakri</t>
  </si>
  <si>
    <t>Near Police Station Postal/Zip Code: 431512 Taluka: Basamat</t>
  </si>
  <si>
    <t>Dwarkadhish Colony, Alamgirnagar, Bhingar, Nagardeola, Ahmednagar. Postal/Zip Code: 414002 Taluka: Ahmednagar</t>
  </si>
  <si>
    <t>D.N.NAGAR,ANDHERI (W) Postal/Zip Code: 400053 Taluka: Andheri</t>
  </si>
  <si>
    <t>Shop No.2,1st floor,Surya Arcade,Opp.Nimani Bus Stop,Panchavati,Nashik Postal/Zip Code: 422003 Taluka: Nashik</t>
  </si>
  <si>
    <t>NAGAR PARISHAD MARKET, ATHAWDI BAZAR, NEAR SHIVAJI STATUE Postal/Zip Code: 444805 Taluka: Achalpur</t>
  </si>
  <si>
    <t>118/836 MHB COLONY OPPOSITE BALVIKAS VIDYA MANDIR SARVODAYA NAGAR JOGESHWARI (E) Postal/Zip Code: 400060 Taluka: Andheri</t>
  </si>
  <si>
    <t>447/2465, SANT TUKARAM NAGAR, PIMPRI, PUNE Postal/Zip Code: 411018 Taluka: Haveli</t>
  </si>
  <si>
    <t>Swami Samarth Plaza, Near Shami Ganpati Mandir, Delhi Gate, Ahmednagar Postal/Zip Code: 414001 Taluka: Ahmednagar</t>
  </si>
  <si>
    <t>A/P Padel (Vijaydurg) Tal. Devgad Dist.: Sindhudurg Postal/Zip Code: 416806 Taluka: Devgad</t>
  </si>
  <si>
    <t>1st floor, Smt. Shanta Jog Marg, Near Chembur Railway Fly Over Bridge, Chembur(W) Postal/Zip Code: 400089 Taluka: Kurla</t>
  </si>
  <si>
    <t>1St FLOOR DHANWANTARI MEDICAL Postal/Zip Code: 441807 Taluka: Sadak arjuni</t>
  </si>
  <si>
    <t>Near Maheshwari Bhawan Telhara Postal/Zip Code: 444108 Taluka: Telhara</t>
  </si>
  <si>
    <t>Near Bus Stand , Rashin Postal/Zip Code: 414403 Taluka: Karjat</t>
  </si>
  <si>
    <t>GOVIND COMPLEX,JALNA ROAD,GADHI. Postal/Zip Code: 431127 Taluka: Georai</t>
  </si>
  <si>
    <t>Priydarshni Colony, Near Parshvbhumi Newspaper, Jalna Postal/Zip Code: 431203 Taluka: Jalna</t>
  </si>
  <si>
    <t>Shop No. 2, gr. floor, CHANDRAMA Co-op.hsg.scty.ltd. , Govind Bachhaji Road,Near Dagadi School, Charai ,Thane(W). 400602 Postal/Zip Code: 401302 Taluka: Vasai</t>
  </si>
  <si>
    <t>At Post Sugar factory, Ganesh Nagar, MIDC Area , Paithan Postal/Zip Code: 431148 Taluka: Paithan</t>
  </si>
  <si>
    <t>Flat No.1, Vyankatesh Apartment,Limaye Wadi,1204 Sadashiv Peth Postal/Zip Code: 411030 Taluka: Haveli</t>
  </si>
  <si>
    <t>Wable Complex,Nagar Manmad Road,Rahata Postal/Zip Code: 423107 Taluka: Rahata</t>
  </si>
  <si>
    <t>11, Indrapast Complex, Chinchani Rd. Vangoan (W) Postal/Zip Code: 401103 Taluka: Dahanu</t>
  </si>
  <si>
    <t>Agripada Municipal Marathi Schoo, Ground Floor, Ymca-Ord Dept., Opp. Ymca Swimming Pool, F.S.Umerbhai Path, Agripada Postal/Zip Code: 400011 Taluka: Mumbai</t>
  </si>
  <si>
    <t>AT POST NER Postal/Zip Code: 431203 Taluka: Jalna</t>
  </si>
  <si>
    <t>006,Dev-Raj Shopping Center,Above ICICI Direct Opp-Madhuram Hall,Near Railway Station Postal/Zip Code: 400068 Taluka: Boriwali</t>
  </si>
  <si>
    <t>Grampanchayat Complex,Rajur Road,Dabhadi Postal/Zip Code: 431202 Taluka: Badnapur</t>
  </si>
  <si>
    <t>Gautam computer Education, Shivaji Ward, (gurunank 3), bhandara Postal/Zip Code: 441904 Taluka: Bhandara</t>
  </si>
  <si>
    <t>At. Post Rasegaon Tq. Achalpur Postal/Zip Code: 444806 Taluka: Achalpur</t>
  </si>
  <si>
    <t>A/P- Kolgaon Tal- Shrigonda Dist- Ahmednagar Postal/Zip Code: 413728 Taluka: Shrigonda</t>
  </si>
  <si>
    <t>AT. POST. NITOOR Postal/Zip Code: 413530 Taluka: Nilanga</t>
  </si>
  <si>
    <t>1ST FLOOR, ABOVE ST STAND POYNAD NAKA Postal/Zip Code: 402108 Taluka: Alibag</t>
  </si>
  <si>
    <t>M-1,15/1, Ramnagar CIDCO N-2, Aurangabad Postal/Zip Code: 431001 Taluka: Aurangabad</t>
  </si>
  <si>
    <t>Gavhane Chambers,Shop No.4,Opp.Old Sevadham Hospital, Talegaon Dabhade (Station) Tal- Mawal Dist-Pune, Postal/Zip Code: 410507 Taluka: Maval</t>
  </si>
  <si>
    <t>Vidyut Colony Parisar, Begampura,Aurangabad. Postal/Zip Code: 431005 Taluka: Aurangabad</t>
  </si>
  <si>
    <t>Near ADCC Bank, At. Post. Pimpri Raja, Postal/Zip Code: 431203 Taluka: Aurangabad</t>
  </si>
  <si>
    <t>Farida Aprartment, Gr. Floor, R. No. 1, L.J.Road, Mahim, Mumbai Postal/Zip Code: 400016 Taluka: Mumbai</t>
  </si>
  <si>
    <t>B-17 MANIK C.H.S. LTD. SUNMILL LANE, S J MARG, LOWER PAREL Postal/Zip Code: 400013 Taluka: Mumbai</t>
  </si>
  <si>
    <t>KALWAN ROAD, AT POST KANASHI, TAL. KALWAN, DIST. NASHIK Postal/Zip Code: 423502 Taluka: Kalvan</t>
  </si>
  <si>
    <t>main bus stand road palam Postal/Zip Code: 431720 Taluka: Palam</t>
  </si>
  <si>
    <t>Sahakar Nagar, Opp Old Sbi, Jalgaon Road, Postal/Zip Code: 425201 Taluka: Bhusawal</t>
  </si>
  <si>
    <t>Shivtirth Shopping Centre, Shop No. 35, Yashwant Nagar, Akluj. Tah : Malshiras Dist : Solapur Postal/Zip Code: 413118 Taluka: Malshiras</t>
  </si>
  <si>
    <t>Nagrshwar galli kandha Postal/Zip Code: 431714 Taluka: Kandhar</t>
  </si>
  <si>
    <t>NEAR BUS STAND Postal/Zip Code: 413519 Taluka: Deoni</t>
  </si>
  <si>
    <t>SANKALP KANISHTHA MAHAVIDYALAYA, UMARI (ROAD)taluka kelapur, dist yavatmal Postal/Zip Code: 445302 Taluka: Kelapur</t>
  </si>
  <si>
    <t>TEACHER COLONY ROAD PATHRI Postal/Zip Code: 431506 Taluka: Pathri</t>
  </si>
  <si>
    <t>At Po Benoda Postal/Zip Code: 444812 Taluka: Warud</t>
  </si>
  <si>
    <t>VPS COMPLEX, MAIN ROAD, KHAPARKHEDA Postal/Zip Code: 441102 Taluka: Savner</t>
  </si>
  <si>
    <t>BALAJI TOWER,NEAR TAHASIL OFFICE Postal/Zip Code: 444906 Taluka: Warud</t>
  </si>
  <si>
    <t>Sanghavi Hieghts, Bhigwan Road, Jalochi Tal. Baramati Dist-Pune Postal/Zip Code: 413102 Taluka: Baramati</t>
  </si>
  <si>
    <t>At Post Pedgaon Postal/Zip Code: 431537 Taluka: Parbhani</t>
  </si>
  <si>
    <t>,Beside Sabahat Hospital , Younus Colony,Roshan gate Aurangaad Postal/Zip Code: 431005 Taluka: Aurangabad</t>
  </si>
  <si>
    <t>Lahoti Complex, Near Dr.Shinde Dental Hospital, Dongoan road, Mehkar Postal/Zip Code: 443301 Taluka: Mehekar</t>
  </si>
  <si>
    <t>At Post Janwal Postal/Zip Code: 413529 Taluka: Chakur</t>
  </si>
  <si>
    <t>Near Water Tank,Opp.Z.P.Highschool (Boys) Postal/Zip Code: 431717 Taluka: Deglur</t>
  </si>
  <si>
    <t>515, Ghorpade peth, panchhaud ,pune Postal/Zip Code: 411042 Taluka: Haveli</t>
  </si>
  <si>
    <t>Technical Training Center, Dahanu Thermal Power Station,Reliance Nagar Postal/Zip Code: 401608 Taluka: Dahanu</t>
  </si>
  <si>
    <t>AT POST SHEL-PIMPALGAON, TALUKA KHED, DIST. PUNE Postal/Zip Code: 410501 Taluka: Khed</t>
  </si>
  <si>
    <t>At Post Kelzar, Kelzar Postal/Zip Code: 442115 Taluka: Selu</t>
  </si>
  <si>
    <t>SHAKAMBHARI COMPLEX, NEAR HIGHSCHOOL, SHEVGAON ROAD, KUKANA, TAL- NEVASA Postal/Zip Code: 414604 Taluka: Nevasa</t>
  </si>
  <si>
    <t>At Post Piliv Postal/Zip Code: 413310 Taluka: Malshiras</t>
  </si>
  <si>
    <t>ShreeRam Computer Education, Shop 3, Shri Siddhivinayk Enclave, Near DAV Public School, Sector 9, New Panvel Postal/Zip Code: 410206 Taluka: Panvel</t>
  </si>
  <si>
    <t>2nd Floor, Ajantha Complex, Shivaji Nagar Postal/Zip Code: 413521 Taluka: Nilanga</t>
  </si>
  <si>
    <t>Sandip Manohar Rahate MATARGAON BK Postal/Zip Code: 444304 Taluka: Shegaon</t>
  </si>
  <si>
    <t>39/37, civic center, station rd, nallasopara(w), Postal/Zip Code: 401203 Taluka: Vasai</t>
  </si>
  <si>
    <t>267 / D - 5, Mahalaxmi C.H.S. , Gorai - II , Borivali (w) , Mumbai - 92 Postal/Zip Code: 400092 Taluka: Boriwali</t>
  </si>
  <si>
    <t>Mhatardevi Near W.C.L. Railway Crossing Tadali Road, Mhatardevi (Ghugus) Post. Ghugus Postal/Zip Code: 442505 Taluka: Chandrapur</t>
  </si>
  <si>
    <t>A/P:- Bodhegaon Tal:- Shevgaon Dist:- Ahmednagar Postal/Zip Code: 414503 Taluka: Shevgaon</t>
  </si>
  <si>
    <t>shop no.192, seth motisha lane, Ragina pacis compound,Byculla, mumbai-400027 Postal/Zip Code: 400027 Taluka: Mumbai</t>
  </si>
  <si>
    <t>H. NO. 732, JUNA STAND, BANDA, TAL- SAWANTWADI, SINDHUDURG Postal/Zip Code: 416511 Taluka: Savantwadi</t>
  </si>
  <si>
    <t>Talegaon (sp) Postal/Zip Code: 442202 Taluka: Ashtee</t>
  </si>
  <si>
    <t>119, Purusharth Bldg. Gr. Floor, Shop No.1, Nauroji Hill Road No.2, Dongri Postal/Zip Code: 400009 Taluka: Mumbai</t>
  </si>
  <si>
    <t>UMAR CHOWK, KHWAJA NAGAR, OSMANABAD Postal/Zip Code: 413501 Taluka: Osmanabad</t>
  </si>
  <si>
    <t>RL-140, Near Little Angel School, Bajaj Nagar, MIDC Waluj, Tq-Gangapur, Dist-A'bad. Postal/Zip Code: 431136 Taluka: Gangapur</t>
  </si>
  <si>
    <t>At Po Anjansingi, Tah Dhamangaon Dist Amravati Postal/Zip Code: 444709 Taluka: Dhamangaon</t>
  </si>
  <si>
    <t>Shop No.2, Ambabai Chawl, Ganpatrao Kadam Marg, Opp. Municipal School, Near A to Z Industries, Lower Parel (W) Postal/Zip Code: 400013 Taluka: Mumbai</t>
  </si>
  <si>
    <t>Shop No. 09, Sai Darshan Chs, Bhandup-Nahur Village Road, Nahur West Mumbai Postal/Zip Code: 400078 Taluka: Kurla</t>
  </si>
  <si>
    <t>AT POST KASAR SIRSI Postal/Zip Code: 413607 Taluka: Nilanga</t>
  </si>
  <si>
    <t>Shivaji Nagar,Ward No.7 Mehkar Postal/Zip Code: 443304 Taluka: Mehekar</t>
  </si>
  <si>
    <t>MAULI COMPLEX, S.J.P.M. COLLEGE ROAD LOHARA Postal/Zip Code: 413608 Taluka: Lohara</t>
  </si>
  <si>
    <t>Shop No 16 Kailas soc.Sangam chowk Shastrinagar Kothrud Postal/Zip Code: 411038 Taluka: Haveli</t>
  </si>
  <si>
    <t>sr. no. 116/1, "pandurang nivas", jadhav wasti, kalas, alandi road, pune Postal/Zip Code: 411015 Taluka: Haveli</t>
  </si>
  <si>
    <t>Near Kali Masjid, Mujawar Mohalla, Nandurbar Postal/Zip Code: 425412 Taluka: Nandurbar</t>
  </si>
  <si>
    <t>Phulambri, Tq. Phulambri, Dist Aurangabad Postal/Zip Code: 431111 Taluka: Fulammbri</t>
  </si>
  <si>
    <t>Rashtra Sant Colony, Gurudev Nagar, Gurukunj Mozari, Ta-Tivsa Postal/Zip Code: 444903 Taluka: Tivsa</t>
  </si>
  <si>
    <t>39/B, Ground Floor, Subhash Colony, Shirpur, Tal : Shirpur, Dist: Dhule Postal/Zip Code: 425405 Taluka: Shirpur</t>
  </si>
  <si>
    <t>2ND FLOOR ,Premises of Sou Laxmibai English Medium School ,VEER SAVARKAR MARG, NEAR SAMBHAJI GARDEN, MULUND(E), MUMBAI Postal/Zip Code: 400081 Taluka: Kurla</t>
  </si>
  <si>
    <t>Near police Chowaki, at Ward No.11 Mudkhed Postal/Zip Code: 431806 Taluka: Mudkhed</t>
  </si>
  <si>
    <t>Laxmanrao Dhobale hall, Damaji Road, Mangalwedha Postal/Zip Code: 413305 Taluka: Mangalwedha</t>
  </si>
  <si>
    <t>SHOP NO.5, JAIHIND SOCIETY, BUDHIYA JADHAV WADI, S.V. ROAD, POWAI, MUMBAI Postal/Zip Code: 400072 Taluka: Kurla</t>
  </si>
  <si>
    <t>A/P- BELHE TAL- JUNNAR DIST- PUNE Postal/Zip Code: 412410 Taluka: Junnar</t>
  </si>
  <si>
    <t>Chaudhari Complex, Kukana, Taluka Nevasa, Dist. Ahmednagar Postal/Zip Code: 414604 Taluka: Nevasa</t>
  </si>
  <si>
    <t>Main Road, Kamargaon Postal/Zip Code: 444110 Taluka: Karanja</t>
  </si>
  <si>
    <t>A/p - Pabal-Loni Road, Postal/Zip Code: 412403 Taluka: Shirur</t>
  </si>
  <si>
    <t>"Varsha" Opp Panchayat Samiti. Chiplun Postal/Zip Code: 415605 Taluka: Chiplun</t>
  </si>
  <si>
    <t>Shop-4, Valuk chawl, GAONDEVI ROAD, NEAR POISAI POLICE CHOWKI, Poisar (E), KANDIWALI(E) -400101 Postal/Zip Code: 400101 Taluka: Boriwali</t>
  </si>
  <si>
    <t>House no. 327 Near Datta Mandir Kasturi Bldg. Padmanagar, Dhamankar Naka, Bhiwandi Postal/Zip Code: 421302 Taluka: Bhiwandi</t>
  </si>
  <si>
    <t>H. No.-245, Ganganagar,Near S.R.P. Camp Postal/Zip Code: 431513 Taluka: Hingoli</t>
  </si>
  <si>
    <t>MAIN ROAD Postal/Zip Code: 413522 Taluka: Nilanga</t>
  </si>
  <si>
    <t>In front of I.T.I Collage, Panchayat samiti road, Malegaon Postal/Zip Code: 444503 Taluka: Malegaon</t>
  </si>
  <si>
    <t>SOMVANSHI COMPLEX NEAR HANUMAN TEMPLE DHANORA ROAD, BEED Postal/Zip Code: 431122 Taluka: Beed</t>
  </si>
  <si>
    <t>shop no 2 1st floor abave munna electronics gaushala compound opp. champion stores near diamand market Daftary Road malad (east) mumbai 400097. Postal/Zip Code: 400097 Taluka: Boriwali</t>
  </si>
  <si>
    <t>AT.POST. DHAWADA Postal/Zip Code: 431132 Taluka: Bhokardan</t>
  </si>
  <si>
    <t>Opp. Balaji Hotel, Near Bansal Sweet Mart, Kharalwadi Pimpri Pune-18 Postal/Zip Code: 411017 Taluka: Haveli</t>
  </si>
  <si>
    <t>At Post Jejuri, Shriram Complex, Dhalewadi Road Postal/Zip Code: 412303 Taluka: Purandar</t>
  </si>
  <si>
    <t>At Post Somatane Phata, Nr.Gurudwara, Tal Maval, Dist. Pune Postal/Zip Code: 410506 Taluka: Maval</t>
  </si>
  <si>
    <t>At Post Gangapur Postal/Zip Code: 413531 Taluka: Latur</t>
  </si>
  <si>
    <t>Salex Center, 43, Opp Archies Galary, Kalina Masjid Postal/Zip Code: 400029 Taluka: Andheri</t>
  </si>
  <si>
    <t>Main Road Lingnoor Tal-Kagal Dist-Kolhapur 416235 Postal/Zip Code: 416219 Taluka: Kagal</t>
  </si>
  <si>
    <t>Infront of New Tahsil, Gangakhed Road, Palam Postal/Zip Code: 431720 Taluka: Palam</t>
  </si>
  <si>
    <t>Datrange Mala, Near Samaj Kalyan Office, Nalegaon Postal/Zip Code: 414001 Taluka: Ahmednagar</t>
  </si>
  <si>
    <t>Grampancyat Complex, Second Floor Marathwada Gramin Bank Postal/Zip Code: 431713 Taluka: Hadgaon</t>
  </si>
  <si>
    <t>C/o G Y Jamdade, Plot NO.47, Vishwavidya Society, Warje Naka Postal/Zip Code: 411052 Taluka: Haveli</t>
  </si>
  <si>
    <t>Chounda Building, Opp Mitra Nagar Post Office Postal/Zip Code: 413531 Taluka: Latur</t>
  </si>
  <si>
    <t>At Post Pangoan Postal/Zip Code: 413411 Taluka: Barshi</t>
  </si>
  <si>
    <t>Plot no 21, Navnit nagar, Amravati Road, Postal/Zip Code: 440023 Taluka: Nagpur</t>
  </si>
  <si>
    <t>DATTA MANDIR ROAD, KALMESHWAR Postal/Zip Code: 441501 Taluka: Kalameshwar</t>
  </si>
  <si>
    <t>C/105, MUSTAFA APT., Opp. Tanwarnagar TMC Gate, Dongare Nagar, Kausa, Mumbra Postal/Zip Code: 400612 Taluka: Thane</t>
  </si>
  <si>
    <t>Main Road Postal/Zip Code: 431513 Taluka: Sengaon</t>
  </si>
  <si>
    <t>AT. POST PANEWADI TQ. GHANSAVANGI DIST JALNA Postal/Zip Code: 431209 Taluka: Ghansavangi</t>
  </si>
  <si>
    <t>ROOM NO. 5, MORARJI NAGAR, POST NITIE POWAI, MUMBAI Postal/Zip Code: 400087 Taluka: Andheri</t>
  </si>
  <si>
    <t>Main Road, Girad Postal/Zip Code: 442305 Taluka: Samudrapur</t>
  </si>
  <si>
    <t>jayprakash narayan vidyalay,wados at post-wados,gothos titha,mangaon Postal/Zip Code: 416519 Taluka: Kudal</t>
  </si>
  <si>
    <t>Kamthe Building, Malhar Chowk, kondhwa bk. Postal/Zip Code: 411048 Taluka: Haveli</t>
  </si>
  <si>
    <t>Shop No. 3, Kevalseth Jain Bldg., Postal/Zip Code: 402304 Taluka: Roha</t>
  </si>
  <si>
    <t>Pravin P Tayde, C/o, Vaishnavi Computer, Shiv Chouk Malegaon Postal/Zip Code: 444503 Taluka: Malegaon</t>
  </si>
  <si>
    <t>President Nivrutti Seva Sangh Ekhatpur Taluka-Sangola District-Solapur Postal/Zip Code: 413307 Taluka: Sangola</t>
  </si>
  <si>
    <t>1st Floor Vishnu Bade Building ,Near Bus Stop At-Post-Th-Parshivani,Dist-Nagpur Postal/Zip Code: 441105 Taluka: Parashivani</t>
  </si>
  <si>
    <t>Near District cooperative Bank Postal/Zip Code: 431701 Taluka: Hingoli</t>
  </si>
  <si>
    <t>Sarathi Shikshan Prasarak Mandal, Near Mundhwa Bridge, Khardi gaon Pune-14 Postal/Zip Code: 411014 Taluka: Haveli</t>
  </si>
  <si>
    <t>A/P Lasur Postal/Zip Code: 425118 Taluka: Chopada</t>
  </si>
  <si>
    <t>SAKSHI COMPUTERS,MEDHA(JAWALI).TAL:-JAWALI,DIST:-SATARA Postal/Zip Code: 415012 Taluka: Jawali</t>
  </si>
  <si>
    <t>NEAR WATER TANK BHOKARDAN ROAD JAFRABAD Postal/Zip Code: 431206 Taluka: Jaffarabad</t>
  </si>
  <si>
    <t>NEAR STATE BANK OF INDIA KUSHARI ROAD Postal/Zip Code: 441909 Taluka: Mohadi</t>
  </si>
  <si>
    <t>AT.POST.SILLOD RAj Complax Near Patil Mangal Kendra Postal/Zip Code: 431112 Taluka: Sillod</t>
  </si>
  <si>
    <t>NAGRAJ CHOWK TULSINAGAR ROAD MUDLIYAR LAY-OUT Shantinagar Postal/Zip Code: 440002 Taluka: Nagpur</t>
  </si>
  <si>
    <t>At Post Killari Postal/Zip Code: 413516 Taluka: Ausa</t>
  </si>
  <si>
    <t>OPP. PETORL PUMP, MHALASKARWADI, TALEGAON ST. TAL MAVAL DIST PUNE Postal/Zip Code: 410405 Taluka: Maval</t>
  </si>
  <si>
    <t>Near Shramik Bazar,Bajarpeth Road, A/p Deorashtre, Tal - Kadegaon, Dist - Sangli Postal/Zip Code: 415303 Taluka: Kadegaon</t>
  </si>
  <si>
    <t>AT POST BHALWANI, TAL:- PARNER Postal/Zip Code: 414103 Taluka: Parner</t>
  </si>
  <si>
    <t>924, Dwivedi Compund Bramhand, Near Azad Nagar Bus Stop, Azad Nagar, Postal/Zip Code: 400607 Taluka: Thane</t>
  </si>
  <si>
    <t>shop no 1,kale complex,in front of shrikrishna collection,near kakasaheb mhaske vidyalaya,adrshnagar nagapur.Ahmednagar. Postal/Zip Code: 414111 Taluka: Ahmednagar</t>
  </si>
  <si>
    <t>RCF colony, near type 3 gate, chembur Postal/Zip Code: 400074 Taluka: Kurla</t>
  </si>
  <si>
    <t>At post Surdi Postal/Zip Code: 413401 Taluka: Barshi</t>
  </si>
  <si>
    <t>Dhande Lane Opp, Vidhya Nagar West, Barshi Road Beed Postal/Zip Code: 431122 Taluka: Beed</t>
  </si>
  <si>
    <t>A/P-Welhe Postal/Zip Code: 412212 Taluka: Welhe</t>
  </si>
  <si>
    <t>"SAI SADAN", NEAR RAILWAY STATION, SAONER Postal/Zip Code: 441107 Taluka: Savner</t>
  </si>
  <si>
    <t>Kailash Apartment ,Opp. Sargam Hotel, Puna Link Road, Vitthalwadi (E) Postal/Zip Code: 421306 Taluka: Kalyan</t>
  </si>
  <si>
    <t>7,GHANSAR COMPLEX,MHASLA Postal/Zip Code: 402105 Taluka: Mhasala</t>
  </si>
  <si>
    <t>B-7, Everest Shopping Complex, 2nd Flr, M.G.Road, Near Dombivli Rly. Stn., Dombivli (W) Postal/Zip Code: 421202 Taluka: Kalyan</t>
  </si>
  <si>
    <t>Dahale complex Anand Nagar Chock main road Postal/Zip Code: 431511 Taluka: Purna</t>
  </si>
  <si>
    <t>First Floor,Gurukrupa Building,Opp.Bus Stand,Saralgaon Postal/Zip Code: 421402 Taluka: Murbad</t>
  </si>
  <si>
    <t>FRONT OF LAL BAHADDHUR HIGHSCHOOL SUNGARE BUILDING MAL BHAG KAVATHEGULAND Postal/Zip Code: 416105 Taluka: Shirol</t>
  </si>
  <si>
    <t>PLOT NO.5, TPS 6, NEAR SANTACRUZ BUS DEPO, S.V. ROAD, SANTACRUZ (W) Postal/Zip Code: 400054 Taluka: Andheri</t>
  </si>
  <si>
    <t>1st Floor,Shete Girni,Opp. Nagmani Krishi Udhyog, Somwar Peth Shirala Postal/Zip Code: 415408 Taluka: Shirala</t>
  </si>
  <si>
    <t>MAIN ROAD BARHALI Postal/Zip Code: 431715 Taluka: Mukhed</t>
  </si>
  <si>
    <t>Vitthalwadi, Dhamangaon Road, Yavatmal Postal/Zip Code: 445001 Taluka: Yavatmal</t>
  </si>
  <si>
    <t>First Floor, Murlidhar Complex, Temple Bazar Road, Sitabuldi, Nagpur Postal/Zip Code: 440012 Taluka: Nagpur</t>
  </si>
  <si>
    <t>Kumbhar pimpalgoan Road ,Ghansavangi Postal/Zip Code: 431209 Taluka: Ghansavangi</t>
  </si>
  <si>
    <t>Swami vivekanand Computers, Behind MSEB Office, Shirwal Postal/Zip Code: 412801 Taluka: Khandala</t>
  </si>
  <si>
    <t>Main Road, Akhada Balapur Tq.kalamnuri Dist.Hingoli Postal/Zip Code: 431701 Taluka: Kalamanuri</t>
  </si>
  <si>
    <t>AT POST TERKHEDA, TQ. WASHI, DIST OSMANABAD Postal/Zip Code: 413525 Taluka: Vaashi</t>
  </si>
  <si>
    <t>C/o Gokul Bambal, NEAR,Dandale HIG school,front of C.B.I. Banck,Tiosa Postal/Zip Code: 444903 Taluka: Tivsa</t>
  </si>
  <si>
    <t>Chandanzira, Jalna Postal/Zip Code: 431203 Taluka: Jalna</t>
  </si>
  <si>
    <t>Mansuri's Sara English School Samarth Nagar Kannad TQ. KANNAD DIST. AURANGABAD Postal/Zip Code: 431103 Taluka: Kannad</t>
  </si>
  <si>
    <t>AT. PO. Mera Bk, TQ-Chikhali Dist-Buldana Postal/Zip Code: 443206 Taluka: Deulgaonraja</t>
  </si>
  <si>
    <t>05/02 Patil Niwas, Nehru Nagar, Kanjurmarg(East), Mumbai - 400 042 Postal/Zip Code: 400042 Taluka: Kurla</t>
  </si>
  <si>
    <t>C/O Shri Dube Yaigoan Road, Boargaon(Meghe) Postal/Zip Code: 442001 Taluka: Wardha</t>
  </si>
  <si>
    <t>Manthan Computers,Arvi naka square, Ward no-1 Postal/Zip Code: 442001 Taluka: Wardha</t>
  </si>
  <si>
    <t>Beside Dr. Bodhe Postal/Zip Code: 412805 Taluka: Mahabaleshwar</t>
  </si>
  <si>
    <t>A/p. Miri, Tal. Pathardi Postal/Zip Code: 414501 Taluka: Pathardi</t>
  </si>
  <si>
    <t>AT.POST. LONI TQ. VAIJAPUR DIST. AURANGABAD Postal/Zip Code: 431116 Taluka: Vaijapur</t>
  </si>
  <si>
    <t>NEAR KASTURE HOSPITAL ANAND NAGAR PURNA Postal/Zip Code: 431511 Taluka: Purna</t>
  </si>
  <si>
    <t>10, Sairaj, Pandit Naka, Paranjpe Nagar, Near Lifecar Hospital Shahpur Postal/Zip Code: 421601 Taluka: Shahapur</t>
  </si>
  <si>
    <t>Hutatma Chowk, A/p. Dabhadi Postal/Zip Code: 423201 Taluka: Malegaon</t>
  </si>
  <si>
    <t>At/Po- narkhed, Tal- Mohol, Dist - Solapur adsence, limewire Postal/Zip Code: 413213 Taluka: Mohol</t>
  </si>
  <si>
    <t>Banganga Complex Laxmi Road Washi Postal/Zip Code: 413503 Taluka: Vaashi</t>
  </si>
  <si>
    <t>Shivoor Postal/Zip Code: 423701 Taluka: Vaijapur</t>
  </si>
  <si>
    <t>near bust stand 1st flower Postal/Zip Code: 431508 Taluka: Jintur</t>
  </si>
  <si>
    <t>2/8, Sai Center, Near Hotel Vanashree, Mumbai-Goa highway, Bahadurshekh naka, Chiplun Postal/Zip Code: 415605 Taluka: Chiplun</t>
  </si>
  <si>
    <t>Zumbarshet Kunkulol Market, 1st floor,E-4,5(Belapur Road), Kolhar Bk. Postal/Zip Code: 413710 Taluka: Rahata</t>
  </si>
  <si>
    <t>Bhekre House, Near Shivsena Shakaha Khopat, Thane (West) Postal/Zip Code: 400601 Taluka: Thane</t>
  </si>
  <si>
    <t>1/12, Vimlabai Estate, New Shyam nager, Jogeshwri (E) Postal/Zip Code: 400060 Taluka: Andheri</t>
  </si>
  <si>
    <t>Shop No. 7, Vaibhav Park Co. Hsg. Soc., Tandon Road, Ramnagar, Opp. Thakur Hall, Dombivli (E).  Taluka- Kalyan Postal/Zip Code: 421202 Taluka: Kalyan</t>
  </si>
  <si>
    <t>Shop No.3, Sugandh CHS., Kandar Pada, Dahisar West Postal/Zip Code: 400068 Taluka: Boriwali</t>
  </si>
  <si>
    <t>Shivaji Chowk, Opp. Marathi School, Malshiras Postal/Zip Code: 413107 Taluka: Malshiras</t>
  </si>
  <si>
    <t>103, ARIHANT PRABHU CO-OP. SOCIETY, NEXT TO BHAGWATI HOTEL, NEAR P.F. OFFICE, CHARKOP MARKET, KANDIVALI(W) Postal/Zip Code: 400067 Taluka: Boriwali</t>
  </si>
  <si>
    <t>Shop No.5 &amp;6, Yashomangal Shopping Centre, 1St Floor, Opp. Stamp Duty Office Postal/Zip Code: 401209 Taluka: Vasai</t>
  </si>
  <si>
    <t>Shop No.28, Vallabh Chs, Opp Dharavi Police Station, 90 Ft Road, Dharavi Postal/Zip Code: 400017 Taluka: Mumbai</t>
  </si>
  <si>
    <t>OLD E-TYPE 13/14 , MSEB COLONY Postal/Zip Code: 441102 Taluka: Savner</t>
  </si>
  <si>
    <t>At Post Lohgaon , Tq Paithan, Dist Aurangabad Postal/Zip Code: 431105 Taluka: Paithan</t>
  </si>
  <si>
    <t>Rukmini Nagar,Amravati Postal/Zip Code: 444606 Taluka: Amravati</t>
  </si>
  <si>
    <t>Hira Computers Academy, Darorkar Chowk, Infornt Of Lg Showroom, Central Avenu Road Postal/Zip Code: 440002 Taluka: Nagpur</t>
  </si>
  <si>
    <t>A/p- Galle-borgaonn Postal/Zip Code: 431102 Taluka: Khulatabad</t>
  </si>
  <si>
    <t>MORESHWAR COMPLEX OPP GAJANAN URBAN BANK JALNA ROAD, RAJUR Postal/Zip Code: 431203 Taluka: Bhokardan</t>
  </si>
  <si>
    <t>7/198, PMC COLONY, Behind Old Bajaj Showroom, Pune Postal/Zip Code: 411003 Taluka: Haveli</t>
  </si>
  <si>
    <t>OM SHIV SAI CO-OP HOUSING SOCIETY, R.NO. R/C 2, GROUND FLOOR, 'B' WING, SION HIGHWAY ROAD, MUMBAI-22 Postal/Zip Code: 400022 Taluka: Mumbai</t>
  </si>
  <si>
    <t>Janakibai Wathodkar Sutika Gruh, In front of SBI, Santaji Ward, Bhandara Postal/Zip Code: 441904 Taluka: Bhandara</t>
  </si>
  <si>
    <t>29, VAISHALI NAGAR, NR. MAHATMA FULE KANYA SCHOOL Postal/Zip Code: 440017 Taluka: Nagpur</t>
  </si>
  <si>
    <t>Near S.T.Stand, Rahuri Postal/Zip Code: 413705 Taluka: Rahuri</t>
  </si>
  <si>
    <t>Mauli Nivas, C/O V.N. Pawar, Kumbhar Patti, Patange Road Postal/Zip Code: 413606 Taluka: Omarga</t>
  </si>
  <si>
    <t>Opp. Uma Kiran Hall, Shahu Nagar beed Postal/Zip Code: 431122 Taluka: Beed</t>
  </si>
  <si>
    <t>TEACHERS COLONY PALAM Postal/Zip Code: 431720 Taluka: Palam</t>
  </si>
  <si>
    <t>Room No. 001, Buiding No. T-61, , Pratiksha Nagar, GTB Nagar, Sion Koliwada, Postal/Zip Code: 400022 Taluka: Mumbai</t>
  </si>
  <si>
    <t>11,KRISHNA KUNJ, VACHHA GANDHI ROAD, GAMDEVI, GRANT ROAD (W) Postal/Zip Code: 400007 Taluka: Mumbai</t>
  </si>
  <si>
    <t>Shop No. A/5, R. R. Shukla Compound, Carter Road No. 3, Borivali (East), Mumbai. Postal/Zip Code: 400066 Taluka: Boriwali</t>
  </si>
  <si>
    <t>Plot No. 4 OLD MELTRON BLDG MIDC KUDAL Postal/Zip Code: 416520 Taluka: Kudal</t>
  </si>
  <si>
    <t>7 Marc Plaza, Opp. ICICI Bank, Purnima Bus-dtop, Murbad Rd.,Kalyan (West) Postal/Zip Code: 421302 Taluka: Kalyan</t>
  </si>
  <si>
    <t>Near Mahadevrao Kamdi College, Opp NMC Library, Chitanvispura Postal/Zip Code: 440002 Taluka: Nagpur</t>
  </si>
  <si>
    <t>S. I. C. E. Society, Subash Wadi, Ambarnath (W) Postal/Zip Code: 421501 Taluka: Ambarnath</t>
  </si>
  <si>
    <t>Near DR. Sonarkar, At. Po GHUGUS Postal/Zip Code: 442505 Taluka: Chandrapur</t>
  </si>
  <si>
    <t>Near Bus Stand, Shivur Postal/Zip Code: 431116 Taluka: Vaijapur</t>
  </si>
  <si>
    <t>A/P Khed Shivapur,Nr Shivbhumi Vidyalaya,Tal Haveli, Dist Pune Postal/Zip Code: 412205 Taluka: Haveli</t>
  </si>
  <si>
    <t>AT/POST. LINGNOOR, TAL: MIRAJ, DIST: SANGLI Postal/Zip Code: 416401 Taluka: Miraj</t>
  </si>
  <si>
    <t>Sr.No.53/58,Yadwade Classes,Sainath Nagar,Wadgaon Sheri,Pune 14 Postal/Zip Code: 411014 Taluka: Haveli</t>
  </si>
  <si>
    <t>Near Bus stand Main road Sirsam Postal/Zip Code: 431513 Taluka: Hingoli</t>
  </si>
  <si>
    <t>MARKET LINE YELDARI CAMP Postal/Zip Code: 431510 Taluka: Jintur</t>
  </si>
  <si>
    <t>Opp. Pandit Hospital, Saurabh Nagar, Bhingar, Taluka Ahmednagar, Dist. Ahmednagar Postal/Zip Code: 414002 Taluka: Ahmednagar</t>
  </si>
  <si>
    <t>At.Ramanand Nagar Tq.Dist.Nanded Postal/Zip Code: 431602 Taluka: Nanded</t>
  </si>
  <si>
    <t>A/P SALGARA(D), TQ. TULJAPUR, DIST. OSMANABAD Postal/Zip Code: 413601 Taluka: Tulajapur</t>
  </si>
  <si>
    <t>Hariram Nagar, Sai Mandir Postal/Zip Code: 442302 Taluka: Deoli</t>
  </si>
  <si>
    <t>Sai Nanak CHS., Row House No.3, Sector-6, Koperkhairne, Navi Mumbai Postal/Zip Code: 400706 Taluka: Thane</t>
  </si>
  <si>
    <t>above Bank of India, At Po Nawargaon Postal/Zip Code: 441223 Taluka: Sindevahi</t>
  </si>
  <si>
    <t>Shop No. 20, Phase - II , Vedant Complex , Opp. Kores India Ltd. Vartak Nagar, Thane (W) - 400606 Postal/Zip Code: 400601 Taluka: Thane</t>
  </si>
  <si>
    <t>at post athavale compound near smg highschool tal Devgad Postal/Zip Code: 416613 Taluka: Devgad</t>
  </si>
  <si>
    <t>Orange Plaza, Main Road Katol Postal/Zip Code: 441302 Taluka: Katol</t>
  </si>
  <si>
    <t>Shivaji Chauwk, Soegaon Postal/Zip Code: 431120 Taluka: Soygaon</t>
  </si>
  <si>
    <t>Near BSNL Exchange,shivaji nagar Postal/Zip Code: 431509 Taluka: Jintur</t>
  </si>
  <si>
    <t>Near Jaistambha Chowk, main Road,Dharni Taluka :- Dharni, Dist:- Amravati Postal/Zip Code: 444702 Taluka: Dharani</t>
  </si>
  <si>
    <t>Maharaja hall, In Front of Airtel Tower, Pingla Vihar, Ner Pingalai Postal/Zip Code: 444707 Taluka: Morshi</t>
  </si>
  <si>
    <t>Near Bus stand Nandegaon Khandeshwar Postal/Zip Code: 444708 Taluka: Nandegaon Khandeshwar</t>
  </si>
  <si>
    <t>In front of Ashram Shala, A/p. Aundh, Pusegaon Road Tal. Khatav, Dist. Satara Postal/Zip Code: 415510 Taluka: Khatav</t>
  </si>
  <si>
    <t>A/p. Wagholi, Tal. Koregaon, Dist. Satara Postal/Zip Code: 415525 Taluka: Koregaon</t>
  </si>
  <si>
    <t>Near Bus Stand, A/p. Atit, Tal. Satara, Dist. Satara Postal/Zip Code: 415519 Taluka: Satara</t>
  </si>
  <si>
    <t>Kisanveer Nagar, Bhuinj Tal.- Wai, Dist. Satara Postal/Zip Code: 415530 Taluka: Wai</t>
  </si>
  <si>
    <t>A/p- Kumbhoj, Tal-Hatkanagale, Dist- Kolhapur. Postal/Zip Code: 416111 Taluka: Hatkanangale</t>
  </si>
  <si>
    <t>Gangaram Plot, Near Taluka Police Station, Postal/Zip Code: 425201 Taluka: Bhusawal</t>
  </si>
  <si>
    <t>Latur Bidar Road Postal/Zip Code: 413522 Taluka: Nilanga</t>
  </si>
  <si>
    <t>Jangal kamgar society, Talasari, udhava road, opp.post office, Tal-talasari Postal/Zip Code: 401606 Taluka: Talasari</t>
  </si>
  <si>
    <t>Purshottam English School Nashik Road Jail Road Postal/Zip Code: 422101 Taluka: Nashik</t>
  </si>
  <si>
    <t>Chavan Towers, Burud Galli, At. Post Gadhinglaj Postal/Zip Code: 416502 Taluka: Gadhinglaj</t>
  </si>
  <si>
    <t>A/P Malharpeth, Marketyard. Tal: Patan, Dist: Satara. Postal/Zip Code: 415205 Taluka: Patan</t>
  </si>
  <si>
    <t>Gala No 12 &amp; 13, Market Yard. Opposite Shripatrao Kadam College, Pandharpur Phata, Shirwal, Tal. Khandala, Dist. Satara. Pin - 412801 Postal/Zip Code: 412801 Taluka: Khandala</t>
  </si>
  <si>
    <t>Dahe Society, Building, Near TDC Bank, Wada Postal/Zip Code: 421303 Taluka: Vada</t>
  </si>
  <si>
    <t>Sai Mangalam, 1st floor, gala No.1, Ambadi Naka. Postal/Zip Code: 421302 Taluka: Bhiwandi</t>
  </si>
  <si>
    <t>COMPUTER CIRCLE , DR AMBEDKR CHOWK, NEAR DURGA MATA MANDIR WANI DIST YAVATMAL 445304 Postal/Zip Code: 445304 Taluka: Vani</t>
  </si>
  <si>
    <t>Chalbardi road Shastri ward Pandhrkawada Postal/Zip Code: 445302 Taluka: Kelapur</t>
  </si>
  <si>
    <t>Wadwala Jin Complex, Digras Dist. Yavatmal Postal/Zip Code: 445203 Taluka: Digras</t>
  </si>
  <si>
    <t>MKCL, MSI-HMCT Building. 412-C, Shivaji Nagar, Postal/Zip Code: 411016 Taluka: Haveli</t>
  </si>
  <si>
    <t>Flat No.7, Triveni Apartment , Opp. Dominos Pizza, Next to Jagtap Hospital, Near Santosh Hall, Anand Nagar, Sinhagad Road  Pincode:411051 Postal/Zip Code: 411051 Taluka: Haveli</t>
  </si>
  <si>
    <t>JN-1/52, A/5, Sector 9, Vashi, NaviI Mumbai.I Postal/Zip Code: 400703 Taluka: Thane</t>
  </si>
  <si>
    <t>Opp.Sai Temple, Hindu Colony, Kudal.At-Post-Talula-Kudal,Dist:-Sindhudurg Postal/Zip Code: 416520 Taluka: Kudal</t>
  </si>
  <si>
    <t>?Shri Narayan?, 268, Baliram Peth, Above Kishor Agencies, Jalgaon Postal/Zip Code: 425001 Taluka: Jalgaon</t>
  </si>
  <si>
    <t>Second Floor Gaikwad Complex, Near Stadium, Narayan Chal Road, Parbhani Postal/Zip Code: 431401 Taluka: Parbhani</t>
  </si>
  <si>
    <t>03, Rewtkar lay-out, C/o Dr. BHIWGADE, BY-PASS SQUARE,GIRAD ROAD, UMRER Postal/Zip Code: 441203 Taluka: Umred</t>
  </si>
  <si>
    <t>Om Sai Plaza 2nd floor Yasho Mangal Colony Near Kathora Naka, Om Sai Plaza, V.M.V. Road, Amravati Postal/Zip Code: 444604 Taluka: Amravati</t>
  </si>
  <si>
    <t>1ST FLOOR, 104, NATHU BHAVAN, PLOT NO 6, SEC-5, NEAR GOPINATH PATIL PARSIK JANTA BANK, SANPADA, NAVI MUMBAI Postal/Zip Code: 400705 Taluka: Thane</t>
  </si>
  <si>
    <t>Nana Market Pethdev Bhambed Postal/Zip Code: 416701 Taluka: Lanja</t>
  </si>
  <si>
    <t>Shop No.25 , Yash Paradise, Sector-8 A, Airoli, Navi Mumbai Postal/Zip Code: 400708 Taluka: Thane</t>
  </si>
  <si>
    <t>Shop No 1 , DARSHAN Apartment, Queta Colony, Jalaram Mandir Marg, Nagpur Postal/Zip Code: 440008 Taluka: Nagpur</t>
  </si>
  <si>
    <t>PLOT NO.10, SHOPPING LANE, DEHU SHETTY CHAWL., ROAD NO.6, AMRUT NAGAR,GHATKOPAR (W) Postal/Zip Code: 400086 Taluka: Kurla</t>
  </si>
  <si>
    <t>102, Uma Ashish, Old Mumbai Pune Road, Mumbra Postal/Zip Code: 400612 Taluka: Thane</t>
  </si>
  <si>
    <t>PLOT NO 5, GULSHAN PLAZA, BADNERA ROAD, AMRAVATI Postal/Zip Code: 444605 Taluka: Amravati</t>
  </si>
  <si>
    <t>541/2, RUKHMANI COMPLEX, MAHASOBA GATE, KARJAT Postal/Zip Code: 414402 Taluka: Karjat</t>
  </si>
  <si>
    <t>100/19, Gurudeve Shoping Plaza, Thange Ali, Bhiwandi Postal/Zip Code: 421302 Taluka: Bhiwandi</t>
  </si>
  <si>
    <t>Markal, Kalyan Markal Build., Ghandhi Chouk, ,Below Vishwas cloth Center, Opp.Anamika genral stores,Rahimatpur Postal/Zip Code: 415511 Taluka: Koregaon</t>
  </si>
  <si>
    <t>8th Mile, Ramji Ambedkar Nagar, Dawalameti, Postal/Zip Code: 440023 Taluka: Nagpur Rural</t>
  </si>
  <si>
    <t>In Front of Panchayat Samittee , Sajawat Building, Amravati Road, Chandur Bazar Postal/Zip Code: 444704 Taluka: Chandur bazar</t>
  </si>
  <si>
    <t>At post Mulawa ,Nr Renuka Devi, Devi Ward, Tq-Umarkhed, Dist-Yavatmal, Devi Ward, Mulawa Post Office, Mulawa Postal/Zip Code: 445211 Taluka: Umarkhed</t>
  </si>
  <si>
    <t>Shivaji Nagar, Shirajgaon Band, Chandur Bazar Postal/Zip Code: 444704 Taluka: Chandur bazar</t>
  </si>
  <si>
    <t>2nd floor, shivam heights Hanuman Mandir Chowk Undri, Undri, Hadpsar Postal/Zip Code: 411028 Taluka: Haveli</t>
  </si>
  <si>
    <t>plot no 2,sneh nagar,Mouda,Nagpur., sneh nagar, mouda post office, mouda Postal/Zip Code: 441104 Taluka: Mauda</t>
  </si>
  <si>
    <t>G-5,6, DATTA COMPLEX, BHARATI VIDYAPEETH ROAD, KADEGAON Postal/Zip Code: 415304 Taluka: Kadegaon</t>
  </si>
  <si>
    <t>Nr. Indira Gandhi Sai mandir Road Ward No 9 Kalmeshwar Postal/Zip Code: 441501 Taluka: Nagpur</t>
  </si>
  <si>
    <t>767, national computers, lakhanwada Postal/Zip Code: 444303 Taluka: Khamgaon</t>
  </si>
  <si>
    <t>S. T. Stand, Nr. Hotel Sahyadri, Doulat Complex, Main Road, Kotoli Postal/Zip Code: 416230 Taluka: Panhala</t>
  </si>
  <si>
    <t>CENTRAL BANK CHOWK, NEAR RANADE HOSPITAL, NEWASA Postal/Zip Code: 414603 Taluka: Nevasa</t>
  </si>
  <si>
    <t>C/o Wainganga Vidhalaya &amp; Jr. College, Pauni, Bhai Talao Road, Pauni Postal/Zip Code: 441910 Taluka: Pavni</t>
  </si>
  <si>
    <t>Sr.No 18/3, Shree Vitthal, Charholi Road, Alandi Postal/Zip Code: 412105 Taluka: Khed</t>
  </si>
  <si>
    <t>Sr.No. 220/1B/1A,Plot No 23, Yashwant Sah. Sut Girini Kamgar Shakari Guh Nirman Sanstha Near Kumtha Naka,Solapur, Ambica Niwas, Huchheshwar Math Road, solapur Postal/Zip Code: 413003 Taluka: Solapur(n)</t>
  </si>
  <si>
    <t>Plot No. 746, Tambekar Bldg., Main Road, Solankur Postal/Zip Code: 416212 Taluka: Radhanagari</t>
  </si>
  <si>
    <t>Katore Complex, Opp. Rahuri Nagarpalika, Rahuri Postal/Zip Code: 413705 Taluka: Rahuri</t>
  </si>
  <si>
    <t>1 Floor, Meghdoot Building, Sambahji Path, VIshnu Nagar, Thane Postal/Zip Code: 400602 Taluka: Thane</t>
  </si>
  <si>
    <t>AT POST SHENDURJAN, NO, SHENDURJAN, SINDAKHED RAJA Postal/Zip Code: 443202 Taluka: Sindakhed raja</t>
  </si>
  <si>
    <t>Chithalsar, Manpada,Opp.Marathi School,, Mindhe Niwas, Manpada Road, Thane (W) Postal/Zip Code: 400607 Taluka: Thane</t>
  </si>
  <si>
    <t>SHOP NO.15, VENNA APARTMENT, SHANTIVAN, MUMBAI Postal/Zip Code: 400066 Taluka: Boriwali</t>
  </si>
  <si>
    <t>SOPHIA COLLEGE, SOPHIA COLLEGE, BHULABHAI DESAI ROAD, CITY Postal/Zip Code: 400026 Taluka: Mumbai</t>
  </si>
  <si>
    <t>Barkale Building Near Murgud Vidyalaya Jr.College Murgud 416219 Postal/Zip Code: 416119 Taluka: Kagal</t>
  </si>
  <si>
    <t>1/236/3245, TAGORE NAGAR, OPP BMC SCHOOL, MUMBAI-Suburb Postal/Zip Code: 400083 Taluka: Kurla</t>
  </si>
  <si>
    <t>Kalimata Chowk, Near Kalimata Mandir, Opp Dey`s Classes, Kurla Camp, Ulhasnagar - 4 Postal/Zip Code: 421004 Taluka: Ambarnath</t>
  </si>
  <si>
    <t>1382 B, Duaa e manzil, near padmaraje girls highschool,new mahadwar road, kolhapur Postal/Zip Code: 416006 Taluka: Karveer</t>
  </si>
  <si>
    <t>KAMGAR CHOWK,NEAR SHIKSHAK SAHAKARI BANK WARORA, NEAR SHIKSHAK SAHAKARI BANK, WARORA, WARORA Postal/Zip Code: 442907 Taluka: Warora</t>
  </si>
  <si>
    <t>Plot No.1, Navyug Colony, Bhavsingpura, Aurangabad Postal/Zip Code: 431002 Taluka: Aurangabad</t>
  </si>
  <si>
    <t>Mata Nagar, Mata Nagar, Ralegaon, Ralegaon Postal/Zip Code: 445402 Taluka: Ralegaon</t>
  </si>
  <si>
    <t>MOTI NAGAR BHARTI MAIND PATASANTHA,PUSAD Postal/Zip Code: 445204 Taluka: Pusad</t>
  </si>
  <si>
    <t>201, Rajguru Apartment, New Nagardas Road, Mumbai Postal/Zip Code: 400069 Taluka: Andheri</t>
  </si>
  <si>
    <t>SHOP NO 01, SICILY PARK, PLOT NO 54, SEC 12/B, KOPARKHAIRANE Postal/Zip Code: 400709 Taluka: Thane</t>
  </si>
  <si>
    <t>732,At/Post Valsang, "Bagalkote Niwas", Akkalkot Road, Solapur Postal/Zip Code: 413228 Taluka: Solapur(s)</t>
  </si>
  <si>
    <t>FIRST FLOOR, SANGEWAR COMPLEX, SHIVAKALAYAN NAGAR, LOHA Postal/Zip Code: 431708 Taluka: Loha</t>
  </si>
  <si>
    <t>Shaniwar Peth, Near Jain Mandir, Miraj, Gudale Wada, Shaniwar Peth, Miraj Postal/Zip Code: 416410 Taluka: Miraj</t>
  </si>
  <si>
    <t>125, JAYA, MAHSUL COLONY, JALGAON JAMOD Postal/Zip Code: 443402 Taluka: Jalagaon</t>
  </si>
  <si>
    <t>1ST FLOOR,, DHAMANKAR PLAZA,, DHAMANKAR NAKA, BHIWANDI Postal/Zip Code: 421302 Taluka: Bhiwandi</t>
  </si>
  <si>
    <t>NEAR S.T STAND, SAMARTH ASHRAM SHALA, S.T STAND , BEDAG Postal/Zip Code: 416421 Taluka: Miraj</t>
  </si>
  <si>
    <t>SINDHI CAMP, PAKKI KHOLI, MAIN ROAD, AKOLA Postal/Zip Code: 444001 Taluka: Akola</t>
  </si>
  <si>
    <t>1288, Dasai Bldg, Mauni Vidyapeeth Area, Gargoti Postal/Zip Code: 416209 Taluka: Bhudargad</t>
  </si>
  <si>
    <t>C/1,, Jay CHS., , Shivaji Road, Opp. Santoshi Mata Mandir,, Kandivli (W) Postal/Zip Code: 400067 Taluka: Boriwali</t>
  </si>
  <si>
    <t>Shop No.5, Aadarsh Apartment, B.J. Patel Rd., Off Marve Road, Malad (W) Postal/Zip Code: 400068 Taluka: Boriwali</t>
  </si>
  <si>
    <t>NEAR SHARDA GAS OFFICE DABKI ROAD AKOLA Postal/Zip Code: 444002 Taluka: Akola</t>
  </si>
  <si>
    <t>Above Syndicate Bank, Tandel Complex, Shringartali Postal/Zip Code: 415724 Taluka: Guhagar</t>
  </si>
  <si>
    <t>5 NIKALE CHAWL, SAI BABA ROAD, JAWAHAR NAGAR KHAR E, MUMBAI Postal/Zip Code: 400051 Taluka: Andheri</t>
  </si>
  <si>
    <t>HOUSE NO. 8, SHITAL NAGAR, Arni Road, Wadgaon Postal/Zip Code: 445001 Taluka: Yavatmal</t>
  </si>
  <si>
    <t>H. No. 259, Pramod Patil Building, Factory Road, Kabnoor Postal/Zip Code: 416116 Taluka: Hatkanangale</t>
  </si>
  <si>
    <t>HOUSE NO.972, MARWADI PETH, opposite Gunjal Hospital, VINCHUR, TAL. NIPHAD , Dist-Nasik Postal/Zip Code: 422305 Taluka: Niphad</t>
  </si>
  <si>
    <t>2nd Floor, Shitala Mata Mandir, Behind Shriman Shrimati Shop, Tilak Path Road, AURANGABAD Postal/Zip Code: 431001 Taluka: Aurangabad</t>
  </si>
  <si>
    <t>1st Floor , Bank Of Baroda,Near Laxminarayan Temple ,Khandbara. Postal/Zip Code: 425416 Taluka: Navapur</t>
  </si>
  <si>
    <t>Bhagat Singh Ward, Mul, Mr. Sai Tangadpalliwar (Home), Somnath Road, MUL Postal/Zip Code: 441224 Taluka: Mul</t>
  </si>
  <si>
    <t>11, A, NAGAR-PUNE ROAD, VADEGAVHAN Postal/Zip Code: 414302 Taluka: Parner</t>
  </si>
  <si>
    <t>4th Floor, M.H.S.S., Musafirkhana Trust Builiding, Musafirkhana Road, Mumbai Postal/Zip Code: 400001 Taluka: Mumbai</t>
  </si>
  <si>
    <t>NEAR JOD HANUMAN ROAD ANSAPURE HOME, KUNDALWADI Postal/Zip Code: 431711 Taluka: Biloli</t>
  </si>
  <si>
    <t>House No. - 724, Daulat Niwas, At &amp; Post - Aravali, Aravali Postal/Zip Code: 415608 Taluka: Sangameshwar</t>
  </si>
  <si>
    <t>Parmeshwar Complex, Nr Bus Stand, Himayatnagar , Bus Stand, Himayat Nagar Post Office, Himayatnagar Postal/Zip Code: 431802 Taluka: Himayatnagar</t>
  </si>
  <si>
    <t>Shop No 1, Vijeta Society, Station Cross Road, Near Monginis Cake Shop, Thakurli [East] Postal/Zip Code: 421201 Taluka: Kalyan</t>
  </si>
  <si>
    <t>Plot No. 26/2, New Town, Ward No. 3 Main Road, Main Road, Butibori Postal/Zip Code: 441108 Taluka: Nagpur Rural</t>
  </si>
  <si>
    <t>AT POST POKHARNI (N) PHATA, INFRONT OF POLE FACTORY,TQ.&amp; DIST.PARBHANI, INFRONT OF POLE FACTORY, PATHRI ROAD, POKHARNI(N) PHATA Postal/Zip Code: 431521 Taluka: Parbhani</t>
  </si>
  <si>
    <t>218, RAVIWAR PETH, HEM EMPIRE, GALA NO 45, ST STAND ROAD, POWAI NAKA,SATARA Postal/Zip Code: 415002 Taluka: Satara</t>
  </si>
  <si>
    <t>2468/ 1 &amp; 2, Tridal Apartment, Basement Unit No. B-1,Deshpande Gali, Opp. Sarnaik Wada, A Ward, Varuntrithvesh, Shivaji Peth, Kolhapur. Postal/Zip Code: 416012 Taluka: Karveer</t>
  </si>
  <si>
    <t>MAHARASHTRA INFOTECH, OLD BUS STAND ROAD,GANDI CHOWK,BILOLI. Postal/Zip Code: 431710 Taluka: Biloli</t>
  </si>
  <si>
    <t>Plot No. 603, GURUKRUPA OIL MILL, MAIN ROAD AKNUR, NARATAWADE (Malwadi) Postal/Zip Code: 416211 Taluka: Radhanagari</t>
  </si>
  <si>
    <t>SHOP NO. 1 &amp; 6, SR. NO. 19/4, RUNWAL HERITAGE, THERGAON ROAD, THERGAON Postal/Zip Code: 411033 Taluka: Haveli</t>
  </si>
  <si>
    <t>SHOP. NO. 2 , PRESTIGE APPT.,SHATRI NAGAR,GITANGALI COLONY, NR, JOOGING TRACK INDIRA NAGAR NASHIK , SHASTRI NAGAR ROAD, INDIRA NAGAR , NASHIK Postal/Zip Code: 422009 Taluka: Nashik</t>
  </si>
  <si>
    <t>248, MAIN ROAD, VASAGADE Postal/Zip Code: 416416 Taluka: Palus</t>
  </si>
  <si>
    <t>1st Floor, In Front of "Panchayat Samiti", Main Road, Omerga Postal/Zip Code: 413606 Taluka: Omarga</t>
  </si>
  <si>
    <t>Sector No 4, Plot No 215, Itech, Moshi Pradhikaran, Pimpri Chinchwad Postal/Zip Code: 412105 Taluka: Haveli</t>
  </si>
  <si>
    <t>SHOP NO. 16, SHREE SAINATH CHS, TULINJ ROAD, NALLASOPARA Postal/Zip Code: 401209 Taluka: Vasai</t>
  </si>
  <si>
    <t>Sharma Complex, Cinema road Malkapur, Postal/Zip Code: 443201 Taluka: Malkapur</t>
  </si>
  <si>
    <t>Shop No. 19, Madhuban Towers, Sativali Road, Opp Evershine City Gate, Vasai (E) Postal/Zip Code: 401208 Taluka: Vasai</t>
  </si>
  <si>
    <t>C/O., MARATHA HIGH SCHOOL, SHIVRAM AMRUTVAR MARG, MUMBAI Postal/Zip Code: 400013 Taluka: Mumbai</t>
  </si>
  <si>
    <t>690/A+B/3, Udoji Maratha Boarding Campus, Gangapur Road, Nashik Postal/Zip Code: 422013 Taluka: Nashik</t>
  </si>
  <si>
    <t>NEAR GANESH MANDIR, MAIN ROAD, KHAMASWADI, Postal/Zip Code: 413507 Taluka: Kalamb</t>
  </si>
  <si>
    <t>101, Nishigandha Society, Opp. Vardhaman Medical, Ram Mandir Road, Alibag-Raigad Postal/Zip Code: 402201 Taluka: Alibag</t>
  </si>
  <si>
    <t>Near Maruti Mandir, Opp. Shahu PathSanstha, Bazarpeth, Kurundwad. Postal/Zip Code: 416106 Taluka: Shirol</t>
  </si>
  <si>
    <t>Plot No. 3, Gut No.94/1, Khotenagar, Jalgaon Postal/Zip Code: 425001 Taluka: Jalgaon</t>
  </si>
  <si>
    <t>Pathri Road, Shikshak Colony,Sonpeth Postal/Zip Code: 431516 Taluka: Sonpeth</t>
  </si>
  <si>
    <t>Opp. Kunklol Market, Belapur Road,, Kolhar Bk Postal/Zip Code: 413710 Taluka: Rahata</t>
  </si>
  <si>
    <t>SHOP NO-4, BHARUCHA ROAD, ABOVE GOLDEN AGARBATTI SHOP, DAHISER (E) Postal/Zip Code: 400068 Taluka: Boriwali</t>
  </si>
  <si>
    <t>H.No. 677, Opp. Dadasaheb Jr. College, Tophkhana, Nagar Postal/Zip Code: 414001 Taluka: Ahmednagar</t>
  </si>
  <si>
    <t>SHOP No.217, PMC COLONY, NEAR JAMA MASJID,KHARODI,GATE No.7, MALVANI MALAD -WEST Postal/Zip Code: 400095 Taluka: Boriwali</t>
  </si>
  <si>
    <t>First Floor, Hira Mohan Sankul,Near Bus Stand, Old Agra Road, Pimpalgaon Baswant Postal/Zip Code: 422209 Taluka: Niphad</t>
  </si>
  <si>
    <t>In Front of Latur Urban Bank,Near Shahu College,Chandranagar, Gul Market Postal/Zip Code: 413512 Taluka: Latur</t>
  </si>
  <si>
    <t>Near Dr.Kshirsagar Hospital, Kanhaiya Nagar, Jalna Postal/Zip Code: 431203 Taluka: Jalna</t>
  </si>
  <si>
    <t>Plot No. 142, Flat No. 7, , Barate Building, Bijli Chowk, Commince College Road, Pune-52 Postal/Zip Code: 411052 Taluka: Haveli</t>
  </si>
  <si>
    <t>F-406 ,First Floor , Opp Madhav Book Stall, Main road, sawantwadi Postal/Zip Code: 416510 Taluka: Savantwadi</t>
  </si>
  <si>
    <t>1738, E Rajarmpuri 2nd Floor 5thlane corher kolhapur , 1738, E Rajarmpuri 2nd Floor 5thlane corher kolhapur , Rajarmpuri , City Postal/Zip Code: 416008 Taluka: Karveer</t>
  </si>
  <si>
    <t>shop no,2. chisti complex, opp. Dr.Babasaheb Ambedkar Smarak, Sillod Road, Phulambri Postal/Zip Code: 431111 Taluka: Fulammbri</t>
  </si>
  <si>
    <t>SHOP NO. 1, BARAMDIN SHARMA CHAWL, JAWAHAR NAGAR, SAIBABA ROAD, MUMBAI - 51 Postal/Zip Code: 400051 Taluka: Andheri</t>
  </si>
  <si>
    <t>Bazar Peth,Near Navkhandenath Temple,Matoshri Nivas A/P-Pait,TAl-Khed, Dist-Pune Postal/Zip Code: 410505 Taluka: Khed</t>
  </si>
  <si>
    <t>Laxmi Narayan ,A-7, Gajanan Society,, veer Kotwal chowk, Badlapur Postal/Zip Code: 421503 Taluka: Ambarnath</t>
  </si>
  <si>
    <t>2088' A. WARD, DHOTRI CORNER, OPP- KEDARLING BEKARI, RANKALA STAND, KOLHAPUR Postal/Zip Code: 416002 Taluka: Karveer</t>
  </si>
  <si>
    <t>Basement Floor,, Om Namo Complex, Kirana Chawadi, Rajabazar, Aurangabad Postal/Zip Code: 431001 Taluka: Aurangabad</t>
  </si>
  <si>
    <t>Near S.T. Stand,Opp.State Bank Of India Supa Road, Parner Postal/Zip Code: 414302 Taluka: Parner</t>
  </si>
  <si>
    <t>., At Post Dhapewada, Shivaji Chowk, Dhapewada, Dhapewada Postal/Zip Code: 441501 Taluka: Kalameshwar</t>
  </si>
  <si>
    <t>Digambar Plaza Patil tower opp bus stand Postal/Zip Code: 416510 Taluka: Savantwadi</t>
  </si>
  <si>
    <t>Near ST Stand , Karad Road, Near ST Stand , Palus Postal/Zip Code: 416310 Taluka: Palus</t>
  </si>
  <si>
    <t>Plot No 30, Laxmi Nagar, Jatwada Road, Aurangabad Postal/Zip Code: 431008 Taluka: Aurangabad</t>
  </si>
  <si>
    <t>2 nd floar, near jatpura gate, Gundawar building, Jatpura gate road, Chandrapur, Chandrapur Postal/Zip Code: 442402 Taluka: Chandrapur</t>
  </si>
  <si>
    <t>NEAR R.M.G. COLLEGE RAM MANDIR ROAD, ATUL BHAWAN, RAM MANDIR ROAD, NAGBHID Postal/Zip Code: 441205 Taluka: Nagbhid</t>
  </si>
  <si>
    <t>50, Prabhu Shriram Mandir Marg, 4th Kumbharwada, Postal/Zip Code: 400002 Taluka: Mumbai</t>
  </si>
  <si>
    <t>Kanadi Road, Kaij, Deshmukh Complex, Kaij, Kanadi Road, Kaij, Kaij Postal/Zip Code: 431123 Taluka: Kaij</t>
  </si>
  <si>
    <t>1581SS945, HARI KRUSHNA NIWAS, MAIN ROAD, AMBAP Postal/Zip Code: 416112 Taluka: Hatkanangale</t>
  </si>
  <si>
    <t>Shop No. 4, Astavinayak Welfare Society, Anand Nagar, Postal/Zip Code: 400097 Taluka: Boriwali</t>
  </si>
  <si>
    <t>2nd FLOOR, KARANJE PLAZA, PABAL CHOWK, Postal/Zip Code: 412208 Taluka: Shirur</t>
  </si>
  <si>
    <t>R11, ShivaVishu Appt., Reshimbagh Sq, Nagpur Postal/Zip Code: 440009 Taluka: Nagpur</t>
  </si>
  <si>
    <t>Ram-Shita Vihar, Near 24-Phata Shardanagar, Nira-Baramati Road, Shardanagar Postal/Zip Code: 413115 Taluka: Baramati</t>
  </si>
  <si>
    <t>2477,E ward,Shop No. G5,G6, Bedekar Plaza, Main Road, K"Bawada Postal/Zip Code: 416006 Taluka: Karveer</t>
  </si>
  <si>
    <t>Shop No. 117, Shah Heritage, Plot No. 9, Opp. D- Mart, Sector-40-2A, Seawood Navi Mumbai Postal/Zip Code: 400706 Taluka: Thane</t>
  </si>
  <si>
    <t>SHOP No.1, PLOT No.16, NANDA DARSHAN, SECTOR - 23, JUINAGAR Postal/Zip Code: 400706 Taluka: Thane</t>
  </si>
  <si>
    <t>C.S.No 221/2 B. E- Ward, G-1,Center One Building, Tarabai Park ,Kolhapur, Kolhapur Postal/Zip Code: 416003 Taluka: Karveer</t>
  </si>
  <si>
    <t>shop Postal/Zip Code: 400068 Taluka: Boriwali</t>
  </si>
  <si>
    <t>NEAR NEW BUS STOP MOGARE COMPLEX AT. LONWAHI PO. SINDEWAHI TAH. SINDEWAHI DIST. CHANDRAPUR , MOGARE COMPLEX , SINDEWAHI, SINDEWAHI (LONWAHI) Postal/Zip Code: 441222 Taluka: Sindevahi</t>
  </si>
  <si>
    <t>78, Deolali High School, 78,Dhondi Road, Deolali Camp Postal/Zip Code: 422401 Taluka: Nashik</t>
  </si>
  <si>
    <t>1473,kulkarni building,near railway undergrounfd bridge,shivaji chawk ,shrirampur, kulkarni building, shrirampur, shrirampur Postal/Zip Code: 413709 Taluka: Srirampur</t>
  </si>
  <si>
    <t>Shop No. 1, 2, Shree Computers, Ward No. 6, Near Kamgar Hospital, Shrirampur Postal/Zip Code: 413709 Taluka: Srirampur</t>
  </si>
  <si>
    <t>10, Safalya Nagar, Bhagatsing Nagar Road, Harsool, Aurangabad. Postal/Zip Code: 431001 Taluka: Aurangabad</t>
  </si>
  <si>
    <t>SHOP NO 11, 3RD FLOOR CHANDRAPUSHPA BUILDING, NEW POST OFFICE, GHATKOPAR W Postal/Zip Code: 400086 Taluka: Kurla</t>
  </si>
  <si>
    <t>MALKAPUR ROAD, NANDURA DIST BULDHANA Postal/Zip Code: 443404 Taluka: Nandura</t>
  </si>
  <si>
    <t>C/o Renuka Swaroop Institute of Career Courses, , 1453/1454, , Sadashiv Peth,, Pune Postal/Zip Code: 411030 Taluka: Haveli</t>
  </si>
  <si>
    <t>573, KUMBHARWADA, OPP ALLAHABAD BANK &amp; WASAN MOTOR, S.T. ROAD, MUMBAI Postal/Zip Code: 400071 Taluka: Kurla</t>
  </si>
  <si>
    <t>B66/14,, Bibvewadi, Super Indira Nagar, Behind VIT College Backside Postal/Zip Code: 411037 Taluka: Haveli</t>
  </si>
  <si>
    <t>., Vidya Bhavan, Kamakshi Nagar, Milan Chowk, Chankapur, Khaparkheda Postal/Zip Code: 441102 Taluka: Savner</t>
  </si>
  <si>
    <t>Jadhav Wdi, Jalgaon Road, jadhav wadi, jalgaon Road, Aurangabad Postal/Zip Code: 431003 Taluka: Aurangabad</t>
  </si>
  <si>
    <t>Gala No 7, Grampanchayat Complex, Nagar-Solapur Road, Ruichhattishi Postal/Zip Code: 414001 Taluka: Ahmednagar</t>
  </si>
  <si>
    <t>689, NARAYAN PETH, HUZURPAGA TECHNICAL INSTITUTE, LAXMI ROAD, PUNE Postal/Zip Code: 411030 Taluka: Haveli</t>
  </si>
  <si>
    <t>INDIRA NAGER, PAWDE KIRANA STORSE, MUL ROAD, CHANDRAPUR Postal/Zip Code: 442401 Taluka: Chandrapur</t>
  </si>
  <si>
    <t>95, P &amp; T COLONY, CEMENT ROAD, PRATAP NAGAR, NAGPUR. Postal/Zip Code: 440022 Taluka: Nagpur</t>
  </si>
  <si>
    <t>S. K. Birajdar Highschool Roadl, AT Post Shelagi Postal/Zip Code: 413006 Taluka: Solapur(n)</t>
  </si>
  <si>
    <t>316, Civil Lines, Behind AXIS Bank, Civil Lines, Nagpur City Postal/Zip Code: 440001 Taluka: Nagpur</t>
  </si>
  <si>
    <t>Plot No.1, Maji Sainik Colony, Padegaon, Aurangabad Postal/Zip Code: 431004 Taluka: Aurangabad</t>
  </si>
  <si>
    <t>KOTWALWADI, ROAD, CHARHOLI B.K, PUNE Postal/Zip Code: 412105 Taluka: Haveli</t>
  </si>
  <si>
    <t>Gala No.13, Shriharinagar, Malinagar, Malinagar Postal/Zip Code: 413108 Taluka: Malshiras</t>
  </si>
  <si>
    <t>H.No.382/4, Behind Osmanabad Janta Sahkari Bank, Gopal Nager, Naldurg Road, Tuljapur Postal/Zip Code: 413601 Taluka: Tulajapur</t>
  </si>
  <si>
    <t>SAKHARKHERDA Postal/Zip Code: 443202 Taluka: Sindakhed raja</t>
  </si>
  <si>
    <t>Om Apartment, Darshan Park Society, D.P. Road, Aundh-Baner Postal/Zip Code: 411007 Taluka: Haveli</t>
  </si>
  <si>
    <t>NEAR PUSHPAK THETARE , MANE BUILDING , MAIN ROAD SHIROL , Postal/Zip Code: 416103 Taluka: Shirol</t>
  </si>
  <si>
    <t>Dreamtech computer education On Co-operative bank Nagbhid Th Nagbhid dist. Chandrapur, Postal/Zip Code: 441205 Taluka: Nagbhid</t>
  </si>
  <si>
    <t>Main Road, Naregaon, Naregaon, Aurangabad Postal/Zip Code: 431003 Taluka: Aurangabad</t>
  </si>
  <si>
    <t>SHASTRI CHOWK, MAIN ROAD, NALDURG Postal/Zip Code: 413602 Taluka: Tulajapur</t>
  </si>
  <si>
    <t>IN FRONT OF JAIN MANDIR AT POST-SHENDURNI, SANGHAVI BUILDING, MAHAVEER MARG, SHENDURNI Postal/Zip Code: 424204 Taluka: Jamner</t>
  </si>
  <si>
    <t>1083, Vishnu Sitai, Bhoi Galli,Bindu Chawk, Kolhapur Postal/Zip Code: 416002 Taluka: Karveer</t>
  </si>
  <si>
    <t>1/1, Siddheshwar C.H.S., Singh Estate, Road No.1, , Mumbai Postal/Zip Code: 400101 Taluka: Boriwali</t>
  </si>
  <si>
    <t>Opposite Patel Technology, Mahal Road, Bhandara, Bhandara Postal/Zip Code: 441904 Taluka: Bhandara</t>
  </si>
  <si>
    <t>A/P Moshi, A/p Moshi, Moshi, Moshi Pune Postal/Zip Code: 412105 Taluka: Haveli</t>
  </si>
  <si>
    <t>At.Sawangi Post. Lasur Station, Gangapur Road, Tq.Gangapur, Dist.Aurangabad Postal/Zip Code: 423702 Taluka: Gangapur</t>
  </si>
  <si>
    <t>AT POST WATEPHAL, SHELKE NIVAS, NEAR HANUMAN TEMPLE, WATEPHAL Postal/Zip Code: 413505 Taluka: Paranda</t>
  </si>
  <si>
    <t>shop No.7/8, New Grampanchayat Complex , Shivaji Road, Parner Postal/Zip Code: 414302 Taluka: Parner</t>
  </si>
  <si>
    <t>BAZARTAL,NEAR KALDATE COLLECTION,DALAVI BULDING Postal/Zip Code: 414401 Taluka: Karjat</t>
  </si>
  <si>
    <t>Lokmanya Tilak College, Wadwani, Tq,Wadwani Dist.Beed Postal/Zip Code: 431131 Taluka: Vadavani</t>
  </si>
  <si>
    <t>House No. 315, Near Palse Bus Stop, At post Palse, Bus Stop Postal/Zip Code: 422101 Taluka: Nashik</t>
  </si>
  <si>
    <t>Shop No. 25, Ganesh Nagar, Chinchpada, Thane-Belapur Road, Airoli, Navi Mumbai Postal/Zip Code: 400708 Taluka: Thane</t>
  </si>
  <si>
    <t>ANNABHAU SATHE NAGAR, KAMALA NEHARU SCHOOL ROAD, KHULTABAD Postal/Zip Code: 431101 Taluka: Khulatabad</t>
  </si>
  <si>
    <t>BHAGATSINGH NO 1,NEAR HANUMAN GALLI, LINK ROAD, OPP OSHIWARA DEPO, GOREGOAN W Postal/Zip Code: 400104 Taluka: Boriwali</t>
  </si>
  <si>
    <t>At/p :- Jeur (Ba) Postal/Zip Code: 414601 Taluka: Ahmednagar</t>
  </si>
  <si>
    <t>At.post Dahigaon Bolka, Near Mahadeo Mandir, Dahigaon Bolka, kopargaon Postal/Zip Code: 423603 Taluka: Kopargaon</t>
  </si>
  <si>
    <t>Adarsh Nagar, Bus Stand Road, Selu Postal/Zip Code: 431503 Taluka: Selu</t>
  </si>
  <si>
    <t>Shop No.G-9,Kokan Ratna CHS., Kokan Nagar, Jogeshwari (E) Postal/Zip Code: 400060 Taluka: Andheri</t>
  </si>
  <si>
    <t>c/o SHANKARRAO BALLAMWAR COMPLEX,BEHIND BUS STAND AT-POST-TAH-SAOLI,DIST-CHANDRAPUR Postal/Zip Code: 441225 Taluka: Savali</t>
  </si>
  <si>
    <t>OPP. MOUNT COUNVENT, KHOBRAGADE NIVAS, TADALA ROAD, MUL Postal/Zip Code: 441224 Taluka: Mul</t>
  </si>
  <si>
    <t>Near Central Bank, At Post Dehare, Postal/Zip Code: 414111 Taluka: Ahmednagar</t>
  </si>
  <si>
    <t>Hari ohm Nivas, Dharur Road, Telgaon Postal/Zip Code: 431124 Taluka: Vadavani</t>
  </si>
  <si>
    <t>1, DR. ANIL WAGH, WADOD BAZAR, WADOD BAZAR Postal/Zip Code: 431134 Taluka: Fulammbri</t>
  </si>
  <si>
    <t>Behind Hero Honda Showroom, Near. Chawanda Hospital Gore Complex, Barshi Road, Vishal Nagar Postal/Zip Code: 413531 Taluka: Latur</t>
  </si>
  <si>
    <t>Computer Lab, "SANJAY NAGAR HINDI HIGH SCHOOL", SANJAY NAGAR, DEPTY SIGNAL, PARADI, NAGPUR CITY Postal/Zip Code: 440035 Taluka: Nagpur</t>
  </si>
  <si>
    <t>GOWARDHAN NAGAR, INFRONT OF DURGA MADIR, BHURE CHAL, TUMSAR Postal/Zip Code: 441912 Taluka: Tumsar</t>
  </si>
  <si>
    <t>Kasaba Bawada, Chavan Plaza, Main Road, KOLHAPUR Postal/Zip Code: 416003 Taluka: Karveer</t>
  </si>
  <si>
    <t>Ground floor, 'Dilasa', Near Shiv Mandir, Jaihind Colony, Ghanashyam Gupte Road, Dombivli (West) Postal/Zip Code: 421202 Taluka: Kalyan</t>
  </si>
  <si>
    <t>05, KAI NIVRUTTI REDDY SANKUL, M.G.COLLEGE ROAD Postal/Zip Code: 413515 Taluka: Ahmadpur</t>
  </si>
  <si>
    <t>Shop No : 13, Jerbai Baug, 291, Dr. Ambedkar Rd., Near Byculla Police Station, Byculla (E), Mumbai Postal/Zip Code: 400027 Taluka: Mumbai</t>
  </si>
  <si>
    <t>plot no.22/23, dnyan vikas school, , sector-17, koparkhairne Postal/Zip Code: 400709 Taluka: Thane</t>
  </si>
  <si>
    <t>RAJESH V. NARHARSHETTIWAR, GAJANAN NAGRI, NAGPUR ROAD, WARDHA Postal/Zip Code: 442001 Taluka: Wardha</t>
  </si>
  <si>
    <t>21, KAMGAR BHAVAN, RAHURI FACTORY, RAHURI FACTORY Postal/Zip Code: 413706 Taluka: Rahuri</t>
  </si>
  <si>
    <t>SAWNGI ,LASUR STATION, .., GANGAPUR ROAD, LASUR ST. Postal/Zip Code: 431109 Taluka: Gangapur</t>
  </si>
  <si>
    <t>Padma Nagar, Behind Ushakiran Petrol Pump, Near Padmadevi Temple, Barshi Road, Latur Postal/Zip Code: 413531 Taluka: Latur</t>
  </si>
  <si>
    <t>25, Anjuman-I-Islam Polytechnic for Girls, Pune, Bundgarden Road, Pune Postal/Zip Code: 411001 Taluka: Haveli</t>
  </si>
  <si>
    <t>Netaji Peth, A/p - Borgaon, Netaji Peth, Netaji Peth, Borgaon Postal/Zip Code: 415413 Taluka: Walva</t>
  </si>
  <si>
    <t>Plot No. A 18 / 2, MIDC, Aurangabad Road, Osmanabad Postal/Zip Code: 413501 Taluka: Osmanabad</t>
  </si>
  <si>
    <t>101/ A WING 1ST FLR KAUSAR BAUG, NEAR AMRUT NAGAR SIGNAL, MUMBRA, THANE Postal/Zip Code: 400612 Taluka: Thane</t>
  </si>
  <si>
    <t>ANADI NIVAS, KAMATH LANE, Postal/Zip Code: 402201 Taluka: Alibag</t>
  </si>
  <si>
    <t>SHOP NO. 4 / 5, TIRUPATI SUPREME ENCLAVE, JALAN NAGAR, AURANGABAD Postal/Zip Code: 431001 Taluka: Aurangabad</t>
  </si>
  <si>
    <t>-, Pili Haveli Chowk, -, Kamptee Postal/Zip Code: 441002 Taluka: Kamathi</t>
  </si>
  <si>
    <t>S-10/11/12 GROUND FLOOR, ROYAL COURTS, PANCH BUNGLOW SHAHUPURI, KOLHAPUR Postal/Zip Code: 416001 Taluka: Karveer</t>
  </si>
  <si>
    <t>College Raod, NALDURG, N.H.9 , NALDURG Postal/Zip Code: 413602 Taluka: Tulajapur</t>
  </si>
  <si>
    <t>SHOP.NO.102/103, MOTIBHAI TOWER, NEAR VAISHALI TALKIES,KULGAON-BADLAPUR(WEST) Postal/Zip Code: 421503 Taluka: Ambarnath</t>
  </si>
  <si>
    <t>1443, Shukrawar Peth, Bajirao Road, Kaustubha apt. Flat no.303, near janta sahakari bank. Postal/Zip Code: 411030 Taluka: Haveli</t>
  </si>
  <si>
    <t>AT &amp; POST : BIRWADI,, BABAJI PAWAR COMPLEX, BIRWADI Postal/Zip Code: 402302 Taluka: Mahad</t>
  </si>
  <si>
    <t>NEAR WATER TANK, MALBHAG, HATKANANGALE ROAD, KOROCHI Postal/Zip Code: 416109 Taluka: Hatkanangale</t>
  </si>
  <si>
    <t>ROOM NO.6, SHREE SHANKHESHWAR ,SOCIETY, MANPADA ROAD, DOMBIVALI(EAST) Postal/Zip Code: 421201 Taluka: Kalyan</t>
  </si>
  <si>
    <t>143, SHREE MAHALAXMI NAGAR SQURE, New Narsala Road, Behind Besa Power House, NAGPUR Postal/Zip Code: 440034 Taluka: Nagpur</t>
  </si>
  <si>
    <t>NARSINHA COLONY, SHIVAJI NAGAR, NEAR R. K. AGENCY, VAASHI Postal/Zip Code: 413503 Taluka: Vaashi</t>
  </si>
  <si>
    <t>Indira Nagar Vairag, Indira Nagar Vairag, Vairag, Vairag Postal/Zip Code: 413402 Taluka: Barshi</t>
  </si>
  <si>
    <t>Gram Sachivalaya, Jambut, Tal-Shirur, Dist-Pune Postal/Zip Code: 412218 Taluka: Shirur</t>
  </si>
  <si>
    <t>MAIN ROAD, NEAR OLD BUS STAND, UTTUR, UTTUR Postal/Zip Code: 416220 Taluka: Ajra</t>
  </si>
  <si>
    <t>LAKADIPOOL POLICE CHOWKI, SAI MANDIR NEAR, HINGNEKAR HOUSE 547,NAGPUR Postal/Zip Code: 440002 Taluka: Nagpur</t>
  </si>
  <si>
    <t>Mote Building, second floor, Jadhav Hospital Road, Palus Postal/Zip Code: 416310 Taluka: Palus</t>
  </si>
  <si>
    <t>VYAS NAGAR, MORE NIWAS , VAIDYA NIVAS, NH 9 , NALDURG Postal/Zip Code: 413602 Taluka: Tulajapur</t>
  </si>
  <si>
    <t>NATURAL SUGAR &amp; ALLIED INDUSTRIES LTD, SAINAGAR .RANJANI, TQ: KALLAMB, DIST: OSMANABAD, PINCODE: 413528. Postal/Zip Code: 413528 Taluka: Kalamb</t>
  </si>
  <si>
    <t>GANESH COLONY,VIP ROAD AURNAGABAD, BILLAL VILLA, VIP ROAD, AURNAGABAD Postal/Zip Code: 431001 Taluka: Aurangabad</t>
  </si>
  <si>
    <t>Block No.50, 51, NagarPalika Complex, Near Panchvati Talkies Road, Ichalkaranji Postal/Zip Code: 416115 Taluka: Hatkanangale</t>
  </si>
  <si>
    <t>Shop No - 43, Sector 1, Prajapati Cascade, Shop No - 43, Sector 1, New Panvel Postal/Zip Code: 410206 Taluka: Panvel</t>
  </si>
  <si>
    <t>At Post : Dhasai, Dhasai, Mahatma Gandhi Vidyalaya Road, Dhasai Postal/Zip Code: 421402 Taluka: Murbad</t>
  </si>
  <si>
    <t>2nd FLOOR, NEREKAR BUILDING, URAN KARANJA ROAD, URAN Postal/Zip Code: 400702 Taluka: Uran</t>
  </si>
  <si>
    <t>shop no.1, maauli complex, stand road, Daulawadgaon Postal/Zip Code: 414202 Taluka: Ashti</t>
  </si>
  <si>
    <t>OPP.HARIDAS TEMPLE, BAJAR GALLI, MAIN ROAD, ADUL Postal/Zip Code: 431121 Taluka: Paithan</t>
  </si>
  <si>
    <t>18, , Hemkunj, Surana Nagar , Jalna Road, Aurangabad Postal/Zip Code: 431001 Taluka: Aurangabad</t>
  </si>
  <si>
    <t>Near Bhavani Mandir A/p.Karanjgavhan, Main Road Karanjgavhan Postal/Zip Code: 423203 Taluka: Malegaon</t>
  </si>
  <si>
    <t>ABAJI NIWAS, COLLEGE RAOD, BIDRI(MOUNINAGAR) Postal/Zip Code: 416208 Taluka: Kagal</t>
  </si>
  <si>
    <t>AT POST IEET , GRAM PANCHAYAT SHOPPING CENTER, NEAR BUS STAND, IEET Postal/Zip Code: 413534 Taluka: Bhoom</t>
  </si>
  <si>
    <t>AT-KHADGAON-POST-KALAMBI, AT-KHADGAON-POST-KALAMBI, KALAMBI, KHADGAON Postal/Zip Code: 441501 Taluka: Nagpur Rural</t>
  </si>
  <si>
    <t>10, YUVA INFOTECH, Naigaon Road, Ghunghrala Postal/Zip Code: 431709 Taluka: Naigaon</t>
  </si>
  <si>
    <t>shop no.6, om aditya plaza, sane wadi, badlapur (w) Postal/Zip Code: 421503 Taluka: Ambarnath</t>
  </si>
  <si>
    <t>Modi Computers, Near Shankar Vidyalaya,, Main Road, Ghatnandur Postal/Zip Code: 431519 Taluka: Ambejogai</t>
  </si>
  <si>
    <t>Vahid Manzil, Gulmohar Colony, Near Mali Chitramandir, Sangli Postal/Zip Code: 416416 Taluka: Miraj</t>
  </si>
  <si>
    <t>SHANTINIKETAN COLONY , GANGAKHED ROAD, PARBHANI Postal/Zip Code: 431401 Taluka: Parbhani</t>
  </si>
  <si>
    <t>Hashmi Nagar, Ausa-Latur Road Postal/Zip Code: 413520 Taluka: Ausa</t>
  </si>
  <si>
    <t>109, Matru Krupa, Main Road, Khidrapur Postal/Zip Code: 416108 Taluka: Shirol</t>
  </si>
  <si>
    <t>Near Santoshi Mata Tempel, Balsa Road, Agrawal, Balsa Road, Jintur Postal/Zip Code: 431509 Taluka: Jintur</t>
  </si>
  <si>
    <t>Vrundavan Sankul, Shantinagar, Makhmalabad, Postal/Zip Code: 422003 Taluka: Nashik</t>
  </si>
  <si>
    <t>KALPATARU,VARAD APPT. balikashram road,opp aryan gardan,ahmednagar Postal/Zip Code: 414002 Taluka: Ahmednagar</t>
  </si>
  <si>
    <t>Mahalaxmi Complex 1St Floor, Shivaji Nagar Mahadulla (KORADI) Postal/Zip Code: 441111 Taluka: Kamathi</t>
  </si>
  <si>
    <t>Kamgar Nagar,Near Hanuman Mandir,Beside Police Line Takli Nagpur -13 Postal/Zip Code: 440013 Taluka: Nagpur</t>
  </si>
  <si>
    <t>Office 1, Shakuntala Kunj, Opp Shirodkar Hospital, Manpada Rd, Dombivli East Postal/Zip Code: 421201 Taluka: Kalyan</t>
  </si>
  <si>
    <t>CIDCO Vocational Training Institute, Ground Floor, , Dronagiri, C.B.D Belapur, C.B.D Belapur, Navi Mumbai Postal/Zip Code: 400614 Taluka: Thane</t>
  </si>
  <si>
    <t>Nirgudsar, Nirgudsar, Nirgudsar, Nirgudsar Postal/Zip Code: 412406 Taluka: Ambegaon</t>
  </si>
  <si>
    <t>301, 'Tara-Manek', Near Sales Tax office, Netaji Subhashchandra Bose Road, Jambhali Naka, Thane (W) Postal/Zip Code: 400605 Taluka: Thane</t>
  </si>
  <si>
    <t>5, DHARANGAON VIVIDHA KARYAKARI SAHKARI SOCIETY LTD., CAMPUS, STATION ROAD, DHARANGAON Postal/Zip Code: 425105 Taluka: Dharangaon</t>
  </si>
  <si>
    <t>Nagar Daund Road Sai Complex Ghargaon Postal/Zip Code: 413728 Taluka: Shrigonda</t>
  </si>
  <si>
    <t>A-6, 1ST FLOOR, GURURAJ APT. , DINDORI ROAD, NASHIK Postal/Zip Code: 422004 Taluka: Nashik</t>
  </si>
  <si>
    <t>Sr. No. 57, Sai Dwar, Spine Road, Bijali Nagar,, Chinchwad Postal/Zip Code: 411033 Taluka: Haveli</t>
  </si>
  <si>
    <t>Behind Primary School, Navgan Rajuri, Behind Primary School, Navgan Rajuri, Navgan Rajuri, Navgan Rajuri Postal/Zip Code: 414205 Taluka: Beed</t>
  </si>
  <si>
    <t>A/P KENDUR TAL.SHIRUR DIST PUNE.PIN-412403, SHETE DADA SADAN, NEAREST BY OLD GRAMPANCHAYT, KENDUR Postal/Zip Code: 412403 Taluka: Shirur</t>
  </si>
  <si>
    <t>lucky plassa, near S.T. Stand,Main Road, Sarawade Postal/Zip Code: 416228 Taluka: Radhanagari</t>
  </si>
  <si>
    <t>survey no.44, NVISION computer institute, A.R.A.I Company road, Pune Postal/Zip Code: 411038 Taluka: Pune City</t>
  </si>
  <si>
    <t>06, Sharayu N. Kshirsagar , Ring Road, Nagpur Postal/Zip Code: 440022 Taluka: Nagpur</t>
  </si>
  <si>
    <t>SECOND FLOOR, DEVI PADMAVATI MAHILA NAGARI PATSANSTHA LTD., TALAV GALLI, PAROLA Postal/Zip Code: 425111 Taluka: Parola</t>
  </si>
  <si>
    <t>CITY SERVE NO. 198 +343 +354 PLOT NO. 9, VEER SAVARKAR NAGAR , OPP. GRAMVIKAS VIDYALAYA , PIMPRALA, PIMPRALA , JALGAON Postal/Zip Code: 425001 Taluka: Jalgaon</t>
  </si>
  <si>
    <t>office 16, akansha tower. opp.railway station nallasopara (e), akanasha tower, achole road, thane Postal/Zip Code: 401209 Taluka: Vasai</t>
  </si>
  <si>
    <t>SAWASHE COMPLEX NAGAR ROAD, KOREGAON BHIMA NEAR RIKSHA STAND Postal/Zip Code: 412216 Taluka: Shirur</t>
  </si>
  <si>
    <t>A C PATIL SIR HOUSE, SHIVAJI NAGAR, NEAR RAMKRISHNA COLLEGE, SILLOD Postal/Zip Code: 431112 Taluka: Sillod</t>
  </si>
  <si>
    <t>Ho.285 At.Kurula Post.Kurula TQ.Kandhar Dst.Nanded Postal/Zip Code: 431742 Taluka: Kandhar</t>
  </si>
  <si>
    <t>Door No.109(4), , Dr.Bhat Banglow, Opp.Yewat Police Station, Pune-Solapur Road, YEWAT Postal/Zip Code: 412214 Taluka: Daund</t>
  </si>
  <si>
    <t>D Wing 39 Basement, New Stadium Comptex, Jalgaon, Jalgaon Postal/Zip Code: 425001 Taluka: Jalgaon</t>
  </si>
  <si>
    <t>01, RUSHABH DEVELOPERS, N H NO 6, , SHIVNI Postal/Zip Code: 444001 Taluka: Akola</t>
  </si>
  <si>
    <t>RAM NAGAR MEHKAR Postal/Zip Code: 443301 Taluka: Mehekar</t>
  </si>
  <si>
    <t>Flat No. C-103, Mangalam Apartment, Palghar Road, Boisar Postal/Zip Code: 401501 Taluka: Palghar</t>
  </si>
  <si>
    <t>shop No. 13, Ch. Shivaji Maharaj Complex, Ashti, Ashti Postal/Zip Code: 414203 Taluka: Ashti</t>
  </si>
  <si>
    <t>46, Haridhara Complex, Station Road, Bhiwandi Postal/Zip Code: 421302 Taluka: Bhiwandi</t>
  </si>
  <si>
    <t>B/2, , Khardev Nagar,, Khardev Nagar, Mumbai Postal/Zip Code: 400071 Taluka: Kurla</t>
  </si>
  <si>
    <t>434\1B 434\2B, RAVINDRA VIDYALAYA, AGRA ROAD, NASIK Postal/Zip Code: 422011 Taluka: Nashik</t>
  </si>
  <si>
    <t>In Front Of Tahasil Office Main road kandhar. Postal/Zip Code: 431714 Taluka: Kandhar</t>
  </si>
  <si>
    <t>236/b/3, audut raje , ubarkhed road, PUSAD Postal/Zip Code: 445204 Taluka: Pusad</t>
  </si>
  <si>
    <t>Infront of telephone office Nandura Road Jalgaon Jamod, Sevtaf Nagar, Jalgaon Jamod, Jalgaon Jamod Postal/Zip Code: 443402 Taluka: Jalagaon</t>
  </si>
  <si>
    <t>Shri Krushna Nagar Square, Hasan Bag Road, Shri Krushna Nagar, Nandanwan, Nagpur Postal/Zip Code: 440009 Taluka: Nagpur</t>
  </si>
  <si>
    <t>1373, Pattewars Shops, Main Road Mukhed, Mukhed Postal/Zip Code: 431715 Taluka: Mukhed</t>
  </si>
  <si>
    <t>H.No 91, AJINTHA NAGAR, HUDCO, WANGI ROAD, PARBHANI Postal/Zip Code: 431401 Taluka: Parbhani</t>
  </si>
  <si>
    <t>AT BALRAM HOSPITAL RATHI NAGAR MANORA Postal/Zip Code: 444404 Taluka: Manora</t>
  </si>
  <si>
    <t>Plot No. 13, Nath Nagar, Aurangabad, Jaiswal Niwas, Nath Nagar, Aurangabad Postal/Zip Code: 431005 Taluka: Aurangabad</t>
  </si>
  <si>
    <t>add-mahavir chowk, near mangesh photo studio, nachangaon road pulgaon, hanumante, pulgaon, pulgaon Postal/Zip Code: 442302 Taluka: Deoli</t>
  </si>
  <si>
    <t>Ward No.1, Ward No.1, Ward No.1, Waigaon - Nipani Postal/Zip Code: 442108 Taluka: Wardha</t>
  </si>
  <si>
    <t>SUYASH SADAN, MAIN ROAD GHATANJI TQ.GHATANJI, DIST. YAVATMAL Postal/Zip Code: 445301 Taluka: Ghatanji</t>
  </si>
  <si>
    <t>60/1/A, Anand, bijalinagar, chinchwad Postal/Zip Code: 411033 Taluka: Haveli</t>
  </si>
  <si>
    <t>Shop No F7 Thakkar Buzzar Bus stand Parola Tal Parola Dist Jalgaon, Thakkar Buzzar Bus stand Parola Tal Parola , Parola, Parola Postal/Zip Code: 425111 Taluka: Parola</t>
  </si>
  <si>
    <t>786, sona mazil, amravati road, kondhali Postal/Zip Code: 441103 Taluka: Katol</t>
  </si>
  <si>
    <t>At Post Matola Postal/Zip Code: 413520 Taluka: Ausa</t>
  </si>
  <si>
    <t>channe complex,Satgaon Road, Sakritola Postal/Zip Code: 441902 Taluka: Salekasa</t>
  </si>
  <si>
    <t>Plot No-737, Gajanan Clinic, A/P-PILKHOD, PILKHOD Postal/Zip Code: 424101 Taluka: Chalisgaon</t>
  </si>
  <si>
    <t>Shop No. 36, Plot No. 2, Indra Aangan Complex, Sector - 9, Khanda Colony Postal/Zip Code: 410206 Taluka: Panvel</t>
  </si>
  <si>
    <t>At Post Bembli Postal/Zip Code: 413501 Taluka: Osmanabad</t>
  </si>
  <si>
    <t>Ward No.3, Samanway Nagar, Khamgaon, ----, Ward No.3, Khamgaon Postal/Zip Code: 444303 Taluka: Khamgaon</t>
  </si>
  <si>
    <t>at.po.anwa ta.bhokardanInfront of DR.More's clinic , infront of Dr.more's clinic, main Road, Anwa Postal/Zip Code: 431112 Taluka: Bhokardan</t>
  </si>
  <si>
    <t>PLOT NO. 90, ASHIRWAD SOCIETY, CIDCO, CIDCO Postal/Zip Code: 431603 Taluka: Nanded</t>
  </si>
  <si>
    <t>SR NO. 4/1/2/1, KANSE SADAN, MARUTI KANSE PATH, AUNDH POST, PIMPLE NILAKH Postal/Zip Code: 411027 Taluka: Haveli</t>
  </si>
  <si>
    <t>A/p New Danwad Near navajiwan choke Tal: Shirol Dist :-Kolhapur pin:416107 , hous num.373, Danwad, New Danwad Postal/Zip Code: 416107 Taluka: Shirol</t>
  </si>
  <si>
    <t>Behind GUPTA Hotel, Kanholibara Road, Suraj Nagar, Hingna, Hingna Postal/Zip Code: 441110 Taluka: Hingana</t>
  </si>
  <si>
    <t>309- Shiv Darshan Shopping Center, M.G Road, Opp Santacruz Station, Santacruz(W), Mumbai-400 054 Postal/Zip Code: 400054 Taluka: Andheri</t>
  </si>
  <si>
    <t>2/505, Ghumare Complex, Near Datta Mandir, Bajar Road, Kumbhar Pimpalgaon. Postal/Zip Code: 431211 Taluka: Ghansavangi</t>
  </si>
  <si>
    <t>Shop no 8 , surya arcade ,new honaji nagar jatwada road, jatwada roaad, harsul Postal/Zip Code: 431001 Taluka: Aurangabad</t>
  </si>
  <si>
    <t>New anuradha Colony,, Badnera Road, sai nagar Amravati, Sai Nagar, Amravati Postal/Zip Code: 444607 Taluka: Amravati</t>
  </si>
  <si>
    <t>PLOT NO 34, VISHWA KARMA NAGER N/R RAMESHWAR COLONY, LAKE ROAD, MEHRUN Postal/Zip Code: 425002 Taluka: Jalgaon</t>
  </si>
  <si>
    <t>"Mauli" Wardhaman Nagar, Ring Road Kaulkhed Akola Postal/Zip Code: 444004 Taluka: Akola</t>
  </si>
  <si>
    <t>Near Bus Stand, Datt Colony, Taloda, Taloda Postal/Zip Code: 425413 Taluka: Taloda</t>
  </si>
  <si>
    <t>Shree Balaji Computers,Near Balaji Mandir,Balaji Faras Deulgaon Raja., Shree Balaji Computers, Balaji Faras Deulgaon Raja, Deulgaon Raja Postal/Zip Code: 443204 Taluka: Deulgaonraja</t>
  </si>
  <si>
    <t>Plot No. 38 , Data Max Computers, Behind Marathi School, Aqsa Nagar Postal/Zip Code: 425001 Taluka: Jalgaon</t>
  </si>
  <si>
    <t>Flat No. S1 (Second Floor), Indraprast Plaza, Karad Road, Vita, Vita Postal/Zip Code: 415311 Taluka: Khanapur</t>
  </si>
  <si>
    <t>NEAR ZP SCHOOL COLLEGE ROAD, BHOOM Postal/Zip Code: 413504 Taluka: Bhoom</t>
  </si>
  <si>
    <t>Near Bomnwar collegeManoj Palarpwar complex chamorshi, Tahshi office road chamorshi, Chamorashi Postal/Zip Code: 442603 Taluka: Chamorshi</t>
  </si>
  <si>
    <t>AT POST- SHINGAVE, NEAR SACHIN MEDICAL, SHINGAVE (PARGAON), SHINGAVE (PARGAON) Postal/Zip Code: 412406 Taluka: Ambegaon</t>
  </si>
  <si>
    <t>Block No 2, Tompe Complex, Balaji Nagar, Basmat Postal/Zip Code: 431512 Taluka: Basamat</t>
  </si>
  <si>
    <t>Block No - 2754, Dr. Jangle's Hospital, varangaon, VARANGAON Postal/Zip Code: 425305 Taluka: Bhusawal</t>
  </si>
  <si>
    <t>Shivraj Mitra Mandal Chowk, Datta Nagar, Uruli Devachi, Laxmi Niwas Building, Pune - Saswad Road, Postal/Zip Code: 412308 Taluka: Haveli</t>
  </si>
  <si>
    <t>194, Sitai Niwas, Sus Post Office, Pune Postal/Zip Code: 411021 Taluka: Mulshi</t>
  </si>
  <si>
    <t>Shop no.2, Phase 8, Vasant leela, Mahalaxmi shopping center, Godbunder road, Wagbill Postal/Zip Code: 400601 Taluka: Thane</t>
  </si>
  <si>
    <t>2, Geetanjali Bldg., Shivaji Nagar, Wagale Estate, Thane Postal/Zip Code: 400604 Taluka: Thane</t>
  </si>
  <si>
    <t>202, GULMOHAR COMPLEX, STATION ROAD, GOREGAON(EAST) Postal/Zip Code: 400063 Taluka: Andheri</t>
  </si>
  <si>
    <t>MAIN ROAD KONDHA, KOSRA Postal/Zip Code: 441908 Taluka: Pavni</t>
  </si>
  <si>
    <t>18, Ushakal Hsg Society, Tarawade Wasti, Mohammadwadi Road, Hadapsar, Pune, 18, Ushakal Hsg Society,, Mohammadwadi, Mohammadwadi Postal/Zip Code: 411060 Taluka: Haveli</t>
  </si>
  <si>
    <t>chhatrapati chowk, purna road, nanded, sidhi vinayak sankulan, nanded, purna road, nanded Postal/Zip Code: 431605 Taluka: Nanded</t>
  </si>
  <si>
    <t>Shope 2 and 3, Yashawant Complex Postal/Zip Code: 431716 Taluka: Mukhed</t>
  </si>
  <si>
    <t>nil, MSFC , Railwaystation, Aurangabad Postal/Zip Code: 431005 Taluka: Aurangabad</t>
  </si>
  <si>
    <t>1, Galli No. 3, Kranti Bhavan, Rly. Stn Road, Aurangabad Postal/Zip Code: 431002 Taluka: Aurangabad</t>
  </si>
  <si>
    <t>C/o Laxmanrao Gaikwad, VishwaJivan Colony, In Front Of Govt. Dairy Office, Basmat Road, Parbhani. Postal/Zip Code: 431401 Taluka: Parbhani</t>
  </si>
  <si>
    <t>sau. k.s. agrawal girl's complex, station road raver, Raver Postal/Zip Code: 425508 Taluka: Raver</t>
  </si>
  <si>
    <t>SHOP. NO. 51, KESHAR BAUG BUILDING, S. M. JADHAV MARG, MUMBAI Postal/Zip Code: 400014 Taluka: Mumbai</t>
  </si>
  <si>
    <t>Plot No 32+33 A , Yashoda Sankul, Kodoli, Satara Postal/Zip Code: 415004 Taluka: Satara</t>
  </si>
  <si>
    <t>sony computer, hiwarkhed road, akot Postal/Zip Code: 444101 Taluka: Akot</t>
  </si>
  <si>
    <t>OB 8 (1-10) , jai bharat high school , Guru Gobind Singh Marg, Mulund Postal/Zip Code: 400082 Taluka: Kurla</t>
  </si>
  <si>
    <t>Tilak Chowk Washim Postal/Zip Code: 444505 Taluka: Washim</t>
  </si>
  <si>
    <t>410, madhali ali, Wai kanyashala Maharshi Karve Road, 410, madhali ali, Wai kanyashala Maharshi Karve Road, Maharshi Karve Road, Wai Postal/Zip Code: 412803 Taluka: Wai</t>
  </si>
  <si>
    <t>BESIDE SBI BANK, OLD BUS STAND, MAIN ROAD Postal/Zip Code: 413513 Taluka: Chakur</t>
  </si>
  <si>
    <t>Ground Floor, 188, Hashemiah High School, Zakaria Masjid Street, Mumbai Postal/Zip Code: 400009 Taluka: Mumbai</t>
  </si>
  <si>
    <t>Vidyanagari, Jijamata College of Science and Arts, Dnyaneshwarnagar, Bhende Postal/Zip Code: 414605 Taluka: Nevasa</t>
  </si>
  <si>
    <t>S. N. 242/1, Yashoda Campus,, V. N. Road, NH-4,, Wadhe, Satara. Postal/Zip Code: 415004 Taluka: Satara</t>
  </si>
  <si>
    <t>New Mondha Road, Polawar Complex Postal/Zip Code: 413517 Taluka: Udgeer</t>
  </si>
  <si>
    <t>1, Shri Ram Niwas, Kokan Nagar, , J.M. Road, , Bhandup Postal/Zip Code: 400078 Taluka: Kurla</t>
  </si>
  <si>
    <t>HOUSE NO. 831, PLOT NO 17, SURVEY NO. 126/2A, KALIKA HOUSE,SHRIKRISHNA-GANESH MANDIR ROAD,SHIVAJINAGAR,SATPUR, NASHIK Postal/Zip Code: 422012 Taluka: Nashik</t>
  </si>
  <si>
    <t>shop no-8, A-1 wing, om shivai CHS.,, gulmohar road, borivali Postal/Zip Code: 400066 Taluka: Boriwali</t>
  </si>
  <si>
    <t>1862 , 1 ST FLOOR, KANEKAR BULDING, TITTA, MANGOAN Postal/Zip Code: 416519 Taluka: Kudal</t>
  </si>
  <si>
    <t>Bharat, Vhora, Khamgaon Road, Sakharwadi Postal/Zip Code: 415522 Taluka: Phaltan</t>
  </si>
  <si>
    <t>Block No -3, SWANANDADHISH, Gopal nagar (1), Dombivli Postal/Zip Code: 421201 Taluka: Kalyan</t>
  </si>
  <si>
    <t>bayas pas rod karanja (LAD) Postal/Zip Code: 444405 Taluka: Karanja</t>
  </si>
  <si>
    <t>Maheshwari Layout, Near Bokde Hospital, , Savner, Savner Postal/Zip Code: 441107 Taluka: Savner</t>
  </si>
  <si>
    <t>Shop No 13, Grapecity, Aurangabad Road, Nandur Naka, Nandur Postal/Zip Code: 422001 Taluka: Nashik</t>
  </si>
  <si>
    <t>At post wagdari , At post wagdari , Wagdari , wagdari Postal/Zip Code: 413218 Taluka: Akkalkot</t>
  </si>
  <si>
    <t>S.NO.29, MUNJABA VASTI, OPP. R.K.PURAM SOCIETY, DHANORI, PUNE, ATHARVA COMPUTERS, MUNJABA WASTI, DHANORI Postal/Zip Code: 411032 Taluka: Haveli</t>
  </si>
  <si>
    <t>32, Building, Post Office Road , Mangrulpir Postal/Zip Code: 444403 Taluka: Mangrulpir</t>
  </si>
  <si>
    <t>Shop No. 03, Sai Ratna CHS, Near by Jam Factory, Kharegaon, Kalwa Postal/Zip Code: 400605 Taluka: Thane</t>
  </si>
  <si>
    <t>c/o.Pahade Niwas, Kalyan Typing Insti., Mahalaxmi Niwas,, Nagarkhana Lane, Supari Hanuman Road,, AURANGABAD Postal/Zip Code: 431002 Taluka: Aurangabad</t>
  </si>
  <si>
    <t>Near Jogeshwari Mandir, Near D.N. High School, Main Road, Khiroda Postal/Zip Code: 425504 Taluka: Raver</t>
  </si>
  <si>
    <t>SHOP NO.17, CRYSTAL CITY, SEC-18, KOPAR KHAIRANE, CRYSTAL CITY, NR. GULABSANS DAIRY, NAVI MUMBAI Postal/Zip Code: 400709 Taluka: Thane</t>
  </si>
  <si>
    <t>678, Shivajinagar, At Post Pachod, Pachod Postal/Zip Code: 431121 Taluka: Paithan</t>
  </si>
  <si>
    <t>Opp. Canara Bank, Behind Bangalore bakery , Shop No.6, Om Chowk, Bijalinagar, Chinchwad Postal/Zip Code: 411033 Taluka: Haveli</t>
  </si>
  <si>
    <t>ASHA NAGAR , MUNDHE NIWAS, AMBHAI, SILLOD Postal/Zip Code: 431112 Taluka: Sillod</t>
  </si>
  <si>
    <t>43, Shivshakti Nagar, Opp. Wadi Police Station, Dattawadi, Wadi Post Office, Nagpur Postal/Zip Code: 440023 Taluka: Nagpur Rural</t>
  </si>
  <si>
    <t>"Shivkrupa" Near Rammandir, Ramnagar , Chinchawad Postal/Zip Code: 411019 Taluka: Haveli</t>
  </si>
  <si>
    <t>Row House No. 11, , Vishal Soc.,, Sector-2, Airoli Postal/Zip Code: 400708 Taluka: Thane</t>
  </si>
  <si>
    <t>PLOT NO 7, STATE BANK OF HYDRABAD BUILDING, BEED ROAD, GEORAI Postal/Zip Code: 431127 Taluka: Georai</t>
  </si>
  <si>
    <t>At &amp; Post. Bhatkhanda Postal/Zip Code: 424201 Taluka: Pachora</t>
  </si>
  <si>
    <t>INDUSTRIAL TRAINING INSTITUTE DHARNI, GOVT. ITI, BURHANPUR ROAD , DHARNI Postal/Zip Code: 444702 Taluka: Dharani</t>
  </si>
  <si>
    <t>Block No. 101, Ambaji Towers, Ravi Nagar Chowk, Shilagan Road, Amravati Postal/Zip Code: 444605 Taluka: Amravati</t>
  </si>
  <si>
    <t>Beside Saraswati School, Sanghmitra, Prakash Nagar, Latur Postal/Zip Code: 413512 Taluka: Latur</t>
  </si>
  <si>
    <t>Ground Floor, Satyam Shivam Sundaram Apartment, Opp. Police Quarters, Balikashram Road, Ahmednagar Postal/Zip Code: 414001 Taluka: Ahmednagar</t>
  </si>
  <si>
    <t>1st Floor, Balwadkar Building, Opposite PMT Bus Stop, Balwadkar, Katraj, Pune Postal/Zip Code: 411042 Taluka: Pune City</t>
  </si>
  <si>
    <t>GALA NO 4, KORE HEIGHTS NEAR PRABHAT TALKIES , BAZARPETH ROAD, RAHIMATPUR Postal/Zip Code: 415511 Taluka: Koregaon</t>
  </si>
  <si>
    <t>H. A. Hous. Soc., Plot No-B/5, sector No-21, Anandi Niwas, Nigdi Talawde Main Road, Yamunanagar, Yamunanagar Pradhikaran Postal/Zip Code: 411044 Taluka: Haveli</t>
  </si>
  <si>
    <t>Renuka Shilp complex shop no. 5 near Jaiswal Hall JadhavWadi T Point Aurangabad Postal/Zip Code: 431003 Taluka: Aurangabad</t>
  </si>
  <si>
    <t>25 &amp; 73, Narayan Wadi Complex, College Road, Chopda Postal/Zip Code: 425107 Taluka: Chopada</t>
  </si>
  <si>
    <t>At Post Khapa, Mata Khedi, Savner, Khapa Postal/Zip Code: 441101 Taluka: Savner</t>
  </si>
  <si>
    <t>JINTUR ROAD NEAR MINAKSHI TAKIG IN FRUNT OF NUTAN COLLAGE GROUND SAILU Postal/Zip Code: 431503 Taluka: Selu</t>
  </si>
  <si>
    <t>infront of laxmi takies, sorate Building, Mul, Nagpur Road, Sindewahi Postal/Zip Code: 441222 Taluka: Sindevahi</t>
  </si>
  <si>
    <t>5, Avantika ,, Lane next to Maruti Care point, Opp Sangam Press,, Kothrud Postal/Zip Code: 411038 Taluka: Pune City</t>
  </si>
  <si>
    <t>ground floor, bldg153/157 welfare centre, chimna butcher , mumbai Postal/Zip Code: 400003 Taluka: Mumbai</t>
  </si>
  <si>
    <t>26,NEW FRIENDS COLONY, TOWER LINE ROAD KATHORA NAKA ,V. M. V. ROAD, AMRAVATI Postal/Zip Code: 444604 Taluka: Amravati</t>
  </si>
  <si>
    <t>Shop No. 4, Plot No. 7 &amp; 8, Tirupati Complex, Kamothe, Navi Mumbai Postal/Zip Code: 410201 Taluka: Panvel</t>
  </si>
  <si>
    <t>Main Road, Neknoor, Main Road, Neknoor, Neknoor, Neknoor Postal/Zip Code: 431125 Taluka: Beed</t>
  </si>
  <si>
    <t>Dadmahal Ward,Near kohinoor Stadium, C/o Balu Services, Pathanpura Road, Chandrapur Postal/Zip Code: 442402 Taluka: Chandrapur</t>
  </si>
  <si>
    <t>At Po Shirajgaon Kasaba, At Po Shirajgaon Kasaba, Shirajgaon Kasaba, At Po Shirajgaon Kasaba Postal/Zip Code: 444810 Taluka: Chandur bazar</t>
  </si>
  <si>
    <t>Near R.A.College Kondala Road Washim Postal/Zip Code: 444505 Taluka: Washim</t>
  </si>
  <si>
    <t>a/p shirwal,tal khandala,dist satara, juna stand,samadhan complex, 1st floor, ambission computer ,shirwal, juna stand,near by police station, SHIRWAL Postal/Zip Code: 412801 Taluka: Khandala</t>
  </si>
  <si>
    <t>483, Dr. Yerawar Complex, Indira Gandhi Market, Bodhadi (BK) Postal/Zip Code: 431810 Taluka: Kinvat</t>
  </si>
  <si>
    <t>Dr. Khatavkars Hospital Building, Kumbharwada, Supa. Postal/Zip Code: 412304 Taluka: Baramati</t>
  </si>
  <si>
    <t>6, Rajpal Palce, Shahada Road, shirpur Postal/Zip Code: 425405 Taluka: Shirpur</t>
  </si>
  <si>
    <t>A/P- SHINOLI, TAL. AMBEGAON, DIST.PUNE, NEAR GRAMPANCHAYAT, SHINOLI, SHINOLI Postal/Zip Code: 410516 Taluka: Ambegaon</t>
  </si>
  <si>
    <t>At Post Jawala Bazar, Dayma Nivas, Main Road Jawala Bazar, Jawala Bazar Postal/Zip Code: 431705 Taluka: Audha Naganath</t>
  </si>
  <si>
    <t>8,Sukhdham Society,Opp St.Fransis High School,Tidke colony,Nashik Postal/Zip Code: 422002 Taluka: Nashik</t>
  </si>
  <si>
    <t>pandhurli, pandhurli, pandhurli, pandhurli Postal/Zip Code: 422103 Taluka: Sinnar</t>
  </si>
  <si>
    <t>Shiv Kamal Prestige 3rd Floor, NDA Road,Shivane,Pune .23 Postal/Zip Code: 411023 Taluka: Haveli</t>
  </si>
  <si>
    <t>KAVERI KUNJ, PLOT NO R9/126, LIC COLONY, PRAGTEE NAGAR Postal/Zip Code: 413512 Taluka: Latur</t>
  </si>
  <si>
    <t>816 / B 14., Mahalaxmi Comlex,Gandhi Chowk. Dodamarg-Sindhudurg, Goa-Belgoam Road, Dodamarg-Sindhudurg Postal/Zip Code: 416512 Taluka: Doda sara</t>
  </si>
  <si>
    <t>MAKODE COMPLEX, OPP BUS STAND, JALALKHEDA, JALALKHEDA Postal/Zip Code: 441301 Taluka: Narkhed</t>
  </si>
  <si>
    <t>PLOT NO. 66, GAT NO. 53, SHIV COLONY, SHIVCOLONY, JALGAON, JALGAON Postal/Zip Code: 425001 Taluka: Jalgaon</t>
  </si>
  <si>
    <t>Flat No. 20, Plot No. F-46, , Sumangal Co-Op Housing Society Ltd., Sector-12, Kharghar Postal/Zip Code: 410210 Taluka: Panvel</t>
  </si>
  <si>
    <t>NEAR KRISHNA TALKIES HINGOLI, CHIDRAWAR'S HOUSE, KOMTI GALLI, HINGOLI Postal/Zip Code: 431513 Taluka: Hingoli</t>
  </si>
  <si>
    <t>A 10, Lokhande Complax, Near Bus Stand, Borakhedi Postal/Zip Code: 443101 Taluka: Motala</t>
  </si>
  <si>
    <t>Ward No.5, Behind Neharu Mahavidyalaya,Hingna, Hingna, Hingna(Raipur) Postal/Zip Code: 441110 Taluka: Hingana</t>
  </si>
  <si>
    <t>pot No.6, Uday colony, Morshi Road, chandur bazar Postal/Zip Code: 444704 Taluka: Chandur bazar</t>
  </si>
  <si>
    <t>S N. 12 , MALEGAON ROAD, SHELUBAZAR, SHELUBAZAR Postal/Zip Code: 444403 Taluka: Mangrulpir</t>
  </si>
  <si>
    <t>HARSHARAJ COLONY NEAR CHAKRAPANI COLONY, MAHA LAXMI COMPLEX , V.M.V. ROAD, Amravati Postal/Zip Code: 444604 Taluka: Amravati</t>
  </si>
  <si>
    <t>50, dhakare house, umred-jam road, SAMUDRAPUR Postal/Zip Code: 442305 Taluka: Samudrapur</t>
  </si>
  <si>
    <t>Ground Floor, LOKHANDE COMPLEX, NEAR ABHINAV SCHOOL, BUS STAND ROAD , PURNA Postal/Zip Code: 431511 Taluka: Purna</t>
  </si>
  <si>
    <t>Shop No.26, 27, Anandraj Nagar Complex, Dharangaon Road,, Chopada Postal/Zip Code: 425107 Taluka: Chopada</t>
  </si>
  <si>
    <t>E-1/18/B-2, Sector-14, Cidco, New Panvel, New Panvel Postal/Zip Code: 410206 Taluka: Panvel</t>
  </si>
  <si>
    <t>Manjari Gavthan,Behind Balaji Printers,Near Datt Chowk Manjari(Bk) Postal/Zip Code: 412307 Taluka: Haveli</t>
  </si>
  <si>
    <t>Plot No 01, Pusad Road, Behind Union Bank, Mahagaon Post Office, Mahagaon Postal/Zip Code: 445205 Taluka: Mahagaon</t>
  </si>
  <si>
    <t>A/p Margtamhane, Dr. Tatyasaheb Natu College, &amp; Vasantrao Bhagwat Madhy. Vidyalay, Margtamhane, Chiplun - Guhagar Road, Chiplun Postal/Zip Code: 415702 Taluka: Chiplun</t>
  </si>
  <si>
    <t>Block No. 3, Bale Complex,, Nagpur Road, Saoner Postal/Zip Code: 441107 Taluka: Savner</t>
  </si>
  <si>
    <t>Krushi Utapnna Bajar Samiti, Shop no.20, Jalgaon-road, Jamner, Krishi Utapnna Bajar Samiti, Jamner, Jalgaon Road, Jamner Postal/Zip Code: 424206 Taluka: Jamner</t>
  </si>
  <si>
    <t>Room No.5, Tunga Village, Saki - Vihar Road, Andheri East Postal/Zip Code: 400072 Taluka: Andheri</t>
  </si>
  <si>
    <t>Vaishali Nagar, Behind S.R.P.F Camp, Hingna MIDC Road, Nagpur Postal/Zip Code: 440016 Taluka: Hingana</t>
  </si>
  <si>
    <t>SP COLLEGE ROAD, PARDI ROAD, BHOOM, BHOOM Postal/Zip Code: 413504 Taluka: Bhoom</t>
  </si>
  <si>
    <t>At-Fattepur,Taluka-Jamner, DIst,-Jalgaon, Pin code-424208, Near Bus Stand, Jamner-Deulgaon Road, Fattepur Postal/Zip Code: 424208 Taluka: Jamner</t>
  </si>
  <si>
    <t>433, Chandanbai Layout, Medical Square Road, Nr Vijay Steel Mart, Hanuman Nagar Post Office, Nagpur Postal/Zip Code: 440009 Taluka: Nagpur</t>
  </si>
  <si>
    <t>1321, MANA NIVAS , TEMBHURNI, TEMBHURNI Postal/Zip Code: 431208 Taluka: Jaffarabad</t>
  </si>
  <si>
    <t>BEHIND JAYPRAKASH VIDYALAYA, RUIBHAR, RUIBHAR, RUBHAR Postal/Zip Code: 413501 Taluka: Osmanabad</t>
  </si>
  <si>
    <t>286-87-88, Shiv ratna Primary English Medium School, Main Road, Vaduth, At/po- Vaduth Postal/Zip Code: 415011 Taluka: Satara</t>
  </si>
  <si>
    <t>116/6/2, PARKHE CHAMBERS BEHIND SAILEELA HOTEL, sus road, pashan Postal/Zip Code: 411021 Taluka: Haveli</t>
  </si>
  <si>
    <t>H NO 2573, GAONDEVI CHOWK, GAONDEVI ROAD, AMBERNATH Postal/Zip Code: 421501 Taluka: Ambarnath</t>
  </si>
  <si>
    <t>FIRST FLORE, TATPALLIWAR BUILDING, NETAJI CHOWK, BABUPETH Postal/Zip Code: 442403 Taluka: Chandrapur</t>
  </si>
  <si>
    <t>C/o. Prabhakar Dhanore, Gurudeo Ward, Chimur, Chimur Postal/Zip Code: 442903 Taluka: Chimur</t>
  </si>
  <si>
    <t>c/o Grampanchayat Warthi, Gramin Sachivalaya Warthi, Bhandara Road, Warthi Postal/Zip Code: 441905 Taluka: Mohadi</t>
  </si>
  <si>
    <t>paras plaza risod road washim Postal/Zip Code: 444505 Taluka: Washim</t>
  </si>
  <si>
    <t>near paras medical parsawat nagar, parbhani. Postal/Zip Code: 431401 Taluka: Parbhani</t>
  </si>
  <si>
    <t>oppisite partur police testion , hastertgee mastenchouk, partur, partur Postal/Zip Code: 431501 Taluka: Partur</t>
  </si>
  <si>
    <t>GR.FLR.SULTANABAD COLONY, BEHRAMBAUGH ROAD, SULTANABAD WELFARE CENTRE, JOGESHWARI -W, MUMBAI Postal/Zip Code: 400102 Taluka: Andheri</t>
  </si>
  <si>
    <t>S.No.795 ,, Randhave Building, Opp Police Station,Alandi Devachi, Alandi Devachi Postal/Zip Code: 412105 Taluka: Khed</t>
  </si>
  <si>
    <t>1, , MATRU-PIRTU NIWAS, , SHIVAJI NAGAR, T.P. ROAD,, BHANDUP Postal/Zip Code: 400078 Taluka: Kurla</t>
  </si>
  <si>
    <t>"Swami Samarth Bldg. Desai Galli. A/P Kale Postal/Zip Code: 416205 Taluka: Panhala</t>
  </si>
  <si>
    <t>Gat No. 302, Samarth Nagar, Ashoknagar, Post. Karegaon Factory Postal/Zip Code: 413717 Taluka: Srirampur</t>
  </si>
  <si>
    <t>main road kondhali near police station , BALPANDE NIWAS KONDHALI, Near police station, village Postal/Zip Code: 441103 Taluka: Katol</t>
  </si>
  <si>
    <t>355, krishna building, Ghogargaon, Ghogargaon Postal/Zip Code: 414401 Taluka: Shrigonda</t>
  </si>
  <si>
    <t>G29, Super Bazar Complex , State Bank Square, Yavatmal Postal/Zip Code: 445001 Taluka: Yavatmal</t>
  </si>
  <si>
    <t>Narkhed Postal/Zip Code: 441304 Taluka: Narkhed</t>
  </si>
  <si>
    <t>BLDG NO 51,SHOP NO 6,, AUDUMBER CHS,, STATION ROAD,, TILAKNAGAR Postal/Zip Code: 400089 Taluka: Kurla</t>
  </si>
  <si>
    <t>Shop No. 2, Ramkrishna Kutir CHS, Nr. DNC School, Hanuman Nagar, Dombivli (E) Postal/Zip Code: 421201 Taluka: Kalyan</t>
  </si>
  <si>
    <t>T.H.WAJEKAR VIDYALAYA ,PHUNDE, T.H.WAJEKAR VIDYALAYA ,PHUNDE, j.n.p.t, PHUNDE Postal/Zip Code: 400707 Taluka: Uran</t>
  </si>
  <si>
    <t>01, KISMAT MANZIL,NEAR YASHWANT PROCESS, KOLHAPUR ROAD, ICHALKARANJI Postal/Zip Code: 416115 Taluka: Hatkanangale</t>
  </si>
  <si>
    <t>1, sugam niwas, PANCHAYAT SAMITI ROAD, SANGRAMPUR Postal/Zip Code: 444202 Taluka: Sangrampur</t>
  </si>
  <si>
    <t>Neaar post office, Savarde Bk||, Savarde Bk||, Savarde bk || Tal: Kagal Postal/Zip Code: 416219 Taluka: Kagal</t>
  </si>
  <si>
    <t>IMC OF ITI Govt. ITI College Morewadi Ambajogai Postal/Zip Code: 431517 Taluka: Ambejogai</t>
  </si>
  <si>
    <t>Shop No. 14, Basement, Siddhininayak Sankul, Below Monginies, Oak Baug, New Station Road, Kalyan (W) Postal/Zip Code: 421301 Taluka: Kalyan</t>
  </si>
  <si>
    <t>167(3)(1)/2, SHARADA SADAN, DAPOLI, DAPOLI Postal/Zip Code: 415712 Taluka: Dapoli</t>
  </si>
  <si>
    <t>CHANDUR BISWA, MARK COMPUTER, RAILWAY STATION ROAD, CHANDUR BISWA Postal/Zip Code: 443401 Taluka: Nandura</t>
  </si>
  <si>
    <t>647, BHAWANI PETH, , MCB/GJE TRUST'S GOLDEN JUBILEE TECHNICAL INSTITUTE, HARAKA NAGAR, PUNE Postal/Zip Code: 411002 Taluka: Haveli</t>
  </si>
  <si>
    <t>A/P DAULATNAGAR, SHIVAJIRAO DESAI COLLEGE OF POLYTECHNIC, DAULATNAGAR, DAULATNAGAR Postal/Zip Code: 415205 Taluka: Patan</t>
  </si>
  <si>
    <t>Near Shitala Mata mandir, Front of Lohiya Decoration, Gandhi Chowk, Amgaon Postal/Zip Code: 441902 Taluka: Amgaon</t>
  </si>
  <si>
    <t>P-5,MIDC,Chikalthana,, Swami Vivekanand Academy, Nr.MIDC Police Stationj, Chikalthana Postal/Zip Code: 431210 Taluka: Aurangabad</t>
  </si>
  <si>
    <t>10,11,12, Shetkari Sangh Complex,Erandol Postal/Zip Code: 425109 Taluka: Erandol</t>
  </si>
  <si>
    <t>At.Post. Bhuinj, Ta. Wai, Dist. Satara, Priyadarshani Girls Highschool Building, Bhuinj, Bhuinj Postal/Zip Code: 415515 Taluka: Wai</t>
  </si>
  <si>
    <t>NAGAR PARISHAD COMPLEX SHOP.NO.10, OPP. POLICE STATION, SADARBAZAR, AMBAJOGAI Postal/Zip Code: 431517 Taluka: Ambejogai</t>
  </si>
  <si>
    <t>NEAR BANK OF MAHARASHTRA, SHINDE COMPLEX, KUMBHARGAON ROAD TALMAVALE, TALMAVALE Postal/Zip Code: 415103 Taluka: Patan</t>
  </si>
  <si>
    <t>At- Post Ansing , Ansing, Ansing, Ansing Postal/Zip Code: 444507 Taluka: Washim</t>
  </si>
  <si>
    <t>NAIK FOUNDATION, NATIONAL HIGHWAY NO. 3, MUMBAI-NASIK HIGHWAY, PADGHA, BHIWANDI, NAIK FOUNDATION, N.H. 3, Padgha, Biwandi Postal/Zip Code: 421302 Taluka: Thane</t>
  </si>
  <si>
    <t>saramkundi,fata road saramkundi Postal/Zip Code: 413503 Taluka: Vaashi</t>
  </si>
  <si>
    <t>31-A, Narsingh Sarswati Nagar, Sai Nagar, Amravati Postal/Zip Code: 444607 Taluka: Amravati</t>
  </si>
  <si>
    <t>STATION ROAD, DHARMABAD , SAGAR COMPLEX, DHARMABAD, DHARMABAD Postal/Zip Code: 431809 Taluka: Dharmabad</t>
  </si>
  <si>
    <t>9-334 9-430, prashant nager,Ambajogai, Ambajogai, city Postal/Zip Code: 431517 Taluka: Ambejogai</t>
  </si>
  <si>
    <t>Shop 10/11, Satyam Apartments, Near Gaodevi Temple, Kalwa Postal/Zip Code: 400605 Taluka: Thane</t>
  </si>
  <si>
    <t>Near Bus Stand, Mahalgaon, Tal Vaijapur, Dist Aurangabad, Near Bus Stand, Mahalgaon, Tal Vaijapur, Dist Aurangabad, Vaijapur-Gangapur Road, Mahalgaon Postal/Zip Code: 423701 Taluka: Vaijapur</t>
  </si>
  <si>
    <t>08, tengse complxe, sai road, pathri Postal/Zip Code: 431506 Taluka: Pathri</t>
  </si>
  <si>
    <t>near blue diamond school, nafisa, ca road, nagpur Postal/Zip Code: 440002 Taluka: Nagpur</t>
  </si>
  <si>
    <t>18, Shiv Appart., Karade Road,Borad, Borad Postal/Zip Code: 425413 Taluka: Taloda</t>
  </si>
  <si>
    <t>Shiop No. 1, Yash Nakshatra, Sutgirni Road, Aurangabad Postal/Zip Code: 431001 Taluka: Aurangabad</t>
  </si>
  <si>
    <t>RM-67 BLOCK NO.7, Astavinayak Hos. Sco. Bajaj Nagar MIDC Area Waluj Aurangabad, Bajaj Nagar, Bajaj Nagar Postal/Zip Code: 431136 Taluka: Aurangabad</t>
  </si>
  <si>
    <t>SHOP NO.6 GAT NO 198+353, 15 B NEAR TALATHI OFFICE PIMPRALA, PIMPRALA ROAD, PIMPRALA JALGAON Postal/Zip Code: 425001 Taluka: Jalgaon</t>
  </si>
  <si>
    <t>Chhota Datta Mandir, T. B. Toli, Nr. Petrol Pump, Gondia, Gondia Postal/Zip Code: 441601 Taluka: Gondiya</t>
  </si>
  <si>
    <t>B-1, SANA GARDEN, NEAR KANYA MAHAVIDHYALAY, SHIVAJI NAGAR, MIRAJ Postal/Zip Code: 416410 Taluka: Miraj</t>
  </si>
  <si>
    <t>First Floor, Office No. 106, Gagan Enclave, Ganga Dham Road, PUNE Postal/Zip Code: 411037 Taluka: Pune City</t>
  </si>
  <si>
    <t>INFRONT OF TAHESILOFFICE DIGRASS ROAD MANORA 444404 (MS) Postal/Zip Code: 444404 Taluka: Manora</t>
  </si>
  <si>
    <t>shop no 17, kalpak estate, antophill , mumbai Postal/Zip Code: 400037 Taluka: Mumbai</t>
  </si>
  <si>
    <t>Near Indira Chowk, Halbipura, Kalamb, Kalamb Postal/Zip Code: 445401 Taluka: Kalamb</t>
  </si>
  <si>
    <t>NAGAR BEED ROAD , KADA, AT-POST- KADA, ASHTI Postal/Zip Code: 414202 Taluka: Ashti</t>
  </si>
  <si>
    <t>M-161, Near Bus Stand, Main Road, Bansarola tal-Kaij Postal/Zip Code: 431518 Taluka: Kaij</t>
  </si>
  <si>
    <t>A/P.DHORKIN TQ.PAITHAN DIST.AURANGABAD, SUMIT COMPLEX, PAITHAN ROAD , DHORKIN Postal/Zip Code: 431105 Taluka: Paithan</t>
  </si>
  <si>
    <t>Kurul Ankoli Road, Near Shriram Mandir At Post Ankoli , Postal/Zip Code: 413213 Taluka: Mohol</t>
  </si>
  <si>
    <t>SHOP NO 7, GANDAHMNAGAR, ALANDI ROAD, PUNE Postal/Zip Code: 411003 Taluka: Haveli</t>
  </si>
  <si>
    <t>Shop No. 5, Deep Residency, J.W. Road, Parel, Bhoiwada,Mumbai Postal/Zip Code: 400012 Taluka: Mumbai</t>
  </si>
  <si>
    <t>Front of SBI, Near Bus Stop, Katre Building, Gondia Road, Amgaon Postal/Zip Code: 441902 Taluka: Amgaon</t>
  </si>
  <si>
    <t>Block No: 4/2B, Dwarika, Chawani Road, Aurangabad Postal/Zip Code: 431002 Taluka: Aurangabad</t>
  </si>
  <si>
    <t>FLAT NO-1, A-WING, RAMA COMPLEX, MAIN ROAD, CHANDORI Postal/Zip Code: 422201 Taluka: Niphad</t>
  </si>
  <si>
    <t>AT.PO.JALGAON(SAPKAL) TA.BHOKARDAN DIST JALNA, Postal/Zip Code: 431112 Taluka: Bhokardan</t>
  </si>
  <si>
    <t>2nd Floor, Ajantha Complex, Main Road Postal/Zip Code: 413521 Taluka: Nilanga</t>
  </si>
  <si>
    <t>Shop No 17, Plot No. 14, R.B. Complex, Sec.- 16, Kamothe, NAVI MUMBAI Postal/Zip Code: 410209 Taluka: Panvel</t>
  </si>
  <si>
    <t>Plot No 149, Village Talwada, Tq. Georai, Dist, Beed. Postal/Zip Code: 431127 Taluka: Georai</t>
  </si>
  <si>
    <t>6, , Universal Industrial, , J.P. Road,, Andheri Postal/Zip Code: 400053 Taluka: Andheri</t>
  </si>
  <si>
    <t>762, Ganesh Peth, Buradi Bridge, Shiv Maharana Pratap, Govind Halwai Chowk, Pune Postal/Zip Code: 411002 Taluka: Pune City</t>
  </si>
  <si>
    <t>Shop no.136 shree shivaji complex,devalgao raja road,jalna, Shop no.136 shree shivaji complex,devalgao raja road,jalna, devalgao raja road, JALNA Postal/Zip Code: 431203 Taluka: Jalna</t>
  </si>
  <si>
    <t>block no.1, Matoshri bhavan, singaon jh., singaon jh Postal/Zip Code: 443206 Taluka: Deulgaonraja</t>
  </si>
  <si>
    <t>100, SHIVASHRAY, SOPINATH NAGAR, BALAPUR ROAD, AKOLA Postal/Zip Code: 444002 Taluka: Akola</t>
  </si>
  <si>
    <t>1, Pathak Colony, MHASWAD, MHASWAD Postal/Zip Code: 415509 Taluka: Man</t>
  </si>
  <si>
    <t>Gadge House, Besides Raj medicals, Khira Chawk, patur Postal/Zip Code: 444501 Taluka: Patur</t>
  </si>
  <si>
    <t>Amrut Nagar, Peshwe's House, Jalamb Road, Khamgaon Postal/Zip Code: 444303 Taluka: Khamgaon</t>
  </si>
  <si>
    <t>J.T.MAHAJAN COMPLEX,SHOP NO.15,16 TAL-YAWAL, DIST. JALGAON Postal/Zip Code: 425301 Taluka: Yaval</t>
  </si>
  <si>
    <t>Shri Shivaji Highschool Complex ,Buldhana Arban Bank Under Ground flower, Dongaon Raod Mehkar Postal/Zip Code: 443311 Taluka: Mehekar</t>
  </si>
  <si>
    <t>1432,C ward,2nd Floor, Om plaza, Konda Lane, Kolhapur Postal/Zip Code: 416001 Taluka: Kolhapur</t>
  </si>
  <si>
    <t>49,50, Grampanchayat Shoping Complex, Main Road, Pusesavali Postal/Zip Code: 415512 Taluka: Khatav</t>
  </si>
  <si>
    <t>YASHVANT NIWAS BAZER PETH OPP. FEDRAL BANK SHIROL, 1ST FLOOR YASHVANT NIWAS SHIROL, BAZER PETH ROAD, SHIROL Postal/Zip Code: 416103 Taluka: Shirol</t>
  </si>
  <si>
    <t>1100/1A, 2707 Shop No. 2, Janardhan plaza, , D-Ward, Shukarwar Peth,Teli Galli, Kolhapur Postal/Zip Code: 416002 Taluka: Karveer</t>
  </si>
  <si>
    <t>PLOT NO 24,25, MANE NIWAS,Arihant Nagar ,NEAR NEW HIGH SCHOOL, SIRSALA, Bus Stand Road,Sirsala , SIRSALA Postal/Zip Code: 431515 Taluka: Parali</t>
  </si>
  <si>
    <t>Near sant janabai college, Kodri Road, Gangakhed Postal/Zip Code: 431514 Taluka: Gangakhed</t>
  </si>
  <si>
    <t>2498, NAV MAHARASHTRA SHIKSHAN SANSTHA, KUPWAD (SANGLI), MIDC ROAD KUPWAD, KUPWAD Postal/Zip Code: 416425 Taluka: Miraj</t>
  </si>
  <si>
    <t>MAIN ROAD, NEAR ICICI BANK, KODOLI, TAL- KOLHAPUR, DIST - KOLHAPUR Postal/Zip Code: 416113 Taluka: Panhala</t>
  </si>
  <si>
    <t>Gr. Flr.,, Sukh Nivas, Raghoba Shankar Road, Behind Ashok Talkies,, Thane (W) Postal/Zip Code: 400601 Taluka: Thane</t>
  </si>
  <si>
    <t>1182/28, E ward,Opp. Vishwanath Hou. Soc,Rajarampuri 5th lane, Chavan Bldg, Takala Chawk to Cyber road, Kolhapur Postal/Zip Code: 416008 Taluka: Kolhapur</t>
  </si>
  <si>
    <t>Shop No. 1, Near Park Site Police Station, L B S Road, Suryanagar Postal/Zip Code: 400083 Taluka: Kurla</t>
  </si>
  <si>
    <t>c/o Suvidha Diagnositc centre , Hedgewar Marg Parbhani , Suvidha Diagnostic centre , Parbhani , Parbhani Postal/Zip Code: 431401 Taluka: Parbhani</t>
  </si>
  <si>
    <t>Zukle Complex, Amba Hanuman Mandir, Ambajogai Road Postal/Zip Code: 413512 Taluka: Latur</t>
  </si>
  <si>
    <t>Shop No. 2, Jamnadas Chawl, Pestam Sagar, Road No. 4, Chembur Postal/Zip Code: 400089 Taluka: Kurla</t>
  </si>
  <si>
    <t>Chorge Complex, 1st Floor, Pandur Titha, OPP. Shivaji English School, Taluka Kudal Dist : Sindhudurg Postal/Zip Code: 416520 Taluka: Kudal</t>
  </si>
  <si>
    <t>CHOWK BAZAR NEAIR CHONDAK KIRANA STORES JINTUR Postal/Zip Code: 431509 Taluka: Jintur</t>
  </si>
  <si>
    <t>SAPRA COMPLEX, SURENDRAGHAD, SEMINARY HILLS,NAGPUR, SAPRA COMPLEX,, SEMINARY HILLS,NAGPUR, NAGPUR Postal/Zip Code: 440006 Taluka: Nagpur</t>
  </si>
  <si>
    <t>Opp.Old Passport Office,, The Nab Workshop,, Dr.Annie Besant Road,, Worli Postal/Zip Code: 400030 Taluka: Mumbai</t>
  </si>
  <si>
    <t>MAIN ROAD JAMBHORA, MAIN ROAD JAMBHORA, JAMBHORA, JAMBHORA Postal/Zip Code: 443203 Taluka: Sindakhed raja</t>
  </si>
  <si>
    <t>Flat, Dharmaraj complex sangola , phule chowk, sangola Postal/Zip Code: 413307 Taluka: Sangola</t>
  </si>
  <si>
    <t>Gulmohar Kubera, 2nd Floor, Salunke Vihar Road, Kondwa , Gulmohar Kubera, Salunke Vihar Road, Pune Postal/Zip Code: 411040 Taluka: Haveli</t>
  </si>
  <si>
    <t>513-A, VAIBHAV HOTEL, DHAMNAND, DHAMNAND-KHED Postal/Zip Code: 415718 Taluka: Khed</t>
  </si>
  <si>
    <t>59, Aakar Institute of Management &amp; Research Studies , Shankar Nagar, Nagpur Postal/Zip Code: 440010 Taluka: Nagpur</t>
  </si>
  <si>
    <t>Shop no 1, Asiana complex, Shivaji road , Mahad Postal/Zip Code: 402301 Taluka: Mahad</t>
  </si>
  <si>
    <t>S. N. 40/2/1, Yashodanagar, Godoli, Satara Postal/Zip Code: 415002 Taluka: Satara</t>
  </si>
  <si>
    <t>Bhadgaon Road, C/o Mr. Y A Chaudhari, Near Petrol Pump, Chalisgaon Postal/Zip Code: 424101 Taluka: Chalisgaon</t>
  </si>
  <si>
    <t>HOUSE NO 1420, SWAMI, SWAMI NARAYAN MANDIR ROAD, SAVDA Postal/Zip Code: 425502 Taluka: Raver</t>
  </si>
  <si>
    <t>JAGNATH BUDHWARI, NEAR BHAGWAN SODA FACTORY, ITWARI, NAGPUR Postal/Zip Code: 440002 Taluka: Nagpur</t>
  </si>
  <si>
    <t>C/O ANANDRAOJI MAKDE, NEAR YASHODHARA LAWN NAKA NO.2, KAMPTHI ROAD, BHILGAON Postal/Zip Code: 441002 Taluka: Kamathi</t>
  </si>
  <si>
    <t>549/1, S. T. Stand(Back), wakeshawar Raod , Vaduj Postal/Zip Code: 415506 Taluka: Khatav</t>
  </si>
  <si>
    <t>Plot No.74, Devkar Building, Bhose, a/p sugaon bhose Postal/Zip Code: 413315 Taluka: Pandharpur</t>
  </si>
  <si>
    <t>Block No. 1, Bapuji Complex, Mahalaxmi Nagar, Yaval Road Postal/Zip Code: 425107 Taluka: Chopada</t>
  </si>
  <si>
    <t>H. No. 1635, SADICCHA NIVAS, SAVATAMALI ROAD, JADHAVWADI Postal/Zip Code: 412114 Taluka: Haveli</t>
  </si>
  <si>
    <t>B-17, Sahakar Nagar R S S G H, Jerbai Wadia Road, Bhoiwada Postal/Zip Code: 400012 Taluka: Mumbai</t>
  </si>
  <si>
    <t>HOUSE NO. 80/11, 1ST FLOOR, BRAHMANT TOWERS, SHIVAJI CHOUK, ASANGAON (W) Postal/Zip Code: 421301 Taluka: Shahapur</t>
  </si>
  <si>
    <t>Shop No.1, Plot No. 266, Sec.-23, Narmada Apartment, Juinagar, Navi Mumbai Postal/Zip Code: 400705 Taluka: Thane</t>
  </si>
  <si>
    <t>Gram panchayat no 2945, Shailesh Colony, Main Road, Hiwarkhed Postal/Zip Code: 444103 Taluka: Telhara</t>
  </si>
  <si>
    <t>H.No. 4218,, Kurnawal Building, Behind Raymond Showroom, Pandharpur Postal/Zip Code: 413304 Taluka: Pandharpur</t>
  </si>
  <si>
    <t>LALGANJ,RAUT CHOWK, BANGDE CHOWK, ITWARI, NAGPUR Postal/Zip Code: 440002 Taluka: Nagpur</t>
  </si>
  <si>
    <t>SAI KRUPA COMPLEX,, PRAKASH NAGAR, BARSHI ROAD, LATUR Postal/Zip Code: 413512 Taluka: Latur</t>
  </si>
  <si>
    <t>SHOP NO 4, MAULI PRASAD BLDG., OPP MALAD CO OP BANK, KURAR VILLAGE Postal/Zip Code: 400097 Taluka: Boriwali</t>
  </si>
  <si>
    <t>DNYANAI COMPUTER EDUCATION,NEAR POST OFFICE,SHELUBAZAR Postal/Zip Code: 444402 Taluka: Mangrulpir</t>
  </si>
  <si>
    <t>Survey no.180 Plot no.8, Mahatma Phule Nagar,Dhanora Road, Beed Postal/Zip Code: 431122 Taluka: Beed</t>
  </si>
  <si>
    <t>Ward No. 6, H.No.599, Chhabada Building, First Floor, Mothe Tale, Ichalkaranji Postal/Zip Code: 416115 Taluka: Hatkanangale</t>
  </si>
  <si>
    <t>Infront of Lokmat office &amp; Smita Book Store, Near Grahak Bazar, K.B.P. Collage Road, Islampur Postal/Zip Code: 415409 Taluka: Walva</t>
  </si>
  <si>
    <t>Govind Nivas, Sambhaji Chowk, Vaibhavwadi, Govind Nivas, Sambhaji Chowk, VAIBHAVWADI Postal/Zip Code: 416810 Taluka: Vaibhavawadi</t>
  </si>
  <si>
    <t>DALAL-LAY-OUT ,EKTA NAGAR ,BULDANA, DALAL-LAY-OUT ,EKTA NAGAR ,BULDANA, BULDANA, BULDANA Postal/Zip Code: 443001 Taluka: Buldhana</t>
  </si>
  <si>
    <t>39, bhageshree nagar dwarka computer, kharbi Rd, Nagpur Postal/Zip Code: 440009 Taluka: Nagpur</t>
  </si>
  <si>
    <t>C 491, AMRUTASOFT, RAILWAY STATION ROAD, BASAMAT Postal/Zip Code: 431512 Taluka: Basamat</t>
  </si>
  <si>
    <t>5, Perfect Class, Main Road, Pargaon Postal/Zip Code: 412203 Taluka: Daund</t>
  </si>
  <si>
    <t>4, MAHATMA GANDHI VIDYALAYA ,MANJROD, MANJROD, MANJROD Postal/Zip Code: 425421 Taluka: Shirpur</t>
  </si>
  <si>
    <t>A/p Khupire, "Sabale Bldg.", Main Road, Khupire Postal/Zip Code: 416205 Taluka: Karveer</t>
  </si>
  <si>
    <t>Block No 1, Near Gandhi Putla, Main Road, MAHAGAON Postal/Zip Code: 441701 Taluka: Arjuni moregaon</t>
  </si>
  <si>
    <t>260/1, behind amar jwellers, sarkhani post office, Sarkhani Postal/Zip Code: 431805 Taluka: Kinvat</t>
  </si>
  <si>
    <t>Kasaba Walave Tal-Radhangari, 1st Floor , Gramschivalay Building , Kasaba Walave, KASABA WALAVE Postal/Zip Code: 416221 Taluka: Radhanagari</t>
  </si>
  <si>
    <t>Dr. Anil Shigwan complex, Ghanekhunt-Lotemal Postal/Zip Code: 415722 Taluka: Khed</t>
  </si>
  <si>
    <t>74C, Samadhan Gr. Floor, Near Tilak Bridge, Senapati Bapat Marg, Mumbai Postal/Zip Code: 400028 Taluka: Mumbai</t>
  </si>
  <si>
    <t>2156, Sahayog Nagar,, Rakshe Building, Talawade Raod, Nigdi Postal/Zip Code: 412114 Taluka: Haveli</t>
  </si>
  <si>
    <t>Main Road, Ashti, Near Post office, Asti, Asti Postal/Zip Code: 431202 Taluka: Partur</t>
  </si>
  <si>
    <t>Prince Palace, Above Bharat kirana Store, Opp Santh Nirankari Hall Near Marathi School Waliv, Waliv Gaon, Vasai (E) Postal/Zip Code: 401208 Taluka: Vasai</t>
  </si>
  <si>
    <t>A/P-Loni-Kalbhor, Loni-Station,Kadamwakwasti, M.I.T. Corner,Pune-Solapur Road,Tal-Haveli,Dist-Pune Postal/Zip Code: 412201 Taluka: Haveli</t>
  </si>
  <si>
    <t>A/P-Shivnahar(Malegaon), Near Dhole Hospital, Malegaon Road, Malegaon Postal/Zip Code: 413115 Taluka: Baramati</t>
  </si>
  <si>
    <t>vishal nagar,pipalgaon yawatmal, vishal nagar,pipalgaon yawatmal, yawatmal, yawatmal Postal/Zip Code: 445001 Taluka: Yavatmal</t>
  </si>
  <si>
    <t>AT POST KALAMBESHWAR, KALAMBESHWAR, MEHKAR, MEHKA Postal/Zip Code: 443301 Taluka: Mehekar</t>
  </si>
  <si>
    <t>nr- maulee hospital , opp. RH nampur, malegaon road, NAMPUR Postal/Zip Code: 423204 Taluka: Baglan</t>
  </si>
  <si>
    <t>Kamgar Kalyan Kendra, , Century Rayon Colony,, Ramlila Maidan, Shahad Postal/Zip Code: 421103 Taluka: Ulhasnagar</t>
  </si>
  <si>
    <t>275, Jain Niwas, Jain Mandir Road, Shiradshahapur Postal/Zip Code: 431705 Taluka: Audha Naganath</t>
  </si>
  <si>
    <t>01, TULSABAI KAWAL JR COLLEGE, AKOLA ROAD, PATUR Postal/Zip Code: 444501 Taluka: Patur</t>
  </si>
  <si>
    <t>101,1ST FL,, AISHA COMPLEX, HARNAI ROAD, OPP. NAGARPANCHAYAT, AT/PO-DAPOLI, DAPOLI Postal/Zip Code: 415712 Taluka: Dapoli</t>
  </si>
  <si>
    <t>M147/49, BANK OF INDIA, ST STAND ROAD AT/POST KOKARUD, KOKARUD Postal/Zip Code: 415405 Taluka: Shirala</t>
  </si>
  <si>
    <t>C/O M. D. Mohite, "Sun Tower", H No 2579, Near Mohite Clinic, Post &amp; Tahasil: Hatakanangale, Dist: Kolhapur Postal/Zip Code: 416109 Taluka: Hatkanangale</t>
  </si>
  <si>
    <t>3rd floar, PMT Building, Nr Gadital, Hadapsar Postal/Zip Code: 411028 Taluka: Haveli</t>
  </si>
  <si>
    <t>Main Road, Main Road, Near Ganesh Jewellers, Atpadi Postal/Zip Code: 415301 Taluka: Aatpadi</t>
  </si>
  <si>
    <t>shop no:3, chandelkar plaza, pushpalata bendale chowk, civil hospital road, Jalgaon Postal/Zip Code: 425001 Taluka: Jalgaon</t>
  </si>
  <si>
    <t>shop no 13, Shantiban appartment, gajanan colony, jalgaon Postal/Zip Code: 425001 Taluka: Jalgaon</t>
  </si>
  <si>
    <t>..., ...., Delegavhan, Delegavhan Postal/Zip Code: 431203 Taluka: Jaffarabad</t>
  </si>
  <si>
    <t>Above Milk Society, Nr. Bus Stop, Sihora, Sihora Postal/Zip Code: 441915 Taluka: Tumsar</t>
  </si>
  <si>
    <t>Tisgaon Road, Saundane, Saundane, Saundane Postal/Zip Code: 423208 Taluka: Malegaon</t>
  </si>
  <si>
    <t>Flat no 102, Ramdoot Complex Opp Z. P. Highschool , Khamgaon, Khamgaon Postal/Zip Code: 444303 Taluka: Khamgaon</t>
  </si>
  <si>
    <t>1 Door, Katakar Building, Tarale, Tarale Postal/Zip Code: 415014 Taluka: Patan</t>
  </si>
  <si>
    <t>City - Bhilawdi Postal/Zip Code: 416303 Taluka: Palus</t>
  </si>
  <si>
    <t>52,m.h.colony,shri swami samarath nagar,behind hotel jatra,adgaon shivar,Panchavati Nashik-3, Mumbai-Agra Road, Nashik city. Postal/Zip Code: 422003 Taluka: Nashik</t>
  </si>
  <si>
    <t>GRAM PANCHAYAT YARD, NEAR HANUMAN TEMPLE WARUD BK Postal/Zip Code: 431206 Taluka: Jaffarabad</t>
  </si>
  <si>
    <t>002, Dynamic World, Bhattipada-Khot Road , Bhandup WESTE Postal/Zip Code: 400078 Taluka: Kurla</t>
  </si>
  <si>
    <t>s.no. 163/2, baner gaothan, baner mahalunge road, pune Postal/Zip Code: 411045 Taluka: Haveli</t>
  </si>
  <si>
    <t>U-89, Nagar Palika Complex, Opp R. V. College, Hirapur Road Postal/Zip Code: 424101 Taluka: Chalisgaon</t>
  </si>
  <si>
    <t>562, Sagwekar Compound, Chiplun Karad Highway, Chiplun Postal/Zip Code: 415604 Taluka: Chiplun</t>
  </si>
  <si>
    <t>Shop No. 8, , Shimgya Manohar Apartment, Thane Belapur Road, Digha Postal/Zip Code: 400704 Taluka: Thane</t>
  </si>
  <si>
    <t>766, Shirsagar Building, Walva Bachani Road, Bidri Postal/Zip Code: 416208 Taluka: Kagal</t>
  </si>
  <si>
    <t>HINDU SAMAJ SANSTHA'S BHAUSAHEB DESHPANDE COLLEGE OF BIOTECHNOLOGY AND BIOINFORMATICS, YOGESHWARI NAGAR, BEHIND BACHAT BHUVAN , COURT ROAD, JALNA Postal/Zip Code: 431213 Taluka: Jalna</t>
  </si>
  <si>
    <t>Malthan-Bhijabal Pales, Tal-Shirur,Dist-Pune Postal/Zip Code: 412210 Taluka: Shirur</t>
  </si>
  <si>
    <t>210/A,2nd Floor, R R Paint Building, Tank Road, Mumbai Postal/Zip Code: 400078 Taluka: Kurla</t>
  </si>
  <si>
    <t>YASHODEEP MANGAL KARYALAYA, MEDHA Postal/Zip Code: 415012 Taluka: Jawali</t>
  </si>
  <si>
    <t>Mahur Tq. Mahur Dist. Nanded Postal/Zip Code: 461721 Taluka: Mahoor</t>
  </si>
  <si>
    <t>Gunai Sadan, Ambajogai Road Postal/Zip Code: 413510 Taluka: Latur</t>
  </si>
  <si>
    <t>9D/5, DHOTE NIWAS, BUS STAND ROAD, BRAMHAPURI Postal/Zip Code: 441206 Taluka: Brahmapuri</t>
  </si>
  <si>
    <t>382/B/9 , E ward , Rajarampuri ,Near Deepa Gas Agency , Katkar colony,Near Kadsiddheshwar Mandir Postal/Zip Code: 416008 Taluka: Kolhapur</t>
  </si>
  <si>
    <t>27, Radkey Layout,, Kokate House, Hingna Road, Hingna Postal/Zip Code: 440016 Taluka: Hingana</t>
  </si>
  <si>
    <t>05, SUDHA-MOHAN BUNGALOW, AIR FORCE CIVILIAN SOCIETY, NEAR MOBILE TOWER, DABHA, NAGPUR - 440023 Postal/Zip Code: 440023 Taluka: Nagpur</t>
  </si>
  <si>
    <t>Gopal Bhavan, Ajanta Colony, P.L.Lokhande Marg, Mumbai Postal/Zip Code: 400089 Taluka: Kurla</t>
  </si>
  <si>
    <t>2078, modern complex, pune satara road lonand, lonand Postal/Zip Code: 415521 Taluka: Khandala</t>
  </si>
  <si>
    <t>Pune-Pandarpur Road, Sub Market Yard, Gala No.10,Barad-415523 T-Palthan,D-Satara, Mr.Sunil Pandurang Kashid A/P- Barad Postal/Zip Code: 415523 Taluka: Phaltan</t>
  </si>
  <si>
    <t>Near Mahadev Mandir , Nanashri Computers, Kalwan Road, Dangsaundane Postal/Zip Code: 423301 Taluka: Baglan</t>
  </si>
  <si>
    <t>Bhoir Niwas,Ground Floor,Behind Patel Sadi Centre,Station road ,Thane West, Thane Postal/Zip Code: 400406 Taluka: Thane</t>
  </si>
  <si>
    <t>1993, TRIVIKRAM KRUPA, DATTA MANDIR ROAD, SHENDURNI Postal/Zip Code: 424204 Taluka: Jamner</t>
  </si>
  <si>
    <t>J-387/388, KAMPTEE COMPUTER CENTRE, OLD BHAJI MANDI ROAD, KAMPTEE Postal/Zip Code: 441002 Taluka: Kamathi</t>
  </si>
  <si>
    <t>1ST FLOOR , 3,GANESH COLONY, OPP. PATIL HOSPITAL,PRATAP NAGAR, NAGPUR-22., ranapratap nagar , PRATAP NAGAR , NAGPUR Postal/Zip Code: 440022 Taluka: Nagpur</t>
  </si>
  <si>
    <t>PLOT NO. 1, ADITI COMPLEX, SANGAM NAGAR, OLD MIDC, SATARA Postal/Zip Code: 415003 Taluka: Satara</t>
  </si>
  <si>
    <t>19/20,1st Floor, Sahakar Building,Kurla (West), Kurla Staion Road, Mumbai Postal/Zip Code: 400070 Taluka: Kurla</t>
  </si>
  <si>
    <t>Near Gram Panchayat, Godhade Building, Takawade, Takawade Postal/Zip Code: 416121 Taluka: Shirol</t>
  </si>
  <si>
    <t>bishop's home, devdan printers, ballarpur p.o, Ballarpur Postal/Zip Code: 442701 Taluka: Ballarpur</t>
  </si>
  <si>
    <t>Shop No. 2,, Vishwambhar Sankul, D.Y. Patil Hospital Road, Kadamwadi Postal/Zip Code: 416003 Taluka: Kolhapur</t>
  </si>
  <si>
    <t>Ghar No-409, Near Shri Swami Samarth Hospital,, Shani Galli, Rajur, Rajur Postal/Zip Code: 422604 Taluka: Akole</t>
  </si>
  <si>
    <t>JALNA ROAD, SHENDRA STOP, SHENDRA, SHENDRA Postal/Zip Code: 431201 Taluka: Aurangabad</t>
  </si>
  <si>
    <t>120, Dhone Builbing, Bazar Road, Georai Postal/Zip Code: 431127 Taluka: Georai</t>
  </si>
  <si>
    <t>Survey No. 183/184, Arun Plaza, Dange Chowk, Thergaon Postal/Zip Code: 411033 Taluka: Haveli</t>
  </si>
  <si>
    <t>Jai Bhawani Chowk, Rahatani - Kalewadi Link Road, Shree Nagar, Rahatani, Pune - 411017, Matri Prem, Rahatani - Kalewadi Link Road, Rahatani Postal/Zip Code: 411017 Taluka: Haveli</t>
  </si>
  <si>
    <t>1, pratihrya nivas , barad, barad Postal/Zip Code: 431745 Taluka: Mudkhed</t>
  </si>
  <si>
    <t>Flat No, 3/4, Shirmewar Nivaw, Hyderabad Road, Pankaj Nagar,, Dhanegaon Postal/Zip Code: 431603 Taluka: Nanded</t>
  </si>
  <si>
    <t>Shop No.03, Deshmukh Niwas, Amrawati Road, Gondkhairi Postal/Zip Code: 440023 Taluka: Kalameshwar</t>
  </si>
  <si>
    <t>19/275, svm colony, kinwat post office, kinwat Postal/Zip Code: 431804 Taluka: Kinvat</t>
  </si>
  <si>
    <t>1st Floor, JAIN KALAR SAMAJ BHAVAN, RESHIMBAGH SQUARE, umrer road, hanuman nagar, Nagpur Postal/Zip Code: 440009 Taluka: Nagpur</t>
  </si>
  <si>
    <t>Gala no. 1, Shriram Complex, Main Road, Shiroli Postal/Zip Code: 416122 Taluka: Hatkanangale</t>
  </si>
  <si>
    <t>22, Amarnagar, Manewada Ring road Postal/Zip Code: 440024 Taluka: Nagpur</t>
  </si>
  <si>
    <t>Jawahar Nagar Road, Nr. Manav Mandir, Petrol Pump (Thana), Petrol Pump(Thana) Postal/Zip Code: 441906 Taluka: Bhandara</t>
  </si>
  <si>
    <t>G - 7/11, N - 6, CIDCO, Samabhaji Colony, Aurangabad Postal/Zip Code: 431003 Taluka: Aurangabad</t>
  </si>
  <si>
    <t>randad nivas, randad nivas, vithal mandir chowk, BEED Postal/Zip Code: 431122 Taluka: Beed</t>
  </si>
  <si>
    <t>C/6, SAWANT ESTATE, BANDERPAKHADI, KANDIVALI (W) Postal/Zip Code: 400067 Taluka: Boriwali</t>
  </si>
  <si>
    <t>Off. no. 50 &amp; 51, Shrinath Plaza, Dnyaneshwar Paduka Chowk, pune Postal/Zip Code: 411004 Taluka: Haveli</t>
  </si>
  <si>
    <t>16 B, Room No. 201, 1st Floor, Jariwala Chawl, T. H. Kataria Road, Mahim-Matunga (W), Mumbai Postal/Zip Code: 400016 Taluka: Mumbai</t>
  </si>
  <si>
    <t>Plot No. 6Sheet 117, Indraprashta Tower,, Umari Road, Akola Postal/Zip Code: 444001 Taluka: Akola</t>
  </si>
  <si>
    <t>Plot No-9,Road No-10,Opp BSNL Office, Near B-10-13, sector-12 New Panvel Postal/Zip Code: 410206 Taluka: Panvel</t>
  </si>
  <si>
    <t>Flat No.7, Shivam Market, Koyna Nagar, Akurdi-Chikhali Road, pune Postal/Zip Code: 411019 Taluka: Haveli</t>
  </si>
  <si>
    <t>Office No-127, Akshay Complex, Dhole Patil Road, pune Postal/Zip Code: 411001 Taluka: Haveli</t>
  </si>
  <si>
    <t>Flat A-9, Second Floor, Parshuram Apartment, college road, nasik Postal/Zip Code: 422005 Taluka: Nashik</t>
  </si>
  <si>
    <t>Behind Old Bus Stand, Panchsheel Ward, Sakoli, Sakoli Postal/Zip Code: 441802 Taluka: Sakoli</t>
  </si>
  <si>
    <t>Behind st stand, Radha Krushn , Nivas,Wakeshwar Road, Vaduj Postal/Zip Code: 415506 Taluka: Khatav</t>
  </si>
  <si>
    <t>AT/POST - DHAVALGAON, SANT DNYANESHWAR VIDYALAYA. Postal/Zip Code: 413702 Taluka: Shrigonda</t>
  </si>
  <si>
    <t>Plot No. 30, Shri Krushna Nagar, Mahajan Wadi, Wanadongari, Mahajan Wadi Postal/Zip Code: 441110 Taluka: Hingana</t>
  </si>
  <si>
    <t>Plot no 1, Gandhi Chowk Rajaji Ward, Ramtek Post Office, RAMTEK Postal/Zip Code: 441106 Taluka: Ramtek</t>
  </si>
  <si>
    <t>Postal/Zip Code: 400602 Taluka: Thane</t>
  </si>
  <si>
    <t>Plot No 26,Survey No :113/1+2,Near Lal jain Mandir,Behind Palkhi Hotel,Varangaon Road,At Post - Kandari,Bhusawal Postal/Zip Code: 425201 Taluka: Bhusawal</t>
  </si>
  <si>
    <t>Sr. no.24, The Pandhare Educational Research Trust,Nanded, Cidco,Nanded, Vasarni,Nanded Postal/Zip Code: 431603 Taluka: Nanded</t>
  </si>
  <si>
    <t>Shop No 48, Nagar palika complex, hirapur road, Chalisgaon Postal/Zip Code: 424101 Taluka: Chalisgaon</t>
  </si>
  <si>
    <t>GOTHANPURA , NEAR GRAMVIKAS VIDYALAY, PIMPALGAON-SOEGAON ROAD, PIMPALGAON Postal/Zip Code: 424203 Taluka: Pachora</t>
  </si>
  <si>
    <t>Shop no 115, Kesar Residency, 90 ft Road, Sector no.3, Charkop, Kandiwali Postal/Zip Code: 400067 Taluka: Borivali</t>
  </si>
  <si>
    <t>SHOP NO.11,PLOT NO.106 &amp; 112, SHREE COMPLEX, SEC-14, KAMOTHE Postal/Zip Code: 410209 Taluka: Panvel</t>
  </si>
  <si>
    <t>352-1, NEAR MASJID, WARD NO. 3, DEORI Postal/Zip Code: 441901 Taluka: Devara</t>
  </si>
  <si>
    <t>Plot No-105, Vinod Nagar., Ram-Rashmi Premises, W.B. Road Deopur Post, Walwadi Postal/Zip Code: 424002 Taluka: Dhule</t>
  </si>
  <si>
    <t>15, KISHAN TATYA SHOPING CENTER, MAIN ROAD, MAIN ROAD, DHOKI Postal/Zip Code: 413508 Taluka: Osmanabad</t>
  </si>
  <si>
    <t>123, L.H.PATIL ENGLISH MEDIUM SCHOOL, PACHORA ROAD, WAWADADA,JALGAON Postal/Zip Code: 425001 Taluka: Jalgaon</t>
  </si>
  <si>
    <t>RISALA BAZAR, DEV PALACE BUILDING, ADARSH COLLEGE ROAD,AKOLA ROAD, Postal/Zip Code: 431513 Taluka: Hingoli</t>
  </si>
  <si>
    <t>Angel High School,Pl No. 18 &amp; 19,Kadam Wak Wasti, Pune - Sholapur Rd. Loni Kalbhor Postal/Zip Code: 412201 Taluka: Haveli</t>
  </si>
  <si>
    <t>Institute Of Information Technology, Shri Mhasoba Shikshan Prasark Mandal, Nimagaon Mhalungi Postal/Zip Code: 412209 Taluka: Shirur</t>
  </si>
  <si>
    <t>LANE NO 4 BEHIND RAJKAMAL TAKIES OPP TOP POINT TAILERS, SANSKAR COMPUTERS, LANE NO 4, DHULE Postal/Zip Code: 424001 Taluka: Dhule</t>
  </si>
  <si>
    <t>SADGURU ASHRAM SHALA NEAR RURAL HOSPITAL , SADGURU ASHRAM SCHOOL ISLAMPUR, ISLAMPUR, ISLAMPUR Postal/Zip Code: 415409 Taluka: Walva</t>
  </si>
  <si>
    <t>Infornt of Sahid Mirda High School, Tirora, Tirora Postal/Zip Code: 441911 Taluka: Tirora</t>
  </si>
  <si>
    <t>FF-1,2, Balaji Sankul, Jambhrun Road, buldhana Postal/Zip Code: 443001 Taluka: Buldhana</t>
  </si>
  <si>
    <t>70/0(71/3), Vikhare Gothane, Jaitapur Road, Hatiwale, Tal-Rajapur Postal/Zip Code: 416702 Taluka: Rajapur</t>
  </si>
  <si>
    <t>H.N.145, FIRST FLOOR, Behind Datta Mandir, AT. GOVELI, Po. Rayate, Pin. 421301, Tahsil: Kalyan, District. Thane Postal/Zip Code: 421301 Taluka: Kalyan</t>
  </si>
  <si>
    <t>Shop No. 9, Sawant Vihar, Phase - 2, Katraj, Pune Postal/Zip Code: 411046 Taluka: Pune City</t>
  </si>
  <si>
    <t>C/o Sanjay Madankar, Hanuman Nagar, Opp., Govt. ITI, Mouda Postal/Zip Code: 441104 Taluka: Mauda</t>
  </si>
  <si>
    <t>01, Yash Computers, Main Road, Postal/Zip Code: 444102 Taluka: Akola</t>
  </si>
  <si>
    <t>AROGYA SOCIETY, KHANAPUR PHATA, BACK SIDE OF SANT TUIKARM COLLEGE, SAGAR BALKASHRAM, KHANAPUR PHATA, PARBHANI Postal/Zip Code: 431401 Taluka: Parbhani</t>
  </si>
  <si>
    <t>GURUDEV COMPLEX, NEAR BUS STAND, PARANDA ROAD, ANALA Postal/Zip Code: 413505 Taluka: Paranda</t>
  </si>
  <si>
    <t>303,3rd Floor,, Ostwal Shopping Centre,Above ICICI ATM,, Jesal Park Road,, Bhayander (E) Postal/Zip Code: 401105 Taluka: Thane</t>
  </si>
  <si>
    <t>SHAILESH COLONY NEAR SBI MAIN ROAD, HIWARKHED Postal/Zip Code: 444103 Taluka: Akot</t>
  </si>
  <si>
    <t>At Post Akoli (Khurd), C/O Mr Suresh Kalore, Main Road Akoli ( Kurd), Akoli Postal/Zip Code: 444002 Taluka: Akola</t>
  </si>
  <si>
    <t>A Wing, Gadkari Apartment, Shivaji Chowk, Devrukh Postal/Zip Code: 415804 Taluka: Sangameshwar</t>
  </si>
  <si>
    <t>Shop 14, Bhakti Complex, Kharalwadi, Pimpri Postal/Zip Code: 411018 Taluka: Haveli</t>
  </si>
  <si>
    <t>1, STUDY FORUM HALL, CHANDRAJEEVAN COMPLEX,, TOWER CHOWK, AKOLA Postal/Zip Code: 444001 Taluka: Akola</t>
  </si>
  <si>
    <t>Plot No.4, Raje Sambhaj Colony, Near New Maitee Coaching Classes, Saraswati Sadan, Jalgaon Road, Aurangabad Postal/Zip Code: 431007 Taluka: Aurangabad</t>
  </si>
  <si>
    <t>128 RAMESHWARI NAGAR NAGPUR-440027 PH.NO.2752585 Postal/Zip Code: 440027 Taluka: Nagpur</t>
  </si>
  <si>
    <t>DAHISATH CHOWK ABAGATE ROAD, INGOLE APPARTMENT, ABAGATE ROAD, Amravati Postal/Zip Code: 444601 Taluka: Amravati</t>
  </si>
  <si>
    <t>B.No. 1, Vishram Nagar, Hotgi Road, Solapur, Swami, Hotgi Road, Solapur Postal/Zip Code: 413003 Taluka: Solapur(s)</t>
  </si>
  <si>
    <t>C/O SANJAY PAWAR VIVEKANAND NAGAR KINWAT, SHASHAI, MANDVA ROAD, KINWAT Postal/Zip Code: 431804 Taluka: Kinvat</t>
  </si>
  <si>
    <t>Plot no 184, Shop No 124, "Tiara Shopping Complex, Sector 13, Kharghar Postal/Zip Code: 410210 Taluka: Panvel</t>
  </si>
  <si>
    <t>TRIMURTI NAGAR,NR.PARWATI MANGAL KARYALAYA,PARBHANI Postal/Zip Code: 431401 Taluka: Parbhani</t>
  </si>
  <si>
    <t>67, BHAGABAINIVAS, NEAR, ST STAND, MALPUR Postal/Zip Code: 425408 Taluka: Sindkhed</t>
  </si>
  <si>
    <t>Unit no .1 1st floor , Dherange Complex, Pabal Road, Shikrapur Postal/Zip Code: 412208 Taluka: Shirur</t>
  </si>
  <si>
    <t>hundekari building,mahavir nagar pandharpur.dist-solapur Postal/Zip Code: 413304 Taluka: Pandharpur</t>
  </si>
  <si>
    <t>AT PO VIVEKANAND NAGAR, AT PO VIVEKANAND NAGAR, Viveknand Nagar, Viveknand Nagar Postal/Zip Code: 443301 Taluka: Mehekar</t>
  </si>
  <si>
    <t>Shop No. 1 Gr. Flr, Mayur Bldg.,, 377, Vithalbhai Patel Road, Girgaum Postal/Zip Code: 400004 Taluka: Mumbai</t>
  </si>
  <si>
    <t>Near Ratnadeep Housing society, Behind Vikas Nagar, Civil Lines, Solapur, NAB sankul, Medical college post office, Solapur Postal/Zip Code: 413003 Taluka: Solapur(n)</t>
  </si>
  <si>
    <t>002, First Floor, Gaurav Complex, Vaibavwadi, Vaibhavwadi Postal/Zip Code: 416810 Taluka: Vaibhavawadi</t>
  </si>
  <si>
    <t>NIVRUTTI COMPLEX, NEAR POONA SWEET, OPP. POLICE STATION, MAIN CHOWK, MARUNJI ROAD, HINJEWADI Postal/Zip Code: 411057 Taluka: Mulshi</t>
  </si>
  <si>
    <t>SAMBHAJI CHOWK, MOTI NAGAR, YARD ROAD Postal/Zip Code: 413512 Taluka: Latur</t>
  </si>
  <si>
    <t>At. Mukhatai Nagar Kandhar. Tq. Kandhar Dist. Nanded., Om Nivas kandhar, Tq. Kandhar Dist. Nanded, Kandhar, kandhar Postal/Zip Code: 431714 Taluka: Kandhar</t>
  </si>
  <si>
    <t>At Post Gategaon Postal/Zip Code: 413531 Taluka: Latur</t>
  </si>
  <si>
    <t>At Po Maregaon, At Po Maregaon, At Po Maregaon, At Po Maregaon Postal/Zip Code: 445303 Taluka: Moregaon</t>
  </si>
  <si>
    <t>At Po Shirajgaon Kasaba, At Po Shirajgaon Kasaba, At Po Shirajgaon Kasaba, At Po Shirajgaon Kasaba Postal/Zip Code: 444810 Taluka: Chandur bazar</t>
  </si>
  <si>
    <t>101, Biramane Building, Hatgeghar (karahr), Karahar Postal/Zip Code: 415514 Taluka: Jawali</t>
  </si>
  <si>
    <t>Subhash Colony, Plot no. 54 Shirpur 425405 Dist- Dhule (MS), Ashirwad, Subhash Colony, Shirpur Postal/Zip Code: 425405 Taluka: Shirpur</t>
  </si>
  <si>
    <t>BLOCK NO 5 , METRO PLAZA BUILDING , GOREWADA ROAD , NAGPUR Postal/Zip Code: 440013 Taluka: Nagpur</t>
  </si>
  <si>
    <t>Near Sonhira Milk Dairy, Karad - Vita Road, Vidyanagar, Kadegaon Postal/Zip Code: 415304 Taluka: Kadegaon</t>
  </si>
  <si>
    <t>At.Post-Dhawalpuri, Tal-Parner, Dist-Ahmednagar, Pin code No.414103, SDCID, Dhawalpuri, Dhawalpuri Postal/Zip Code: 414103 Taluka: Parner</t>
  </si>
  <si>
    <t>Shop No3, Ranjanpada Bus Stop, Ranjanpada, Post - Awas, Postal/Zip Code: 402201 Taluka: Alibag</t>
  </si>
  <si>
    <t>BANDHIVALI VIDYA MANDIR TRUST, P.P.DIAS COMPOUND, NATWAR NAGAR ROAD NO 5, JOGESHWARI (E) Postal/Zip Code: 400060 Taluka: Andheri</t>
  </si>
  <si>
    <t>Shop No.10, 1st Floor, Above Aishwarya General Store, Near Bus Stand, Varvand, Tal-Daund, Dist-Pune Postal/Zip Code: 412215 Taluka: Daund</t>
  </si>
  <si>
    <t>Plot no. 68, N4, A-Sector, , Sai Bal Bhavan and Shree Mata Nirmaladevi Nritya Zankar Accadamy, Cidco N4 road, Aurangabad Postal/Zip Code: 431003 Taluka: Aurangabad</t>
  </si>
  <si>
    <t>Flat no.1, , Lawates Building, Above Bank of Baroda, M. G. Road, PEN Postal/Zip Code: 402107 Taluka: Pen</t>
  </si>
  <si>
    <t>KIrkatwadiphata, Salunke Building, Sinhgad Road, Kirkatwadi/kolhewadi Junction Postal/Zip Code: 411024 Taluka: Haveli</t>
  </si>
  <si>
    <t>300/2, Udyog Bhawan, Behind TATA Petrol Pump, SANGLI Postal/Zip Code: 416416 Taluka: Miraj</t>
  </si>
  <si>
    <t>NEAR BHUSHAN MANGAL KARYALAYA, "SANGHARSH", CHALISGAON, CHALISGAON Postal/Zip Code: 424101 Taluka: Chalisgaon</t>
  </si>
  <si>
    <t>S.NO 33/6/1/4, , Maruti-Sadan , Katraj, Pune Postal/Zip Code: 411046 Taluka: Ambegaon</t>
  </si>
  <si>
    <t>C / O New Grace English School, Sr.No 46 , Lane 02 , Mithanagar , KondwaKhurd , Pune. Postal/Zip Code: 411048 Taluka: Haveli</t>
  </si>
  <si>
    <t>Shree Siddhivinayak Apartment,, Shop No.18,, Kalwa (E), Bholainagar Postal/Zip Code: 400605 Taluka: Thane</t>
  </si>
  <si>
    <t>NEAR S.T.STAND CHAPHAL, A/P-CHAPHAL, -, -, CHAPHAL Postal/Zip Code: 415520 Taluka: Patan</t>
  </si>
  <si>
    <t>880, DHANASHREE, MAIN ROAD, JAMOD Postal/Zip Code: 443402 Taluka: Jalagaon</t>
  </si>
  <si>
    <t>29, b.d.d. chawl , Ganpat Jadhav Marg, Mumbai Postal/Zip Code: 400018 Taluka: Mumbai</t>
  </si>
  <si>
    <t>Creative Institute Of Information Technology, Opposite Undre School, Diveagar Road, Postal/Zip Code: 402403 Taluka: Shrivardhan</t>
  </si>
  <si>
    <t>Block 13 Sharda Sankul Building Rahata, Rayat Shikshan Sanstha, Rahata, Rahata Postal/Zip Code: 423107 Taluka: Rahata</t>
  </si>
  <si>
    <t>A/p Dhaval Phaltan-Pusegaon Road Dhaval Tal Phaltan District Satara, Dhaval Pati, Phaltan-Pusegaon road, Dhaval Postal/Zip Code: 415523 Taluka: Phaltan</t>
  </si>
  <si>
    <t>Shani Mandir Deolali pravara, Nagar palika munciplal concile , shani mandir, deolali pravara Postal/Zip Code: 413716 Taluka: Rahuri</t>
  </si>
  <si>
    <t>WARD NO 4 BLOCK NO 49, RAGHURUKMNINI BUILDING, JAMNER ROAD, KURHA (P.N.) Postal/Zip Code: 425311 Taluka: Bhusawal</t>
  </si>
  <si>
    <t>KALE HOUSE , JAGTAP WADA, PARGAON, Postal/Zip Code: 413702 Taluka: Shrigonda</t>
  </si>
  <si>
    <t>At Po Kholapur, , At Po Kholapur,, At Po Kholapur,, At Po Kholapur, Postal/Zip Code: 444802 Taluka: Bhatkuli</t>
  </si>
  <si>
    <t>17/523, Gunwant building, Akot Fail, Akot Road, Akola , AKOLA Postal/Zip Code: 444005 Taluka: Akola</t>
  </si>
  <si>
    <t>Gurudwara Chowk , Near Shiv Nagri Patasanstha, Gurudwara Road, Walhekar wadi Postal/Zip Code: 411033 Taluka: Haveli</t>
  </si>
  <si>
    <t>PLOT NO. 30, SHREEKRISHNA NAGAR, NEAR CHANDAK HOSPITAL, PLOT NO. 30, SHREEKRISHNA NAGAR, NEAR CHANDAK HOSPITAL, WARORA, WARORA Postal/Zip Code: 442907 Taluka: Warora</t>
  </si>
  <si>
    <t>Shankutala Enclu Nr. Bank of Baroda Shop no. 1 to9, Lodha Heaven Nilje Postal/Zip Code: 421201 Taluka: Thane</t>
  </si>
  <si>
    <t>Gayabai Borade Complex, Front of Mantha Urban Bank, Market yard, Mantha. Postal/Zip Code: 431504 Taluka: Mantha</t>
  </si>
  <si>
    <t>R.A. College Road, Washim Postal/Zip Code: 444505 Taluka: Washim</t>
  </si>
  <si>
    <t>717, Lahari Kunj, Ganesh Ward, SADAKARJUNI Postal/Zip Code: 441807 Taluka: Sadak arjuni</t>
  </si>
  <si>
    <t>17-Janpath, Opp.New Tahsil Bulding, Jamner Road, Bodwad Postal/Zip Code: 425310 Taluka: Bodwad</t>
  </si>
  <si>
    <t>251,w.no16 , Pundlick Nagar,, Gajanan Nagar, Chikhali, Chikhali Postal/Zip Code: 443201 Taluka: Chikhali</t>
  </si>
  <si>
    <t>Shop No. 12, UNIQUE APARTMENT, P.P MARG, VIRAR Postal/Zip Code: 401303 Taluka: Vasai</t>
  </si>
  <si>
    <t>Sai Plaza Bldg., New Akole by pass, Gunjalwadi Rd, Sangamner, Dist.-A'nagar, Sai Plaza Building, Gunjalwadi, Gunjalwadi Postal/Zip Code: 422605 Taluka: Sangamner</t>
  </si>
  <si>
    <t>SHOP NO. 8, Arihant Tower, Bazarpeth Road, KHOPOLI Postal/Zip Code: 410206 Taluka: Khalapur</t>
  </si>
  <si>
    <t>35, Shadab Baugh, Bhosa Road, Yavatmal Postal/Zip Code: 445001 Taluka: Yavatmal</t>
  </si>
  <si>
    <t>1895/69,OPPOSITE TO B.S.N.L. OFFICE, REPALA ROAD, JAFRABAD Postal/Zip Code: 431206 Taluka: Jaffarabad</t>
  </si>
  <si>
    <t>a/p walekhindi, tal jath, dist sangli, kashid computer, walekhindi, walekhindi Postal/Zip Code: 416404 Taluka: Jat</t>
  </si>
  <si>
    <t>Nevesa Road Shri ram Pur, Ram Chandra Tower, Shriram Pue, Shrirampur Postal/Zip Code: 413709 Taluka: Srirampur</t>
  </si>
  <si>
    <t>Yogeshwar Plaza, Bus-stand Road Umri Tq. Umri Dist. Nanded Postal/Zip Code: 431807 Taluka: Umree</t>
  </si>
  <si>
    <t>132, Anant Smruti, Rampur, Rampur Postal/Zip Code: 415701 Taluka: Chiplun</t>
  </si>
  <si>
    <t>MHASOBA CHOWCK-NEAR MHASOBA MANDIR DATTAWADI, PUNE Postal/Zip Code: 411030 Taluka: Pune City</t>
  </si>
  <si>
    <t>Near Samarth Petrol Pamp,Pachora Road, Bhadgaon Postal/Zip Code: 424105 Taluka: Bhadgaon</t>
  </si>
  <si>
    <t>Badhe Complex, Near Bus Stand, Steshan Road Varangaon Postal/Zip Code: 425305 Taluka: Bhusawal</t>
  </si>
  <si>
    <t>Main road ukhli (b) Tq. sonpeth Postal/Zip Code: 431516 Taluka: Sonpeth</t>
  </si>
  <si>
    <t>SHOP NO.2,3, BEHIND BSNL OFFICE, MORYA COLONY ROAD, DHARANGAON Postal/Zip Code: 425105 Taluka: Dharangaon</t>
  </si>
  <si>
    <t>2nd Floor, Chaphekar Seva Kendra, Vangaon Naka, Chinchani Postal/Zip Code: 401503 Taluka: Dahanu</t>
  </si>
  <si>
    <t>DHANRAJ COMPLEX, JAWAHARLAL NEHRU CHOWK, GALA NO. 1 &amp; 2, MAIN ROAD, AT - POST &amp; TALUKA - JAWHAR, DIST - THANE, DHANRAJ COMPLEX, JAWHAR, JAWHAR Postal/Zip Code: 401603 Taluka: Jawhar</t>
  </si>
  <si>
    <t>13, vikas appartment shop no 13 ,raikar park, SWAMI VIVEKANAND ROAD, ROHA-RAIGAD Postal/Zip Code: 402109 Taluka: Roha</t>
  </si>
  <si>
    <t>Vivekanandpur, Nr. Gram Panchayat, Alapalli Road, Mulchera Postal/Zip Code: 442707 Taluka: Mulchera</t>
  </si>
  <si>
    <t>Near Bus Stop Savlaj, Savlja Tal-Tasgaon Dist-Sangli Postal/Zip Code: 416311 Taluka: Tasgaon</t>
  </si>
  <si>
    <t>1st Floor, Mr. Arvind Masal, Bazar Road, MURUD Postal/Zip Code: 402401 Taluka: Murud</t>
  </si>
  <si>
    <t>gulzar mohella near police station, chishtiya college of arts, khuldabad, khuldabad Postal/Zip Code: 431101 Taluka: Khulatabad</t>
  </si>
  <si>
    <t>Shir Swami Samartha ERA Compuers , Karalewadi, Rahuri Factory, ERA Computers, Rahuri factory, Rahuri Factory Postal/Zip Code: 413706 Taluka: Rahuri</t>
  </si>
  <si>
    <t>Guru Nagar, Near Shinde College, C/o Dr. Keswani, Market Road, BHADRAWATI, BHADRAWATI Postal/Zip Code: 442406 Taluka: Bhadrawati</t>
  </si>
  <si>
    <t>Deshmukh Madhi, Shriram Typing, Main Road, Erandol Postal/Zip Code: 425109 Taluka: Erandol</t>
  </si>
  <si>
    <t>3, R. R. Shukla Compound, Carter Road No. 3, Borivali East Postal/Zip Code: 400066 Taluka: Boriwali</t>
  </si>
  <si>
    <t>A.Rab.Manjil, Sarvoday Chowk, Wani Postal/Zip Code: 445304 Taluka: Vani</t>
  </si>
  <si>
    <t>At-Post Budh, Bazhar peth,pin-415503. Postal/Zip Code: 415503 Taluka: Khatav</t>
  </si>
  <si>
    <t>In front vasantrao naike jr.collage , c/o asutkar building, Thasil Road , Korpana Postal/Zip Code: 442916 Taluka: Korpana</t>
  </si>
  <si>
    <t>Near BusStop, Sharmas House, L&amp;T Road , GADCHANDUR Postal/Zip Code: 442908 Taluka: Korpana</t>
  </si>
  <si>
    <t>AT.PO.RAHERI (B) TQ.SINDKHED RJA, AT.PO.RAHERI (B) TQ.SINDKHED RJA, RAHERI (B), RAHERI Postal/Zip Code: 443308 Taluka: Sindakhed raja</t>
  </si>
  <si>
    <t>ANANAD NAGAR AKOLA BY PASS HINGOLI Postal/Zip Code: 431513 Taluka: Hingoli</t>
  </si>
  <si>
    <t>Behind Roshan Gate, Behind Roshan Gate, Aurangabad, Aurangabad Postal/Zip Code: 431001 Taluka: Aurangabad</t>
  </si>
  <si>
    <t>150, Sawarbandhe Lay out, Hudkeshwar Road,, Ayodhya Nagar Post Office, Nagpur Rural Postal/Zip Code: 440034 Taluka: Nagpur Rural</t>
  </si>
  <si>
    <t>Dadapatil Rajale Arts And Science College Adinathnagar, DPRC, Ahmednagar raod, Adinathnagar Postal/Zip Code: 414505 Taluka: Pathardi</t>
  </si>
  <si>
    <t>AT POST JANEPHAL TQ MEHKAR, HOLI CHOWK, KAMGAON ROAD, JANEPHALE Postal/Zip Code: 443304 Taluka: Mehekar</t>
  </si>
  <si>
    <t>MAIN ROAD CHAS(NALI), JAGDMBA PATSANSTHA, CHAS(NALI), CHAS(NALI) Postal/Zip Code: 423604 Taluka: Kopargaon</t>
  </si>
  <si>
    <t>In front of Girls College, Main Road, Dasgaon (Buz) , Dasgaon (Buz) Postal/Zip Code: 441614 Taluka: Gondiya</t>
  </si>
  <si>
    <t>MARUTI MANDIR - SHIVAJI HIGHSCHOOL ROAD, SAINIK TAKALI Postal/Zip Code: 416108 Taluka: Shirol</t>
  </si>
  <si>
    <t>6/A-3, Bhanudas Nivas, North shivajinagar sangli, sangli Postal/Zip Code: 416416 Taluka: Miraj</t>
  </si>
  <si>
    <t>Chhaya Devinagar, Varangaon road,Sakari Fata Postal/Zip Code: 425201 Taluka: Bhusawal</t>
  </si>
  <si>
    <t>210, sunandha Appartment, kasal, kasal Postal/Zip Code: 416603 Taluka: Kudal</t>
  </si>
  <si>
    <t>In Front Modi Nagar,Near Gajanan Typing ,Shegaon Postal/Zip Code: 444203 Taluka: Shegaon</t>
  </si>
  <si>
    <t>25/1, Swami Samarth Math, Ambegaon Pathar, Dhankawadi. Postal/Zip Code: 411046 Taluka: Haveli</t>
  </si>
  <si>
    <t>a/p- nimgaonsawa, tal- junnar, dist- pune, pin- 410504, Gramvaibhav, Nimgaon Sawa, Nimgaon Sawa Postal/Zip Code: 410504 Taluka: Junnar</t>
  </si>
  <si>
    <t>ANUDATT VIDYALAYA &amp; JR COLLEGE , AKURLI ROAD, MHADA COLANY Postal/Zip Code: 400101 Taluka: Boriwali</t>
  </si>
  <si>
    <t>RAMA BUILDING NEAR SHIVANUBHAV MANTAP MARKET YARD ROAD JATH TAL JATH DIST SAGNLI Postal/Zip Code: 416404 Taluka: Jat</t>
  </si>
  <si>
    <t>1,, Indian Institute of Fire &amp; Safety Engineering, Opp. New Bus Stand, Pinjar Ghare Bhawan,, Tiroda Post Office, Tiroda Postal/Zip Code: 441911 Taluka: Tirora</t>
  </si>
  <si>
    <t>AT+POST JIWATI TAH-JIWATI, GONDWANA MAHAVIDYLYA, JIWATI, JIWATI Postal/Zip Code: 442908 Taluka: Jiwati</t>
  </si>
  <si>
    <t>Near ST Stand, Micro Computer, Baramati Nira Road, Wadgaon Nimbalkar Postal/Zip Code: 412103 Taluka: Baramati</t>
  </si>
  <si>
    <t>Plt no 212-C, Malgaonkar Building, Malgaon Road, SubhashnagarMalgaon Postal/Zip Code: 416410 Taluka: Miraj</t>
  </si>
  <si>
    <t>House No 209, Kolvankar Building, Main Road, Malkapur Postal/Zip Code: 415101 Taluka: Shahuwadi</t>
  </si>
  <si>
    <t>5/A, Rajiv Vidyalaya, Zari Postal/Zip Code: 445305 Taluka: Zari jamadi</t>
  </si>
  <si>
    <t>Shop No.10, Mahatma Fule Market, Mahatma Fule Road, Jalna Postal/Zip Code: 431203 Taluka: Jalna</t>
  </si>
  <si>
    <t>A/p Koliwadi, Near S.t Stand, Karad-Dhebewadii Road, Tal. Karad, Dist. Satara. Pin - 415103 Postal/Zip Code: 415103 Taluka: Karad</t>
  </si>
  <si>
    <t>H NO 222, C /O V D ASHTIKAR, VIDYANAGAR, SELU Postal/Zip Code: 431503 Taluka: Selu</t>
  </si>
  <si>
    <t>Near Javahar Lal Neharu, College, Near Vita Urban Bank, College Road, Zare Postal/Zip Code: 415301 Taluka: Aatpadi</t>
  </si>
  <si>
    <t>Plot No.17,, Choughule hights,, near Canol Peth Road,, Panchvati Postal/Zip Code: 422003 Taluka: Nashik</t>
  </si>
  <si>
    <t>Navin Sonkhas Baypas Road MAngrupir Near Shrikrushna MAndir , Nishigandha, Mangrulpir, Mangrulpir Postal/Zip Code: 444403 Taluka: Mangrulpir</t>
  </si>
  <si>
    <t>GROUND FLOOR, PANCHAYAT BUILDING, MARKAL, MARKAL Postal/Zip Code: 412105 Taluka: Khed</t>
  </si>
  <si>
    <t>FAD COMPLEX, IN FRONT OF BANK OF MAHARASHTRA, MAIN ROAD Postal/Zip Code: 413515 Taluka: Ahmadpur</t>
  </si>
  <si>
    <t>"Trimurti Complex",Khutbav, Main Chouk, Tal Dound, Dist Pune. Postal/Zip Code: 412203 Taluka: Daund</t>
  </si>
  <si>
    <t>shopno 17,18, nutan maratha complex, jalgaon, jalgaon Postal/Zip Code: 425001 Taluka: Jalgaon</t>
  </si>
  <si>
    <t>ichalkaranji-sangali main road,khotwadi, no name , tardal , KHOTWADI Postal/Zip Code: 416121 Taluka: Hatkanangale</t>
  </si>
  <si>
    <t>184 ward no 5, Near Bhavani mandir, Mukramabad,Tq.mukhed Dist.Nanded Postal/Zip Code: 431719 Taluka: Mukhed</t>
  </si>
  <si>
    <t>A/P- YESGAON BK., SHREE, YESGAON BK, YESGAON BK. Postal/Zip Code: 423203 Taluka: Malegaon</t>
  </si>
  <si>
    <t>chincholi limbaji kannad, chincholi, chincholi, chincholi Postal/Zip Code: 431103 Taluka: Kannad</t>
  </si>
  <si>
    <t>Sr.No 9 First Floor, Nikku Plaza, Opp CHM collage, Ulhasnagar Postal/Zip Code: 421003 Taluka: Ulhasnagar</t>
  </si>
  <si>
    <t>Shop No. A-12, , Cantonment Shopping Complex, Opp. Nehru Mangal Karyalay, Main Bazar, DehuRoad Postal/Zip Code: 412101 Taluka: Haveli</t>
  </si>
  <si>
    <t>kaushalya Complex, ,Near Gajajnan vidya mandir,Main Road ,Ranjangaon(S.P.), Kaushyalya Complex, Main Road Ranjangaon (S.P), Ranjangaon(S.P) Postal/Zip Code: 431136 Taluka: Gangapur</t>
  </si>
  <si>
    <t>Bazar Chouk , Harinkhede Bhawan, Police Station Road, Amgaonkhurd Postal/Zip Code: 441916 Taluka: Salekasa</t>
  </si>
  <si>
    <t>Ward No.2, Near ADCC Bank, Gandhi Chouk, Belkhed Postal/Zip Code: 444108 Taluka: Telhara</t>
  </si>
  <si>
    <t>Shop No. 1, BHARAT-SHIV POOJA APT, OPP BHATIA AUTO STAND, ULHASNAGAR-5 Postal/Zip Code: 421005 Taluka: Ulhasnagar</t>
  </si>
  <si>
    <t>Krishna Prestige Sr.No.8/1,Deshmukh Wadi Shivane.Pune.411052 Postal/Zip Code: 411023 Taluka: Haveli</t>
  </si>
  <si>
    <t>Main Road , jewali, Tq. Lohara Dist. Osmanabad Postal/Zip Code: 413608 Taluka: Lohara</t>
  </si>
  <si>
    <t>48/8, Sudhir Kale, B/o Kanya Vidyalaya, Asegaon Purna Postal/Zip Code: 444827 Taluka: Chandur bazar</t>
  </si>
  <si>
    <t>Pawas Bazarpeth,Pawas,Ratnagiri., Zulekha Dawood Kazi High School, Pawas, Ratnagiri Postal/Zip Code: 415616 Taluka: Ratnagiri</t>
  </si>
  <si>
    <t>127, Bhikamchand Jain Nagar,Jalgaon Postal/Zip Code: 425001 Taluka: Jalgaon</t>
  </si>
  <si>
    <t>House No64-65, Manu Krupa, Manvel Pada Rd, Virar Postal/Zip Code: 401305 Taluka: Vasai</t>
  </si>
  <si>
    <t>A1 , Ramalay Aparment, Ring Road, Phaltan Postal/Zip Code: 415523 Taluka: Phaltan</t>
  </si>
  <si>
    <t>shihu phata market, poynad-nagothane road, shihu Postal/Zip Code: 402107 Taluka: Pen</t>
  </si>
  <si>
    <t>Creative Computers "Jain Plaza", Near Gopal Cinema, Beside Ambika Arban Bank New Building,Khandala Road, Chikhli Postal/Zip Code: 443201 Taluka: Chikhali</t>
  </si>
  <si>
    <t>At Post Kapadana, near Busstand Kamgar Nagar, kapadana Postal/Zip Code: 424307 Taluka: Dhule</t>
  </si>
  <si>
    <t>1st Floor , Potdar Building, Solapur Road, Railway Station Tadwal Postal/Zip Code: 413219 Taluka: Akkalkot</t>
  </si>
  <si>
    <t>House No.168 , Near Bhoi lane, Main Road , Taloda Tal.Taloda Postal/Zip Code: 425413 Taluka: Taloda</t>
  </si>
  <si>
    <t>flat no 20, Bhakti Complex, Pimpri Chowk, Pimpri Postal/Zip Code: 411018 Taluka: Pune City</t>
  </si>
  <si>
    <t>1, Old Jain Pipe Road, Old Jain Pipe Road, Jalgaon Postal/Zip Code: 425001 Taluka: Jalgaon</t>
  </si>
  <si>
    <t>plot no 25 , patripool d.ed college, kachore gaon road , kalyan (e) Postal/Zip Code: 421306 Taluka: Kalyan</t>
  </si>
  <si>
    <t>Near Mahad Co.Op.Bank At &amp; Post Mohopada,Tal.Khalapur,Dist:Raigad Postal/Zip Code: 410206 Taluka: Khalapur</t>
  </si>
  <si>
    <t>Near New Bus Stand, Shaheed Smarak Chowk, Deola-Malegaon Road, Umrana Postal/Zip Code: 423110 Taluka: Deola</t>
  </si>
  <si>
    <t>Swami Vivekanand Shikshan Sanstha, Nagala park, Nagala Park, Kolhapur Postal/Zip Code: 416003 Taluka: Karveer</t>
  </si>
  <si>
    <t>DADA JOSHI BUILDING, IN FRONT OF MAHARSHI PATASANSTHA, JIJAMATA CHOWK Postal/Zip Code: 413709 Taluka: Srirampur</t>
  </si>
  <si>
    <t>Divya Sadan Social Center, Wadali Camp, Wadali Camp, Amravati Postal/Zip Code: 444602 Taluka: Amravati</t>
  </si>
  <si>
    <t>Shop 1, House No. 592,, Sadashanti Sadan, Sector - 19, Belapur Postal/Zip Code: 400614 Taluka: Thane</t>
  </si>
  <si>
    <t>S.No.14/A4 &amp; 15 Koregoan Park Lane - G, Auxilium Welfare Centre, Lane -G, Koregaon Park Postal/Zip Code: 411001 Taluka: Pune City</t>
  </si>
  <si>
    <t>AT BHOPALWADI POST KALAMBAR(BK), PANDURANG NIWAS, KANDHAR ROAD, KALAMBAR(BK) Postal/Zip Code: 431746 Taluka: Loha</t>
  </si>
  <si>
    <t>OPP.BUS STAND,VIDYANAGAR., HOTEL KARAM BUILDING,shop no-1,2,3, NASHIK PUNE HIGHWAY, SANGAMNERr Postal/Zip Code: 422605 Taluka: Sangamner</t>
  </si>
  <si>
    <t>1st floor, Basera manzil, Above Bank of India, Main Road, Bhadrawati Postal/Zip Code: 442902 Taluka: Bhadrawati</t>
  </si>
  <si>
    <t>-, Jadhav Bhavan, Pandare, Pandare Postal/Zip Code: 413110 Taluka: Baramati</t>
  </si>
  <si>
    <t>Mahesh Computers, Sakshalpimpri Tq &amp; Dist Beed, Mahesh Computers, Sakshalpimpri Tq &amp; Dist Beed, Sakshalpimpri, Sakshalpimpri Postal/Zip Code: 431122 Taluka: Beed</t>
  </si>
  <si>
    <t>sairam mahavidyalaya, indira nagar,biloli,(tq),Biloli,(dist).Nanded., sairam mahavidyalaya., Biloli, Biloli,(tq).Biloli,(dist).Nanded. Postal/Zip Code: 431710 Taluka: Biloli</t>
  </si>
  <si>
    <t>Shop no 27., Raviraj Heritage Apartments, Bhau Patil Road, Bopodi Pune Postal/Zip Code: 411020 Taluka: Haveli</t>
  </si>
  <si>
    <t>NEAR RENUKA VIDEO,RENUKA NAGAR AJINTHA. Postal/Zip Code: 431117 Taluka: Sillod</t>
  </si>
  <si>
    <t>M.A.K AZAD URDU HIGH SCHOOL, DR.AMBEDKAR POST OFFICE, NAGPUR Postal/Zip Code: 440017 Taluka: Nagpur</t>
  </si>
  <si>
    <t>6, OM SHANTI PLAZA, HEAD POST RATNAGIRI, RATNAGIRI Postal/Zip Code: 415612 Taluka: Ratnagiri</t>
  </si>
  <si>
    <t>NEAR ASHIRWAD TALKIES, MAIN ROAD, LAKHANDUR, LAKHANDUR Postal/Zip Code: 441803 Taluka: Lakhandur</t>
  </si>
  <si>
    <t>Sambhaji Chouk, Wadi Road, Shirol btjunkie, limewire Postal/Zip Code: 416103 Taluka: Shirol</t>
  </si>
  <si>
    <t>Uday Colony, , Near Wankhede Hospital, Nandura Road, Jalgaon Jamod Postal/Zip Code: 443402 Taluka: Jalagaon</t>
  </si>
  <si>
    <t>Court Road Patoda Tq-Patoda Dist-Beed, Near Renuka Devi Mandirm, Patoda, Patoda Postal/Zip Code: 414204 Taluka: Patoda</t>
  </si>
  <si>
    <t>3rd floor,, Sarvoday Bazar Complex, Main Road, Kodoli Postal/Zip Code: 416114 Taluka: Panhala</t>
  </si>
  <si>
    <t>1, BEHIND SBI, KATOL ROAD, METPANJARA Postal/Zip Code: 441302 Taluka: Katol</t>
  </si>
  <si>
    <t>First Floor, Polawar Complex, New Mondha Road, Shivaji Chowk Postal/Zip Code: 413517 Taluka: Udgeer</t>
  </si>
  <si>
    <t>01, BHARAT COMPLEX, STATION ROAD, AKOLA Postal/Zip Code: 444001 Taluka: Akola</t>
  </si>
  <si>
    <t>NEAR CHHATRAPATI SHIVAJI HIGHSCHOOL, TAMBRI VIBHAG, OSMANABAD, OSMANABAD Postal/Zip Code: 413501 Taluka: Osmanabad</t>
  </si>
  <si>
    <t>Pace Training Center Hari Niwas Building, Gr.Floor, Postal Colony Road, Near Maa Hospital, Chembur Mumbai -71, Hari Niwas building, Postal Colony Road, Chembur Postal/Zip Code: 400071 Taluka: Kurla</t>
  </si>
  <si>
    <t>plot no. 152, ganesh nagar, Nandanvan, Nagpur Postal/Zip Code: 440009 Taluka: Nagpur</t>
  </si>
  <si>
    <t>26B/17,Bhavani Peth, Tuljapur ves, solapur, smart desai infotech, Rupabhavni Road, solapu Postal/Zip Code: 413002 Taluka: Solapur(n)</t>
  </si>
  <si>
    <t>311, GANESH KUNJ,SHIVAJI NAGAR, MANJRAM, MANJRAM Postal/Zip Code: 431722 Taluka: Naigaon</t>
  </si>
  <si>
    <t>At Pethshivapur Post Morgiri Tal Patan Dist satara , Off Dcc Bank, Morgiri Morna Dharan Road, Patan Morgiri Postal/Zip Code: 415210 Taluka: Patan</t>
  </si>
  <si>
    <t>Sr.37, Nutan madhyamik vidyalaya, sasane colony, pune Postal/Zip Code: 411036 Taluka: Haveli</t>
  </si>
  <si>
    <t>GANDHI WARD, COLLIERY ROAD, SHUKLA BUILDING, BALLARPUR, BALLARPUR Postal/Zip Code: 442701 Taluka: Ballarpur</t>
  </si>
  <si>
    <t>Shop No. 27, Neelkanth Darshan Apt, Near. S.T. Bus Depot, Opp. Nadkarni Hospital, Old Panvel - 410206 Postal/Zip Code: 410206 Taluka: Panvel</t>
  </si>
  <si>
    <t>Chapaner, Chapaner, Chapaner, Chapaner Postal/Zip Code: 431001 Taluka: Kannad</t>
  </si>
  <si>
    <t>Anjuman-I-Islam's Dr. Md. I. J. Girls' High School &amp; Jr. College Of Sci. &amp; Com., 1st Floor, Infotech Lab, Bazar Road, S. V. Road, Mumbai Postal/Zip Code: 400050 Taluka: Andheri</t>
  </si>
  <si>
    <t>At Post Jeur, Main Road, Opp. Gram Panchayat Off.Jeur, Main Road, Gram Panchat Office, Jeur Postal/Zip Code: 413202 Taluka: Karmala</t>
  </si>
  <si>
    <t>Sr. No. 69/7,, Sai Park., Dighi, Pune Postal/Zip Code: 411015 Taluka: Haveli</t>
  </si>
  <si>
    <t>MIRI ROAD SHEVGAON Postal/Zip Code: 414502 Taluka: Shevgaon</t>
  </si>
  <si>
    <t>Behind Rangoli Lawn, Samata Colony, , Behind Rangoli Lawn, Samata Colony, , Kathora Road, Amravati Postal/Zip Code: 444604 Taluka: Amravati</t>
  </si>
  <si>
    <t>SHOP NO1, B3/12, SECTOR -15, VASHI, NAVI MUMBAI Postal/Zip Code: 400703 Taluka: Thane</t>
  </si>
  <si>
    <t>SHOP NO.3, YOGAYOG SOCIETY, P.M.ROAD, VILE-PARLE EAST Postal/Zip Code: 400057 Taluka: Andheri</t>
  </si>
  <si>
    <t>1st Floor Krushi Uttpaan Bazar Samiti, Lapka Road Mouda Postal/Zip Code: 441104 Taluka: Mauda</t>
  </si>
  <si>
    <t>DUDHE HOUSE, Block No. 3,NEAR DIC OFFICE, MIDC ROAD, NAVEGAON Postal/Zip Code: 442605 Taluka: Gadchiroli</t>
  </si>
  <si>
    <t>mass computer education, c/o Tangadpalliwar building , , girnar chowk , jail road , chandrapur Postal/Zip Code: 442402 Taluka: Chandrapur</t>
  </si>
  <si>
    <t>Savitribai college of Arts, Visapur Rd, Pimpalgaon pisa Postal/Zip Code: 413703 Taluka: Shrigonda</t>
  </si>
  <si>
    <t>SHOP NO.11,GANESH PLAZA 1,PLOT NO.1,KHANDA COLONY,NEWPANVEL(W)-410206 Postal/Zip Code: 410206 Taluka: Panvel</t>
  </si>
  <si>
    <t>Ground Floor, Om Computers, Nagar Kalyan Road, Takali Dhokeshwar, Takali Dhokeshwar Postal/Zip Code: 414304 Taluka: Parner</t>
  </si>
  <si>
    <t>Behind PHC,, Apex Compuetr, Main Road, Pimpalgaon Raja Postal/Zip Code: 444306 Taluka: Khamgaon</t>
  </si>
  <si>
    <t>Plot no.31, Gala no 4, Vishwakarma Hou. Soc., Jawaharnagar, Kolhapur Postal/Zip Code: 416012 Taluka: Kolhapur</t>
  </si>
  <si>
    <t>720/1, C/o.Balasaheb Bharde Highschool &amp; Jr.college, Shevgaon, Shevgaon Postal/Zip Code: 414502 Taluka: Shevgaon</t>
  </si>
  <si>
    <t>Shop No. G15, Raysons Prestige, Opp. Hotel Damini, KOLHAPUR Postal/Zip Code: 416001 Taluka: Kolhapur</t>
  </si>
  <si>
    <t>1, Krishi Tantra Vidyalaya, Sai Baug, Asangaon Postal/Zip Code: 401103 Taluka: Dahanu</t>
  </si>
  <si>
    <t>Plot No 48, Nagnath Nagar Nannaj Road Mardi Tal North Solapur Postal/Zip Code: 413002 Taluka: Solapur(n)</t>
  </si>
  <si>
    <t>-, -, Near Society, Chanda Postal/Zip Code: 414606 Taluka: Nevasa</t>
  </si>
  <si>
    <t>Shop No.3, Chawl No.7, S.S. Bhatt Chawl, Adarsh Lane, Jawahar Nagar, Khar (East) Postal/Zip Code: 400051 Taluka: Andheri</t>
  </si>
  <si>
    <t>Shop No.12, Suyash Shopping Centre, NNP Colony, General A.K.Vaidya Marg, Goregaon (East) Postal/Zip Code: 400065 Taluka: Borivali</t>
  </si>
  <si>
    <t>Shop No.16, Shilpa Shree Society, Chembur Govandi Road, Govandi Postal/Zip Code: 400088 Taluka: Kurla</t>
  </si>
  <si>
    <t>Vaidya chowk Bus Stand Road Lode Bhavan Mandhal Postal/Zip Code: 441210 Taluka: Kuhi</t>
  </si>
  <si>
    <t>Shop No.6, Bldg.No. 92, Konkan Vasahat Mhada, Shivaji Market, Kalyan (W) Postal/Zip Code: 421300 Taluka: Kalyan</t>
  </si>
  <si>
    <t>rathod house opp. Atul Enterprises main raod Manora, rathod house opp. Atul Enterprises main raod Manora, Manora, Manora Postal/Zip Code: 444404 Taluka: Manora</t>
  </si>
  <si>
    <t>Near Dr. Palewar Hospital, Ganesh Krushi Kendra 1 Flore, Gondia Kohmara Road Goregaon Postal/Zip Code: 441801 Taluka: Goregaon</t>
  </si>
  <si>
    <t>Near Sadguru Mangal Karyalay , Opposit Krushi Utpanna Bazar Samita Gangapur, Vaijapur Road Gangapur, Gangapur Postal/Zip Code: 431231 Taluka: Gangapur</t>
  </si>
  <si>
    <t>1693, Naiksir Building, Opp.Mangaon Heighschool, Mangaon Postal/Zip Code: 416520 Taluka: Kudal</t>
  </si>
  <si>
    <t>Near Ashvi English School, Ashvi Bk., Near Ashvi English School, Ashvi Bk., Ashvi Bk., Ashvi Bk. Postal/Zip Code: 413714 Taluka: Sangamner</t>
  </si>
  <si>
    <t>Near Ambedkar Putala, Aman Society( Conducted By Ashrafi Education Welfare &amp; Multipurpose Society, nandura), Buldhana Road, Nandura Postal/Zip Code: 443404 Taluka: Nandura</t>
  </si>
  <si>
    <t>Khadakwasla, Main chowk, Pune-411024, Khadakwasla, Main chowk, Pune-411024, Sinhgad Road, Khadakwasla Postal/Zip Code: 411024 Taluka: Haveli</t>
  </si>
  <si>
    <t>Near Post Office, Samudrapur, Turankar House, Samudrapur, Samudrpur Postal/Zip Code: 440005 Taluka: Samudrapur</t>
  </si>
  <si>
    <t>Near High School, Main Road, Aurala, AURALA Postal/Zip Code: 431103 Taluka: Kannad</t>
  </si>
  <si>
    <t>BIBI ROAD ANJANI KD TQ LONAR, MAIN ROAD AT ANJANI KD TQ LONAR , AUR'BAD ROAD, ANJANI KD Postal/Zip Code: 443301 Taluka: Mehekar</t>
  </si>
  <si>
    <t>Shop No.12, Plot No.,76/77, Pushpa Corner, Sector-12, Kamothe Postal/Zip Code: 410209 Taluka: Panvel</t>
  </si>
  <si>
    <t>125, SHRI GANESH-SNEHAL APARTMENT, SOUTH-AMBAZARI ROAD, NAGPUR Postal/Zip Code: 440010 Taluka: Nagpur</t>
  </si>
  <si>
    <t>1ST FLOOR, TAYYABIA COMPLEX, 1123 RAVIWAR PETH, Postal/Zip Code: 411002 Taluka: Haveli</t>
  </si>
  <si>
    <t>Gat No. 280 At. Puri Po. Ghari, Shriman Bhausaheb Zadbuke Institute of Polytechnic, Puri, Barshi-Yedshi Road, Puri Postal/Zip Code: 413401 Taluka: Barshi</t>
  </si>
  <si>
    <t>AT POST DEAGAON, AT POST DEAGAON, DEAGAON, DEAGAON Postal/Zip Code: 413001 Taluka: Solapur(n)</t>
  </si>
  <si>
    <t>FIRST FLOOR, MONITA ARCADE, KOLKI ROAD, PHALTAN Postal/Zip Code: 415523 Taluka: Phaltan</t>
  </si>
  <si>
    <t>E/24, SHIV PRERNA CHAL, PANVEL MUMBAI HIGHWAY, MANKHURDA Postal/Zip Code: 400088 Taluka: Kurla</t>
  </si>
  <si>
    <t>Marathwada Gramin Bank Front, Rathi Chowk Hadgaon Postal/Zip Code: 431712 Taluka: Hadgaon</t>
  </si>
  <si>
    <t>OPP. S.T. STAND, CHAITANYA COMPLEX, LONI-NANDUR ROAD, NIMON Postal/Zip Code: 422611 Taluka: Sangamner</t>
  </si>
  <si>
    <t>01, AMARRATNA, SWAMI VIVEKANAND COLONY, AKOLA ROAD, AKOT Postal/Zip Code: 444101 Taluka: Akot</t>
  </si>
  <si>
    <t>SHRI GAJANAN MAHARAJ COLLEGE OF SCIENCE, SAI MACHINARY, MAIN ROAD, GONDPIPRI Postal/Zip Code: 442702 Taluka: Gaudpimpri</t>
  </si>
  <si>
    <t>70, Barabhau Rammandir Complex, Gurumandir Road, KARANJA LAD Postal/Zip Code: 444105 Taluka: Karanja</t>
  </si>
  <si>
    <t>ANANDI ARCADE ,SHOP NO.11/26,SUNDER BHATALE,VENGURLA Postal/Zip Code: 416516 Taluka: Vengurle</t>
  </si>
  <si>
    <t>vardhani bhavan, near tathed complex, lic road, plot no-69 , vardhani bhavan, lic road, buldhana Postal/Zip Code: 443001 Taluka: Buldhana</t>
  </si>
  <si>
    <t>Uttam nagar, Yashodha nagar chawk, benoda road, AMARAVATI Postal/Zip Code: 444601 Taluka: Amravati</t>
  </si>
  <si>
    <t>AT. POST. SHEDOL Postal/Zip Code: 413514 Taluka: Nilanga</t>
  </si>
  <si>
    <t>SHOP .NO.1, LUIJA HOUSE, S.N DUBE ROAD,RAWALPADA, DAHISAR EAST Postal/Zip Code: 400068 Taluka: Borivali</t>
  </si>
  <si>
    <t>DANSUR CHOWK, NEAR TDC OFFICE, TRASERY ROAD, AHERI Postal/Zip Code: 442705 Taluka: Aheri</t>
  </si>
  <si>
    <t>AT POST THERGAON TQ. PAITHAN, THERGAON, THERGAON, THERGAON Postal/Zip Code: 431121 Taluka: Paithan</t>
  </si>
  <si>
    <t>H.No. 583,Suttar Lane, SAKHUNANDAN, Shivaji Chowk, Bhingar Postal/Zip Code: 414002 Taluka: Ahmednagar</t>
  </si>
  <si>
    <t>Shop No 32, Millennium Park CHS LTD, Plot No 17,, Sector 25, Seawood Postal/Zip Code: 400706 Taluka: Thane</t>
  </si>
  <si>
    <t>House no.180, Meghare Niwas Shekapur (Bai), Main Road, Shekapur (Bai) Postal/Zip Code: 442307 Taluka: Hinganghat</t>
  </si>
  <si>
    <t>Near New Water Tank, Postal/Zip Code: 431131 Taluka: Majalgaon</t>
  </si>
  <si>
    <t>Shop no. 28, Shubh kalash, Sec. 35, NAVI MUMBAI Postal/Zip Code: 410209 Taluka: Panvel</t>
  </si>
  <si>
    <t>1st floor , Shalimar Complex, Main Road, Sillod Postal/Zip Code: 431112 Taluka: Sillod</t>
  </si>
  <si>
    <t>OLD MARKET, NEAR GRAMPANCHYAT, TIRTHPURI, TIRTHPURI Postal/Zip Code: 431209 Taluka: Ghansavangi</t>
  </si>
  <si>
    <t>101, Bhavani Peth, S.V.C.S. School and D.A.V. College Road Bhavani Peth, Postal/Zip Code: 413002 Taluka: Solapur(n)</t>
  </si>
  <si>
    <t>Plot No. 2212, Vairag-Madha Road, Shivajinagar, Vairag, ANMOL VILA, Vairag, Vairag Postal/Zip Code: 413402 Taluka: Barshi</t>
  </si>
  <si>
    <t>shop no 5, shopping complex, priti-sudha nagar, jalna Postal/Zip Code: 431203 Taluka: Jalna</t>
  </si>
  <si>
    <t>a/p soygaon, near mahila college, satana naka chaufuly, soygaon Postal/Zip Code: 423203 Taluka: Malegaon</t>
  </si>
  <si>
    <t>Behind Marathi School, A/p.Nimgaon Postal/Zip Code: 423212 Taluka: Malegaon</t>
  </si>
  <si>
    <t>S12, KADAMBINI VIHAR, NEAR SWAMY SAMARTH MANDIR, BESA,NAGPUR Postal/Zip Code: 440034 Taluka: Nagpur Rural</t>
  </si>
  <si>
    <t>45, RAMCHANDRA NARWADE, MAIN ROAD MASRUL, MASRUL Postal/Zip Code: 443106 Taluka: Buldhana</t>
  </si>
  <si>
    <t>D-302 Nandanvan park Kamothe ,Near Manserver, D-302 Nandanvan park Kamothe ,Near Manserver, Manserver Station Road, Kamothe Postal/Zip Code: 416602 Taluka: Panvel</t>
  </si>
  <si>
    <t>Kumbhari Road Above Mule Hospital Shivani Akola, Mule Hospital, Shivani, Shivani Postal/Zip Code: 444001 Taluka: Akola</t>
  </si>
  <si>
    <t>SHRI OM COMPUTERS Tilak wadi, Godbole's wada, Buldana Postal/Zip Code: 443001 Taluka: Buldhana</t>
  </si>
  <si>
    <t>KURHA KAKODA, NEAR SHIVAJI SCHOOL, MUKTAINAGAR ROAD, KURHA KAKODA Postal/Zip Code: 425327 Taluka: Muktainagar</t>
  </si>
  <si>
    <t>manora chow, sadashiv chintaman patil, mangrulpir, mangrulpir Postal/Zip Code: 444403 Taluka: Mangrulpir</t>
  </si>
  <si>
    <t>01, Somvanshi Bldg, Vinchur Postal/Zip Code: 422305 Taluka: Niphad</t>
  </si>
  <si>
    <t>AT POST VIHAMNDWA, VIHAMNDWA, VIHAMANDWA, VIHAMANDWA Postal/Zip Code: 431121 Taluka: Paithan</t>
  </si>
  <si>
    <t>SHOP NO 26/27/28 , ASHOKA MEWS L BUILDING, KONDWA KHURD, PUNE Postal/Zip Code: 411048 Taluka: Haveli</t>
  </si>
  <si>
    <t>2nd Floor,"Mkul Plaza", Gujar Ali,Chopda Dist-jalgaon, Mukul plaza, Main Road, chopda Postal/Zip Code: 425107 Taluka: Chopada</t>
  </si>
  <si>
    <t>Swa. Savarakar Rashtriya Smarak 252, Veer Savarkar marg Shivaji Park, Dadar (W), MUMBAI 400 028 INDIA. Postal/Zip Code: 400028 Taluka: Mumbai</t>
  </si>
  <si>
    <t>-, -, AT POST-KORA, KORA Postal/Zip Code: 442305 Taluka: Samudrapur</t>
  </si>
  <si>
    <t>SHOP NO.3,1ST FLOOR, JAI BHOLENATH APARTMENT, DIVA-SHIL ROAD, DIVA EAST Postal/Zip Code: 400412 Taluka: Kalyan</t>
  </si>
  <si>
    <t>Tea point Sqr, Tea point Sqr, LAKHANDUR, LAKHANDUR Postal/Zip Code: 441910 Taluka: Lakhandur</t>
  </si>
  <si>
    <t>150,B, Samarth Nagar, Supalwadi, opp. Water supply, Ratnagiri Postal/Zip Code: 415639 Taluka: Ratnagiri</t>
  </si>
  <si>
    <t>MAHALAXMI APARTMENT, VAISHALI NAGAR, INDORA, NAGPUR Postal/Zip Code: 440017 Taluka: Nagpur</t>
  </si>
  <si>
    <t>Wakulni, wakulni, wakulni, Wakulni Postal/Zip Code: 431202 Taluka: Badnapur</t>
  </si>
  <si>
    <t>Indrajeet Computer Academy, Dehu-Alandi road. Dehugaon., Indrajeet Computer Academy, A/P - Dehugoan, Dehu-Alandi road. Near Durga store. , Dehu-Alandi road, Dehugaon Postal/Zip Code: 412109 Taluka: Haveli</t>
  </si>
  <si>
    <t>Smt RDG College , Smt. RDG College For Women Akola, Opp. Neharu Park, Murtizapur Road,, AKOLA Postal/Zip Code: 444001 Taluka: Akola</t>
  </si>
  <si>
    <t>At Post- Kunkeshwar, Tal-Deogad, Dist- Sindhudurg Postal/Zip Code: 416612 Taluka: Vaibhavawadi</t>
  </si>
  <si>
    <t>47/8, Mandke Growth Centre, Paud Road, Pune-411038 Postal/Zip Code: 411038 Taluka: Haveli</t>
  </si>
  <si>
    <t>101, Gore Niwas,1st Floor, Santoshi Mata Rd, Gore Niwas, Santoshi Mata Rd, Kalyan(W) Postal/Zip Code: 421301 Taluka: Kalyan</t>
  </si>
  <si>
    <t>AT POST BARAHALII , AT POST BARAHALI, BARAHALI, BARAHALI Postal/Zip Code: 431715 Taluka: Mukhed</t>
  </si>
  <si>
    <t>Shop No. 5, Shrikrishna Avenue, Kajupada, Borivali (East) Postal/Zip Code: 400066 Taluka: Borivali</t>
  </si>
  <si>
    <t>Sr. No. 0142,Opp-Someshwar pathsantha, Pune-Nagar Road, Lonikand. Postal/Zip Code: 412216 Taluka: Haveli</t>
  </si>
  <si>
    <t>AT POST PETH, NEAR BARAL HOSPITAL, OPPOSITE ATHARVA MEDICAL, PETH, KURANDI ROAD, PETH, PETH Postal/Zip Code: 410512 Taluka: Ambegaon</t>
  </si>
  <si>
    <t>Plot No 6, Sadiya Manzil, Madina Nagar, Shahada Postal/Zip Code: 425409 Taluka: Shahada</t>
  </si>
  <si>
    <t>1908/32, Nagnath Complax, kamal chitra mandir Road, GANGAKHED Postal/Zip Code: 431514 Taluka: Gangakhed</t>
  </si>
  <si>
    <t>AMODI COMPLEX CHALIPURA ROAD, AURANGABAD Postal/Zip Code: 431001 Taluka: Aurangabad</t>
  </si>
  <si>
    <t>Near Mahatma Gandhi School Gadchandur, gujar complex, Amalnala road, gadchandur Postal/Zip Code: 442908 Taluka: Korpana</t>
  </si>
  <si>
    <t>-, Nandeshwar Bhavan, Deori, Deori Postal/Zip Code: 441901 Taluka: Devara</t>
  </si>
  <si>
    <t>506/9, Plot no 3, Behind ST Stand Postal/Zip Code: 415001 Taluka: Satara</t>
  </si>
  <si>
    <t>Near Jojare Jewelers, Main Peth Salabatpur Postal/Zip Code: 414603 Taluka: Nevasa</t>
  </si>
  <si>
    <t>1891, Mali Wada, Mahatma Fule Road, ERANDOL Postal/Zip Code: 425109 Taluka: Erandol</t>
  </si>
  <si>
    <t>510/A, E Ward, Paradise Apartment, Kadamwadi Road, KOLHAPUR Postal/Zip Code: 416003 Taluka: Kolhapur</t>
  </si>
  <si>
    <t>Near Dental college, , Ramkrushna Colony, Dental College Road, Amravati Postal/Zip Code: 444602 Taluka: Amravati</t>
  </si>
  <si>
    <t>At Mundikota, Bhombudi Road, Post Mundikota, Mundikota Postal/Zip Code: 441605 Taluka: Tirora</t>
  </si>
  <si>
    <t>Plot No.3 Mahalaxmi Chowk Cidco n-2 Mukundwadi Aurangabad Postal/Zip Code: 431001 Taluka: Aurangabad</t>
  </si>
  <si>
    <t>SHOP NO. -4, VAISHALI APP. , POYNAD NAKA ROAD, POYNAD Postal/Zip Code: 402108 Taluka: Alibag</t>
  </si>
  <si>
    <t>Bharatmata Nagr ,, Rozabagh, Near Moulana Azad College,Aurangabad, Moulana Azad College,Aurangabad, Aurangabad Postal/Zip Code: 431003 Taluka: Aurangabad</t>
  </si>
  <si>
    <t>Nr. B. D. C. C. Bank, At Post Palandur (CH), Palandur, Palandur Postal/Zip Code: 441809 Taluka: Lakhani</t>
  </si>
  <si>
    <t>Shop No 2, Rajashree Bunglow, NSS Road, Dombivli Postal/Zip Code: 421202 Taluka: Kalyan</t>
  </si>
  <si>
    <t>near godavi bank ambad road , tirthpuri tq. ghansavangi dist jalna, Bobade Nivas, head post office, TIRTHPURI Postal/Zip Code: 431209 Taluka: Ghansavangi</t>
  </si>
  <si>
    <t>At Ekodi, Infront of ZP school, Post Ekodi, Ekodi Postal/Zip Code: 441614 Taluka: Gondiya</t>
  </si>
  <si>
    <t>AMBA ROAD,(GAON), AMBA ROAD (GAON), PARTUR, PARTUR Postal/Zip Code: 431501 Taluka: Partur</t>
  </si>
  <si>
    <t>Ladsangvi, main Road, Ladsangvi, Ladsangvi Postal/Zip Code: 431005 Taluka: Aurangabad</t>
  </si>
  <si>
    <t>main road kausadi Postal/Zip Code: 431508 Taluka: Jintur</t>
  </si>
  <si>
    <t>SHIVAJI NAGAR WARD NO-7 NEAR BY BUS STOP ,MEHKAR Postal/Zip Code: 443301 Taluka: Mehekar</t>
  </si>
  <si>
    <t>Flat no. 1625,Gandhi Chauk,Bagul Galli songir Postal/Zip Code: 424309 Taluka: Dhule</t>
  </si>
  <si>
    <t>Plot No. 61, , 4th Bus Stop,, Fulewadi, KOLHAPUR Postal/Zip Code: 416010 Taluka: Kolhapur</t>
  </si>
  <si>
    <t>Sneha Computer Technology, Malegaon Road,Taroda (Kd.) Nanded Postal/Zip Code: 431605 Taluka: Nanded</t>
  </si>
  <si>
    <t>0, AT POST KODID , KODID ROAD, kodid Postal/Zip Code: 425428 Taluka: Shirpur</t>
  </si>
  <si>
    <t>Behind Lokmanya Tilak Wachanalaya, Near Sargico Medical, K.V Road Shrirampur Postal/Zip Code: 413709 Taluka: Srirampur</t>
  </si>
  <si>
    <t>Plot No:D-58 , Vision Computer Institute, CIDCO Waluj Mahanagar, CIDCO Waluj Mahanagar Postal/Zip Code: 431136 Taluka: Gangapur</t>
  </si>
  <si>
    <t>ASHOK NAGAR, BARDAPUR, MATOSHRI NIWAS, AMBAJOGAI ROAD, BARDAPUR Postal/Zip Code: 431517 Taluka: Ambejogai</t>
  </si>
  <si>
    <t>133, 134/1, Sadashiv Complex, Yatra Chowk, Akot Postal/Zip Code: 444101 Taluka: Akot</t>
  </si>
  <si>
    <t>001, , Shree Sai amrut , Opp Charbhuja Super Bazar, Satguru Nagar, Diva (East) Postal/Zip Code: 400612 Taluka: Thane</t>
  </si>
  <si>
    <t>105, kajale complex, near saibaba mandir, saibaba chouk, kamshet, kamshet Postal/Zip Code: 410405 Taluka: Maval</t>
  </si>
  <si>
    <t>at. shelgaon tq.gangakhed dis. parbhani Postal/Zip Code: 431516 Taluka: Sonpeth</t>
  </si>
  <si>
    <t>1st Floor, Awagan Complex, Malegaon Road, Shelubazar Postal/Zip Code: 444403 Taluka: Mangrulpir</t>
  </si>
  <si>
    <t>MAIN ROAD HANUMAN GALLI,, BARBADA, BARBADA, BARBADA Postal/Zip Code: 431602 Taluka: Naigaon</t>
  </si>
  <si>
    <t>Mankarna Plot,Akola, Industrial Training Institute girls ,Akola, Akot Stand Rd.,Akola, Akola Postal/Zip Code: 444001 Taluka: Akola</t>
  </si>
  <si>
    <t>VAHAL BAZARPETH, BAZARPETH, VAHAL, VAHAL Postal/Zip Code: 415641 Taluka: Chiplun</t>
  </si>
  <si>
    <t>block no 6, shree varad regency ashiyad chouk, shegaon road ,post office vmv amravati, amravati Postal/Zip Code: 444602 Taluka: Amravati</t>
  </si>
  <si>
    <t>KRANTIVEER CHOWK, LANGDE NIVAS, BHOSA ROAD, GOUR Postal/Zip Code: 413525 Taluka: Kalamb</t>
  </si>
  <si>
    <t>bharman galli ellora, bharman galli ellora, Ellora, Ellora Postal/Zip Code: 431102 Taluka: Khulatabad</t>
  </si>
  <si>
    <t>C/o Dr. Marotakar near Shiv Mandir Main Road Morthi Umari Akola Postal/Zip Code: 444005 Taluka: Akola</t>
  </si>
  <si>
    <t>flat no. 3, Krishnai Chambers, vidyanagar, vidyanagar Postal/Zip Code: 415124 Taluka: Karad</t>
  </si>
  <si>
    <t>At Post Dusane Postal/Zip Code: 424304 Taluka: Sakri</t>
  </si>
  <si>
    <t>502, 5th Floor,Paradise Towers, Near Mc Donalds, Gokhale Road, Thane (W) Postal/Zip Code: 400601 Taluka: Thane</t>
  </si>
  <si>
    <t>MAIN ROAD, PINJAR Postal/Zip Code: 444407 Taluka: Barshi Takali</t>
  </si>
  <si>
    <t>288, Juni Laxmi Mill Chawl, Near Hanuman Mandir, Dongaon Road, Solapur Postal/Zip Code: 413002 Taluka: Solapur(n)</t>
  </si>
  <si>
    <t>House no 132, Jaiswal Building, Main Road, Nawegaon/Bandh Postal/Zip Code: 441702 Taluka: Arjuni moregaon</t>
  </si>
  <si>
    <t>AM Complex, AM Building, Nawegaon Bandh Road, Arjuni/Mor. Postal/Zip Code: 441701 Taluka: Arjuni moregaon</t>
  </si>
  <si>
    <t>New colony , Area, Erondol-bhadgaon Road, Amadade Postal/Zip Code: 424105 Taluka: Bhadgaon</t>
  </si>
  <si>
    <t>N-7, Sector 4, pl.no.1, cidco, cidco, cidco, AURANGABAD Postal/Zip Code: 431003 Taluka: Aurangabad</t>
  </si>
  <si>
    <t>Shop No. 13 &amp; 14, Shetkari Sangh Complex, Near Police, Erandol Postal/Zip Code: 425109 Taluka: Erandol</t>
  </si>
  <si>
    <t>Vande Mataram Chowk, Sasawade Building, Rupinagar Road, Rupinagar Postal/Zip Code: 411024 Taluka: Haveli</t>
  </si>
  <si>
    <t>Arts &amp; Commerce college, Arts &amp; Commerce college, Pusegaon, Pusegaon Postal/Zip Code: 415502 Taluka: Khatav</t>
  </si>
  <si>
    <t>Bhagwat Hospital, NEAR SHANI MANDIR, DESAI NAGAR, RING ROAD, Postal/Zip Code: 413512 Taluka: Latur</t>
  </si>
  <si>
    <t>ROOM 5, NES COMPLEX BHANDUP, BHATTIPADA ROAD, BHANDUP Postal/Zip Code: 400078 Taluka: Kurla</t>
  </si>
  <si>
    <t>At Post Dudha, Pragati Computer, Main Road, Dudha Postal/Zip Code: 443001 Taluka: Buldhana</t>
  </si>
  <si>
    <t>Flat no 1, Saiprabhu Appt. Ravi Nagar Square, Amravati Road, Shankar Nagar Post Office, Nagpur Postal/Zip Code: 440010 Taluka: Nagpur</t>
  </si>
  <si>
    <t>1 st DOOR, Datta sadan, Nagar Daund Road, Ghargaon Postal/Zip Code: 413728 Taluka: Shrigonda</t>
  </si>
  <si>
    <t>At &amp; Post Bamnod, Taluka, Yawal, Dist. Jalgaon Postal/Zip Code: 425201 Taluka: Bhusawal</t>
  </si>
  <si>
    <t>19/7, J-Sector, , Dnyaneshwar Colony, Mukundwadi, Mukundwadi Road, Aurangabad Postal/Zip Code: 431001 Taluka: Aurangabad</t>
  </si>
  <si>
    <t>3, Datta Plaza, bharati-vidyapeeth road,, Kadegaon, Kadegaon Postal/Zip Code: 415304 Taluka: Kadegaon</t>
  </si>
  <si>
    <t>Dr. ARUN MOTGHARE MAHAVIDAYLA, Dr. ARUN MOTGHARE MAHAVIDAYLA, KONDHA-KOSRA, KONDHA-KOSRA Postal/Zip Code: 441908 Taluka: Pavni</t>
  </si>
  <si>
    <t>Near Water Tank, MJP, Barshi Road Postal/Zip Code: 413531 Taluka: Latur</t>
  </si>
  <si>
    <t>At,Post, Ambelohal Ta. Gangapur Dist, Aurangabad, At,Post, Ambelohal Ta. Gangapur Dist, Aurangabad, Ambelohal , Ambelohal Postal/Zip Code: 431133 Taluka: Gangapur</t>
  </si>
  <si>
    <t>Khudane Chaufully,Nandurbar Road, Nijampur Postal/Zip Code: 424304 Taluka: Sakri</t>
  </si>
  <si>
    <t>321, Khadapkar Sadan, Oros, Oros Phata Khadapkar Sadan, BKG road Sindhudurg Nagari, Sindhudurg Nagari Postal/Zip Code: 416812 Taluka: Kudal</t>
  </si>
  <si>
    <t>119/100, P.NO.4, VIKAS COLONY, JAMNER ROAD, BHUSAWAL Postal/Zip Code: 425201 Taluka: Bhusawal</t>
  </si>
  <si>
    <t>Gujri Bazar, Jarud, Wasuli Complex, Gujri Bazar Road, Jarud Postal/Zip Code: 444908 Taluka: Warud</t>
  </si>
  <si>
    <t>Pandharpur Road, Near Bank of Baroda, Velapur, Velapur Postal/Zip Code: 413113 Taluka: Malshiras</t>
  </si>
  <si>
    <t>At. post. Keligavhan, At. post. Keligavhan, Bustand road, Kelighavan Postal/Zip Code: 431202 Taluka: Badnapur</t>
  </si>
  <si>
    <t>Near Bus Stand, Gondia Road, Thana, Postal/Zip Code: 441902 Taluka: Amgaon</t>
  </si>
  <si>
    <t>51, Dnyanai Academy english school, near Sai Baba Kaman, Old Kautha, Nanded Postal/Zip Code: 431603 Taluka: Nanded</t>
  </si>
  <si>
    <t>Mangal Ali, A/P - Vikramgad Postal/Zip Code: 401604 Taluka: Vikramgad</t>
  </si>
  <si>
    <t>FIRST FLOOR, SHASHTRI NAGAR, NEAR BUS STAND, YEODA, YEODA, YEODA Postal/Zip Code: 444706 Taluka: Daryapoor</t>
  </si>
  <si>
    <t>C/o Adavasi Unnati Co-op Society, Room No. 2, TALASARI, TALSARI Postal/Zip Code: 401606 Taluka: Talasari</t>
  </si>
  <si>
    <t>Near Sharad Institute of Technology College of Engineering (Degree College), Onkareshwar Mandir Road, Yadrav Postal/Zip Code: 416121 Taluka: Shirol</t>
  </si>
  <si>
    <t>a-34, shinde complex, gandhinagar, KHADKI AKOLA Postal/Zip Code: 444001 Taluka: Akola</t>
  </si>
  <si>
    <t>41, NEW DNYANESHWAR NAGAR, NEW DNYANESHWAR NAGAR, NAGPUR Postal/Zip Code: 440017 Taluka: Nagpur</t>
  </si>
  <si>
    <t>4/1, Durgamata Ward, Ghatanji, Ghatanji Postal/Zip Code: 445301 Taluka: Ghatanji</t>
  </si>
  <si>
    <t>ROOM NO.4/5, VAITY HOUSE,, SION TROMBAY, MUMBAI Postal/Zip Code: 400088 Taluka: Kurla</t>
  </si>
  <si>
    <t>Near Kaman,Main Road, Uchagaon Postal/Zip Code: 416005 Taluka: Karveer</t>
  </si>
  <si>
    <t>02, Gurukrupa Nivas, Suwarnakar Nagar , Rohanvadi Road, jalna Postal/Zip Code: 431203 Taluka: Jalna</t>
  </si>
  <si>
    <t>P7, MIDC Postal/Zip Code: 413531 Taluka: Latur</t>
  </si>
  <si>
    <t>First Floor, Near Ganesh Academy, Vishnusidhraj Trust, Old Nagarpalika Road, Alibag Postal/Zip Code: 402201 Taluka: Alibag</t>
  </si>
  <si>
    <t>Shop No. 2,Bldg No. 1,Krishna Kunj, MHADA colony,Chandivali farm Road,Chandivali Postal/Zip Code: 400072 Taluka: Kurla</t>
  </si>
  <si>
    <t>Survey No. 18/9, Ganesh Nagar, Onkar Colony, Thergaon, Pune - 33, Jagdale Coaching Classes, Shiv Colony, Thergaon Postal/Zip Code: 411033 Taluka: Haveli</t>
  </si>
  <si>
    <t>shop no.3 Grampanchayat building, Ubha Danda , Vengurla Postal/Zip Code: 416516 Taluka: Vengurle</t>
  </si>
  <si>
    <t>336, SHRI.MOHANRAO BERAD, MAIN ROAD PARAD, PARADH Postal/Zip Code: 431132 Taluka: Bhokardan</t>
  </si>
  <si>
    <t>Station Road ,VAIJAPUR, STATION ROAD, VAIJAPUR, VAIJAPUR Postal/Zip Code: 423701 Taluka: Vaijapur</t>
  </si>
  <si>
    <t>Near Bhairava Mandir, Pragati Computers Education, Opposite Main Road, Mhasla Bk Postal/Zip Code: 443001 Taluka: Buldhana</t>
  </si>
  <si>
    <t>Shop no.2, Mehandibagh Corner, Binaki Layout, Jeevan Tower Appartments, Vaishali Nagar Rd, Nagpur Postal/Zip Code: 440017 Taluka: Nagpur</t>
  </si>
  <si>
    <t>C/O M. V. Murkute, Nr. Bus Stop, Palora, Palora Postal/Zip Code: 441905 Taluka: Mohadi</t>
  </si>
  <si>
    <t>1603, ICCHAKRUPA BHUVAN, ICCHAKRUPA BHUVAN, NEAR DR. KULKRNI, DHARANGAON Postal/Zip Code: 425105 Taluka: Dharangaon</t>
  </si>
  <si>
    <t>Room No-429, A/2 Sec 20 , Nr Turbhe Railway Station, Turbhe Postal/Zip Code: 400705 Taluka: Thane</t>
  </si>
  <si>
    <t>At. Po. Chittegaon, Chittegaon, Chittegaon, Chittegaon Postal/Zip Code: 431001 Taluka: Aurangabad</t>
  </si>
  <si>
    <t>616, Radhamahal Society, Rasta Peth, Pune Postal/Zip Code: 411002 Taluka: Haveli</t>
  </si>
  <si>
    <t>First Floor, Despande Complex, New Mondha road, Shivaji Chawk Postal/Zip Code: 413517 Taluka: Udgeer</t>
  </si>
  <si>
    <t>60/Ba, PAL NIWAS, GADEGAON ROAD, KHAPA Postal/Zip Code: 441101 Taluka: Savner</t>
  </si>
  <si>
    <t>372, In Front Of P.W.D. Rest House., CHANDRAPUR ROAD, ALLAPALLI Postal/Zip Code: 442703 Taluka: Aheri</t>
  </si>
  <si>
    <t>2ND FLOOR, MALGANGA PATSANSTHA, NIGHOJ. Postal/Zip Code: 414306 Taluka: Parner</t>
  </si>
  <si>
    <t>Ground Flower OF Gurukul Classes, Mehakar Road Janephal, Mehakar Road, JANEPHAL Postal/Zip Code: 443304 Taluka: Mehekar</t>
  </si>
  <si>
    <t>16, Sideshwar Chawl, Indira Nagar , Amrut Nagar, Ghatkopar Postal/Zip Code: 400086 Taluka: Kurla</t>
  </si>
  <si>
    <t>Plot No. 324/23 Growth Centre, Village- Tisgaon CIDCO, Nagar -1, Aurangabad, CIDCO Waluj Mahanagar -1, Maharana Pratap Chowk Post office, Aurangabad Postal/Zip Code: 431136 Taluka: Aurangabad</t>
  </si>
  <si>
    <t>199,, Dhum Sadan, Peth, peth Postal/Zip Code: 422208 Taluka: Peth</t>
  </si>
  <si>
    <t>Building no. 1, Dnyan Kala Krida And Krushi Pratisthan Campus, Kalamb- Baramati Road, Kalamb Postal/Zip Code: 413114 Taluka: Indapur</t>
  </si>
  <si>
    <t>kaij road dharur, kaij road dharur, dharur, Dharur Postal/Zip Code: 431124 Taluka: Dharur</t>
  </si>
  <si>
    <t>Main Office, Takshashila, Dhamangaon Awari Road, Akole Postal/Zip Code: 422601 Taluka: Akole</t>
  </si>
  <si>
    <t>House No. 313, Matoshri Niwas, ZP School Road, KARAJGAON Postal/Zip Code: 414105 Taluka: Nevasa</t>
  </si>
  <si>
    <t>Tisgaon, Tal- Pathardi, Dist-Ahmednagar, Tisgaon, Tal- Pathardi, Dist-Ahmednagar, Tisgaon, TISGAON Postal/Zip Code: 414106 Taluka: Pathardi</t>
  </si>
  <si>
    <t>Shop No. 17., , "Varad Vinayak Complex" , Plot No. 4, Sector - 5, navi mumbai Postal/Zip Code: 410206 Taluka: Panvel</t>
  </si>
  <si>
    <t>Grampanchyat milkat No.18 Rajendra Naik(Ma.Sarpanch) Juna Wada Gaothan Jamgaon Postal/Zip Code: 414303 Taluka: Parner</t>
  </si>
  <si>
    <t>73, Tulsiwadi, Opp AC Market, Tardeo Road,Victoria Memorial School for the Blind, Tardeo, Mumbai Postal/Zip Code: 400034 Taluka: Mumbai</t>
  </si>
  <si>
    <t>NIPUNGE COMPLEX, NAGAR-AURANGABAD,ROAD, MUKINDPUR, NEWASA PHATA Postal/Zip Code: 414603 Taluka: Nevasa</t>
  </si>
  <si>
    <t>55/5 shair vasti ,near namdev nagar solapur, zoom computer, Rupa bhawani road, Solapur Postal/Zip Code: 413002 Taluka: Solapur(s)</t>
  </si>
  <si>
    <t>AT POST SAIGAON, SAIGAON, SAIGAON, saigaon Postal/Zip Code: 415020 Taluka: Jawali</t>
  </si>
  <si>
    <t>plot no. 130, At post. Anterwali tembhi, Tq.Ghansawangi, Dist jalna. Postal/Zip Code: 431211 Taluka: Ghansavangi</t>
  </si>
  <si>
    <t>SHINGAVE NIKE, SAMRTHA NAGAR, SHINGAVE NIKE, AHMEDNAGAR Postal/Zip Code: 414111 Taluka: Ahmednagar</t>
  </si>
  <si>
    <t>8/11, Shamganga, Behind Maharshi Karve Telephone Exchange, Karve Road, Pune Postal/Zip Code: 411004 Taluka: Pune City</t>
  </si>
  <si>
    <t>3, ganesh complex, main road, shegaon (bk.), Shegaon (bk.) Postal/Zip Code: 442906 Taluka: Warora</t>
  </si>
  <si>
    <t>291,B,Mangalwar Peth,Near Vitthal Mandir Satara., Meruling Niwas, Mangalwar Tale Road, Satara Postal/Zip Code: 415002 Taluka: Satara</t>
  </si>
  <si>
    <t>Gala No.10, Grampanchayat Complex, Vadangali , Vangali Grampanchat , Vadangali, NASHIK Postal/Zip Code: 422103 Taluka: Sinnar</t>
  </si>
  <si>
    <t>ROOM NO. 4,, AMRUTYOG HOSPITAL,, GHOTI-SINNAR HIGHWAY, SAKUR Postal/Zip Code: 422203 Taluka: Igatpuri</t>
  </si>
  <si>
    <t>Opp DIC Office, Lokmanya Nagar, Tulsai Complex, Karegaon Road, Parbhani Postal/Zip Code: 431401 Taluka: Parbhani</t>
  </si>
  <si>
    <t>VISHAL NAGAR, RAUT HOUSE, PIMPALGAON RAOD, YAVATMAL Postal/Zip Code: 445001 Taluka: Yavatmal</t>
  </si>
  <si>
    <t>prerna computer institute near dutt mandir suvarn nagar buldhana, c/o manohar sonone, buldhana, Buldhana Postal/Zip Code: 443001 Taluka: Buldhana</t>
  </si>
  <si>
    <t>Below ADCC Bank, Ranjangaon SP Postal/Zip Code: 431136 Taluka: Gangapur</t>
  </si>
  <si>
    <t>plot no. 35/4, maturkar bhavan, mahal road to gandhi chowk, BHANDARA Postal/Zip Code: 441904 Taluka: Bhandara</t>
  </si>
  <si>
    <t>Wadgaon Road, Selu, th. seloo Dist. wardha, Badere Coaching Complex, Wadgaon, SELOO Postal/Zip Code: 442104 Taluka: Selu</t>
  </si>
  <si>
    <t>siddhi computer institute Above shivsena shaka surya nager vikroli (w) mumbai , shive sena shakha-114 surya nager vikhroli (w) mumubai, LBS marg, mumbai Postal/Zip Code: 400083 Taluka: Mumbai</t>
  </si>
  <si>
    <t>Ward No. 4, Waikar Building, Pune-Pandharpur Road, Nira Postal/Zip Code: 412102 Taluka: Purandar</t>
  </si>
  <si>
    <t>Opp. Sonajirao Kshirsagar B.H.M.S. College, Navgan College Road, Shivaji Nagar, , Beed Postal/Zip Code: 431122 Taluka: Beed</t>
  </si>
  <si>
    <t>SHRIGURUNILAYAM, S NO 82/1/17, BEHIND KAPIL COMPLEX BANER PUNE-411045, SHRIGURUNILAYAM, BANER ROAD, PUNE Postal/Zip Code: 411045 Taluka: Haveli</t>
  </si>
  <si>
    <t>shop no.3, JANAWAR COMPLEX, H.J.P. COLLEGE HIMAYATNAGAR, HIMAYATNAGAR Postal/Zip Code: 431802 Taluka: Himayatnagar</t>
  </si>
  <si>
    <t>shop no.b/f 008, shanti upvan society,lodha heaven, kalyan shil road, nilje Postal/Zip Code: 421204 Taluka: Kalyan</t>
  </si>
  <si>
    <t>At.Post Amthana Ta.sillod Dist.Aurangabad , Near Basstand Amthana Ta.Sillod , AT.POST.AMTHANA, AMTHANA Postal/Zip Code: 431113 Taluka: Sillod</t>
  </si>
  <si>
    <t>near society, gosavi home, national highway 222, kharwandi kasar Postal/Zip Code: 414113 Taluka: Pathardi</t>
  </si>
  <si>
    <t>AT.POST.BORGAON BAZAR TA.SILLOD DIST.AURANGABAD, BORGAON BAZAR, POST OFFICE ROAD, BORGAON BAZAR Postal/Zip Code: 431113 Taluka: Sillod</t>
  </si>
  <si>
    <t>Opp. P.E.S. Girl's Hostel, Jungli Maharaj Road, PUNE Postal/Zip Code: 411005 Taluka: Haveli</t>
  </si>
  <si>
    <t>Shop No.1 Stn. Road, Aachole Ganesh Mandir,Near Nallasopara Railway Stn. Nallasopara (E) Pin - 401209 Postal/Zip Code: 401209 Taluka: Vasai</t>
  </si>
  <si>
    <t>Padmi Bai Tower,Shop No. 111,112, Opp. Railway Subway, Manvel Pada Road, Virar (E) Pin - 401303 Postal/Zip Code: 401303 Taluka: Vasai</t>
  </si>
  <si>
    <t>Plot No / Milkat No 1640 , Chichondi Patil Tal &amp; Dist Ahmednagar, Sukhakarta Computers , Nagar Jamkhed Road, Chichondi Patil Postal/Zip Code: 414201 Taluka: Ahmednagar</t>
  </si>
  <si>
    <t>Behind Post Office Santkrup Press Second Floor, Santkrupa Press, Post Office Road, Mangrulpir Postal/Zip Code: 444403 Taluka: Mangrulpir</t>
  </si>
  <si>
    <t>Anuraj Complex, Kokrud Road, Opp Patel Hardware ,Near Apla Bazar , SHIRALA , Postal/Zip Code: 415408 Taluka: Shirala</t>
  </si>
  <si>
    <t>2201, Gopal Bhuvan, Navdarwaja, Nashik Postal/Zip Code: 422001 Taluka: Nashik</t>
  </si>
  <si>
    <t>302 3rd floor , harmony tower, court naka, THANE WEST Postal/Zip Code: 400601 Taluka: Thane</t>
  </si>
  <si>
    <t>Glal No 44/B, Palande Building , Nagave, Post-Kolkewadi, NAGAVE POST KOLKEWADI Postal/Zip Code: 415603 Taluka: Chiplun</t>
  </si>
  <si>
    <t>PLOT NO. 185/2, , MITRA CHAYA NIWAS, DEUR., BACK SIDE OF MUDHAI HIGHSCHOOL , COLLEGE ROAD, Deur Postal/Zip Code: 415524 Taluka: Koregaon</t>
  </si>
  <si>
    <t>Sr.No.205, 1st Floor, Palekar Properties, Near Ravet-Punawale Bridge,Opp.Nano Homes, Ravet, Postal/Zip Code: 412101 Taluka: Haveli</t>
  </si>
  <si>
    <t>157, Gajanan cycle stores , Main Road Chamorshi, CHAMORSHI Postal/Zip Code: 442603 Taluka: Chamorshi</t>
  </si>
  <si>
    <t>H.N.596, SADGURU NIWAS, DATTA MANDIR ROAD, GOVERDHAN ROAD,GOVERDHAN, NASHIK Postal/Zip Code: 422222 Taluka: Nashik</t>
  </si>
  <si>
    <t>door 5, Jayswal complex Lohara , Lohara, lohara Postal/Zip Code: 424201 Taluka: Pachora</t>
  </si>
  <si>
    <t>B/6 AJINKYATARA SOCIETY, , AJINKYATARA SOCIETY, , KAJUPADA PIPELINE, , KURLA(W) Postal/Zip Code: 400072 Taluka: Kurla</t>
  </si>
  <si>
    <t>shop no.11, , manassarovar co.hos. soc., opp Mohindar Kabulsingh school, KALYAN Postal/Zip Code: 421301 Taluka: Kalyan</t>
  </si>
  <si>
    <t>SHOP NO 15 , VASTUSANKALP CO-OP HOUSING SOCIETY, SECTOR NO 05 PLOT NO 10, Kamothe Postal/Zip Code: 410209 Taluka: Panvel</t>
  </si>
  <si>
    <t>MAIN ROAD,GANDHI CHOWK, NEAR OLD PHC AND FOREST OFFICE KURHA, MAIN ROAD,GANDHI CHOWK, NEAR OLD PHC AND FOREST OFFICE, KURHA, KURHA Postal/Zip Code: 444709 Taluka: Tivsa</t>
  </si>
  <si>
    <t>Bazarpeth, Shetye Complex, Main Road, Sakharpa Postal/Zip Code: 415801 Taluka: Sangameshwar</t>
  </si>
  <si>
    <t>1st Floor, , Maharashtra Kamgar Kalyan Bhavan,, Kannamwar Nagar no-2,, Mumbai Postal/Zip Code: 400083 Taluka: Kurla</t>
  </si>
  <si>
    <t>indraprasth complex zenda chowk II floor, bagmar complex, lasalgaon, LASALGAON Postal/Zip Code: 422306 Taluka: Niphad</t>
  </si>
  <si>
    <t>Sarafa Line, Main Road, 1st Floor, Patil Complex, Postal/Zip Code: 431809 Taluka: Dharmabad</t>
  </si>
  <si>
    <t>Near Grampanchyat, Postal/Zip Code: 413513 Taluka: Chakur</t>
  </si>
  <si>
    <t>SWAMI VIVEKANAND CHOWK, (SOCITY CHOWK), NEAR OSMANABAD BANK Postal/Zip Code: 413513 Taluka: Chakur</t>
  </si>
  <si>
    <t>VIDYANAGAR, NEAR SIKANDAR CLASSES, Kavathemahankal, K.MAHANKALI Postal/Zip Code: 416405 Taluka: Kavathe Mahakal</t>
  </si>
  <si>
    <t>Block No.2 , Fransis parera building , Gargoti Padgaon Road, kadgaon Postal/Zip Code: 416209 Taluka: Bhudargad</t>
  </si>
  <si>
    <t>"krushnai" kale-3 nagar satpur nashik, "krushnai", kamgar nagar, Nashik Postal/Zip Code: 422007 Taluka: Nashik</t>
  </si>
  <si>
    <t>AT.POST NACHANWEL, IN FRONT OF BSNL TOWAR, NACHANWEL, NACHANWEL Postal/Zip Code: 430014 Taluka: Kannad</t>
  </si>
  <si>
    <t>Shop No 7, Sita Kunj Apt., MIDC Road,Chole Gaon, Thakurli (E) Postal/Zip Code: 421201 Taluka: Kalyan</t>
  </si>
  <si>
    <t>Room No-301, MIRI-PIRI APARTMENT, BOISAR ROAD, PALGHAR Postal/Zip Code: 401404 Taluka: Palghar</t>
  </si>
  <si>
    <t>4, Gowalkar Complex, , NEAR SHYAM LAD HOUSE, PIR LOTE STOP, PIR LOTE Postal/Zip Code: 415722 Taluka: Khed</t>
  </si>
  <si>
    <t>Sr. No-05, Shiv-Shankar Nivas, Mundhwa, Pune Postal/Zip Code: 411036 Taluka: Haveli</t>
  </si>
  <si>
    <t>AT POST KARANJALI BEHIND TELEPHONE EXCHANGE KARANJALI Postal/Zip Code: 422208 Taluka: Peth</t>
  </si>
  <si>
    <t>A/P-NANDURSHINGOTE, ROSHAN MANJIL, NASHIK-PUNA ROAD, NANDURSHINGOTE Postal/Zip Code: 422606 Taluka: Sinnar</t>
  </si>
  <si>
    <t>Ground Flore, Sai Leela Building, Nagar Road, Pathardi Postal/Zip Code: 414102 Taluka: Pathardi</t>
  </si>
  <si>
    <t>Ward No. 2, Maroti Ward, , Abdulla Nagar Road, HINGANGHAT Postal/Zip Code: 442301 Taluka: Hinganghat</t>
  </si>
  <si>
    <t>PLOT NO. 1, WARHADE BHAVAN, SOUTH AMBAZARI ROAD, NAGPUR Postal/Zip Code: 440022 Taluka: Nagpur</t>
  </si>
  <si>
    <t>"Dnyandeep Computer" Sirsala Chowk, Moha-Pohner Road, Postal/Zip Code: 431128 Taluka: Parali</t>
  </si>
  <si>
    <t>SHOP NO 3 , GHODASKER COMPLEX, MAHARANA PRATAP CHOWAK, NANDED Postal/Zip Code: 431605 Taluka: Nanded</t>
  </si>
  <si>
    <t>Hiwase Complex, Pimpalkhuta Road, Pimpalkhuta Road, Rohana Postal/Zip Code: 442302 Taluka: Arvee</t>
  </si>
  <si>
    <t>Front of old bus stand, back side of laxminarayan mandir,Gangapur Road, Vaijapur Postal/Zip Code: 423701 Taluka: Vaijapur</t>
  </si>
  <si>
    <t>ward no 10, Dr Lande House, Opp. Madhuganga Patsanshta Bank, Near Gandhi Chouk, Mohapa Postal/Zip Code: 441502 Taluka: Kalameshwar</t>
  </si>
  <si>
    <t>IN FRONT OF HUTATMA SMARAK, PARDHI BUILDING, BRAHMAPURI , BRAHMAPURI Postal/Zip Code: 441206 Taluka: Brahmapuri</t>
  </si>
  <si>
    <t>Pandalkar Niwas , Pandalkar Niwas , Tagadpallewar Chowk, Dhanki Postal/Zip Code: 445207 Taluka: Umarkhed</t>
  </si>
  <si>
    <t>A/p-naitale Borgude Complex II floor Block No6, Borgude Complex Naitale, Naitale Bus Stop near, NAITALE Postal/Zip Code: 422303 Taluka: Niphad</t>
  </si>
  <si>
    <t>579/4 Amruta Sankul Kikvi,At Post-Kikvi ,Tal.-Bhor ,Dist.-Pune-412205 Postal/Zip Code: 412205 Taluka: Bhor</t>
  </si>
  <si>
    <t>21/2 Aai Niwas, Near Old Bus Stand, Talwada, AAI Niwas, Talwada, TALWADA Postal/Zip Code: 431127 Taluka: Georai</t>
  </si>
  <si>
    <t>2,, Satendra Bhavan, New Nagardas Road, MUMBAI Postal/Zip Code: 400069 Taluka: Andheri</t>
  </si>
  <si>
    <t>Gala no. 1, , Ajay Apartment, Kharegaon naka, Old Mumbai-Pune Road,Post:kalwa,, Thane Postal/Zip Code: 400605 Taluka: Thane</t>
  </si>
  <si>
    <t>Budhdhe House Near Bus Stop, Navegao Road, Mandhal Postal/Zip Code: 441210 Taluka: Kuhi</t>
  </si>
  <si>
    <t>Near Jogeshwari Temple Kharsundi, Dhanvantari Building, Kharsundi, KHARSUNDI Postal/Zip Code: 415308 Taluka: Aatpadi</t>
  </si>
  <si>
    <t>SECTOR 2, KHANDA COLONY, NEAR SHIV MANDIR, CIDCO VOCATIONAL TRAINING INSTITUTE Postal/Zip Code: 410206 Taluka: Panvel</t>
  </si>
  <si>
    <t>Near Shivaji Putla , Rajiv Gandhi Shopping Center, Juna Nagar Road, PAITHAN Postal/Zip Code: 431107 Taluka: Paithan</t>
  </si>
  <si>
    <t>PPS CORNER, TAMBENAGAR, BABHALESHWAR ROAD, PRAVARANAGAR Postal/Zip Code: 413712 Taluka: Rahata</t>
  </si>
  <si>
    <t>At.Post. Indapur A. S. &amp; C. College Frant Side ,Pune Solapur Road (Sopan Pawar Building)Shope No. 2 , Indapur Pune - Solapur Road Indapur Dist.Pune Maharashtra Postal/Zip Code: 413106 Taluka: Indapur</t>
  </si>
  <si>
    <t>shop no.20 ,E-2, sector- 20, Ojas Apartment, Thane Belpure road, Airoli , Navi Mumbai Postal/Zip Code: 400708 Taluka: Thane</t>
  </si>
  <si>
    <t>Gala no.1. Ashok apartment, Kap Alley Juna S.T. Stand, Dandekarwadi post office, Bhiwandi Postal/Zip Code: 421302 Taluka: Bhiwandi</t>
  </si>
  <si>
    <t>AT POST BRAMHANI, NEAR KALLBHAIRAV MANDIR Postal/Zip Code: 414105 Taluka: Rahuri</t>
  </si>
  <si>
    <t>MIG plot no. 33 Sagar chowk Vidi Gharkual ,Solapur, padhamnaman nilayam, Hyderabad road, Solapur Postal/Zip Code: 413005 Taluka: Solapur(n)</t>
  </si>
  <si>
    <t>1st Floor, Grampanchayat Shoping Complex, Main Road, Pimpri kh, Tal-Dharangaon.,Dist-Jalgaon Postal/Zip Code: 425104 Taluka: Dharangaon</t>
  </si>
  <si>
    <t>404, JABADE BULDING, GURUWAR PETH, Daphalapur Postal/Zip Code: 416402 Taluka: Jat</t>
  </si>
  <si>
    <t>BAZARPETH KANEDI, OPP-NATIONL CONGRESS OFFICE, SANGVE, KANEDI Postal/Zip Code: 416609 Taluka: Kankavli</t>
  </si>
  <si>
    <t>AT. POST - KHAMGAON, TQ. - PHULAMBRI, BABRA ROAD, KHAMGAON Postal/Zip Code: 431151 Taluka: Fulammbri</t>
  </si>
  <si>
    <t>Behind Highschool, Wangi Postal/Zip Code: 415305 Taluka: Kadegaon</t>
  </si>
  <si>
    <t>S.NO. 5, KAMAL MADHAV APARTMENT , GULMOHAR ROAD, AHMEDNAGAR Postal/Zip Code: 414003 Taluka: Ahmednagar</t>
  </si>
  <si>
    <t>NARSI ROAD, GADGA-NARSI Postal/Zip Code: 431709 Taluka: Naigaon</t>
  </si>
  <si>
    <t>Plot No. 8, Bazar Main Road, Appo. Deshmukha Lay Out, Kondhali., Kondhali, Kondhali Postal/Zip Code: 441103 Taluka: Katol</t>
  </si>
  <si>
    <t>1, KDK College Road, Rajendra Nagar, Plot No 1, KDK College Road, NAGPUR Postal/Zip Code: 440009 Taluka: Nagpur</t>
  </si>
  <si>
    <t>RAJGOLI KHURD KUMBHAR GALLI, MATOSHRI BUILDING, GANGA TEMPLE, RAJGOLI KHURD Postal/Zip Code: 416508 Taluka: Chandgad</t>
  </si>
  <si>
    <t>PHULAMBRI Postal/Zip Code: 431111 Taluka: Fulammbri</t>
  </si>
  <si>
    <t>Success Computers Shop No. 03 Guruprasad Complex Garkheda Area Near Jawahar Nagar Police Station Aurangabad, Postal/Zip Code: 431005 Taluka: Aurangabad</t>
  </si>
  <si>
    <t>A/P Vihe (Vasahat), -, -, Vihe Postal/Zip Code: 415117 Taluka: Patan</t>
  </si>
  <si>
    <t>Near Bus Stand Motala , Malkapur Road ,Motala, Besid Dr.Mahajan/DhanVantari Clinik, Motala, Motala Postal/Zip Code: 443103 Taluka: Motala</t>
  </si>
  <si>
    <t>D-89 , Rameshwar Nivas, Vidyanagar, parli Postal/Zip Code: 431515 Taluka: Parali</t>
  </si>
  <si>
    <t>At/Post Wadigodri Tq- Ambad Dist-Jalna , Near Shri Gurudev Vidya Mandir High School , Aurangabad Beed National Highway Road, Wadigodri Postal/Zip Code: 431205 Taluka: Ambad</t>
  </si>
  <si>
    <t>Kunal Puram, Shop No 4, Building ' G', Opp Alpha Laval,Pune-Mumbai Road, Phugewadi , Building ' G, Pune-Mumbai Rd, Pune Postal/Zip Code: 411012 Taluka: Haveli</t>
  </si>
  <si>
    <t>Tajshree Computer Education Near Sai Mandir, Infront of Poshattiwar Callage Talodhi (Bal) Tal- Nagbhid Dist- Chandrapur, Postal/Zip Code: 441221 Taluka: Nagbhid</t>
  </si>
  <si>
    <t>485/1/10, SAPTASHRUNGI, RAHURI ROAD, SONAI Postal/Zip Code: 414105 Taluka: Nevasa</t>
  </si>
  <si>
    <t>233, Met Gutad, Met Gutad, Met Gutad Postal/Zip Code: 412806 Taluka: Mahabaleshwar</t>
  </si>
  <si>
    <t>Swami Vivekanand Institute of Technology,Junona Chowk,Bypass Road,Babupeth,Chandrapur, Swami Vivekanand Institute of Technology, Junona Road, Chandrapur Postal/Zip Code: 442403 Taluka: Chandrapur</t>
  </si>
  <si>
    <t>Old LIC Building, Tadoba Road,Durgapur, Old L.I.C Building, Tadoba Road, Durgapur Postal/Zip Code: 442401 Taluka: Chandrapur</t>
  </si>
  <si>
    <t>Near Mahalxmi Temple Umbraj no.1 Mahalaxmi Chauk, Jantabhawan, Umbtraj, Junnar Postal/Zip Code: 412412 Taluka: Junnar</t>
  </si>
  <si>
    <t>NEAR NEW POST OFFICE , MAIN ROAD, Angar Postal/Zip Code: 413214 Taluka: Mohol</t>
  </si>
  <si>
    <t>Ganesh Chowk, Bolhegaon Fata, Nagapur, Ahmednagar, Vitthal Smruti , Amit Service Station Raod, Ahmednagar Postal/Zip Code: 414111 Taluka: Ahmednagar</t>
  </si>
  <si>
    <t>Bus Stop, Lohara Po.No.-441902, Ayra Computer, Lohara, LOHARA Postal/Zip Code: 441902 Taluka: Devara</t>
  </si>
  <si>
    <t>AT/POST : GONDE, GONDE - DAPUR ROAD, SINNAR (GONDE) Postal/Zip Code: 422103 Taluka: Sinnar</t>
  </si>
  <si>
    <t>768, Ward No 2, Near BusStand, Main Road, JAMTHI Postal/Zip Code: 425310 Taluka: Bodwad</t>
  </si>
  <si>
    <t>Shop no.3 &amp; Flat No. 9, New Rushikesh Apt, Virat Nagar, Virar (w) 401303 Postal/Zip Code: 401303 Taluka: Vasai</t>
  </si>
  <si>
    <t>2, DR.SHINDE , main road , MADHEWADGAON Postal/Zip Code: 413726 Taluka: Shrigonda</t>
  </si>
  <si>
    <t>Main Road, Old Bus Stand Postal/Zip Code: 413544 Taluka: Shirur Anantpal</t>
  </si>
  <si>
    <t>Lane No.17, Indira Nagar, New Baijipura, Aurangabad Postal/Zip Code: 431001 Taluka: Aurangabad</t>
  </si>
  <si>
    <t>Main Road, Pnachavati, Katol, Plot No 152, Jalajkheda Main Road, Katol Postal/Zip Code: 441302 Taluka: Katol</t>
  </si>
  <si>
    <t>Sr. No.09, Laxman Nivas, Tapovan Mandir Road, Pimpri, Pune 411017 Postal/Zip Code: 411017 Taluka: Haveli</t>
  </si>
  <si>
    <t>NEAR VISHWASHANTI JU.COLLEGE AT POST KUNGHDA(RAI), VIJAY GANGADHAR JOSHI , KUNGHADA(RAI), KUNGHADA(RAI) Postal/Zip Code: 442603 Taluka: Chamorshi</t>
  </si>
  <si>
    <t>Main Road JUNA Bus Stand Asgaon, At+post - Asgaon,, Borkar Complex Main Road Asgaon, ASGAON, ASGAON Postal/Zip Code: 441910 Taluka: Pavni</t>
  </si>
  <si>
    <t>Janata vasahat, Samarth Classes, Parvati, Pune Postal/Zip Code: 411009 Taluka: Haveli</t>
  </si>
  <si>
    <t>Shop 14/4,.,S.G. Porbandarwala Chawl, Chirag Nagar, Taj Classes, L.B.S. Marg, , Ghatkopar Postal/Zip Code: 400086 Taluka: Kurla</t>
  </si>
  <si>
    <t>Shramik Nivas, Grampanchayat Road Postal/Zip Code: 413513 Taluka: Chakur</t>
  </si>
  <si>
    <t>SHETKARI VIKAS SANSTHA DHANURI AT PO DHANURI TQ LOHARA DIST OSMANABAD-413604, Vidyamata, AT PO DHANURI TQ LOHARA DIST OSMANABAD, Dhanori Postal/Zip Code: 413604 Taluka: Lohara</t>
  </si>
  <si>
    <t>gut no 17/1 b, dadaso amrutrao chidhuji patil mdhyamik vidyalay, mohadi road, Rotwad Postal/Zip Code: 425114 Taluka: Jalgaon</t>
  </si>
  <si>
    <t>MAIN ROAD , KINGONRAJA, TQ. SHINDHKHEDRAJA, DIST. BULDANA, MAIN ROAD , KINGONRAJA, TQ. SHINDHKHEDRAJA, DIST. BULDANA, KINGAONRAJA, Kingaonraja Postal/Zip Code: 443203 Taluka: Sindakhed raja</t>
  </si>
  <si>
    <t>A/p Bajarbhogaon, "Satapsara" Bldg., Main Road,Bajarpeth, Bajarbhogaon Postal/Zip Code: 416205 Taluka: Panhala</t>
  </si>
  <si>
    <t>Nr. Pandit Hospital Bhanas Hivare, main peth, Bhanas Hivare, Bhanas Hivare, Ahmednagar Postal/Zip Code: 414609 Taluka: Nevasa</t>
  </si>
  <si>
    <t>1154, Vasant Dhondiram Shendge, Ambajogai road, Adas, At-post Adas, Adas Postal/Zip Code: 431517 Taluka: Kaij</t>
  </si>
  <si>
    <t>Flat-1-A, Chiman Nivas , Gopal Lane M G Road, Ghatkopar-West Postal/Zip Code: 400086 Taluka: Kurla</t>
  </si>
  <si>
    <t>Near, Z P High School, Bazarsavangi, AURANGABAD Postal/Zip Code: 431101 Taluka: Khulatabad</t>
  </si>
  <si>
    <t>Shop No. 2, Shivmaya Complex, Chetana Colony, Navnagapur, MIDC, Ahmednagar Postal/Zip Code: 414111 Taluka: Ahmednagar</t>
  </si>
  <si>
    <t>Ground Flower, Shop No. 4,5,6, Rajesh Complex, Behind S. T. Stand, Vita, VITA Postal/Zip Code: 415311 Taluka: Khanapur</t>
  </si>
  <si>
    <t>At post Bela, Ward No. 6,, Dhanashree, Bela, Bela Postal/Zip Code: 441108 Taluka: Umred</t>
  </si>
  <si>
    <t>S. NO. 461/A, A/P-Khanapur, Tal-Junnar, Dist-Pune, Shivneri Foundation, Khanapur, Narayangaon-Junnar Raod, JUNNAR Postal/Zip Code: 410502 Taluka: Junnar</t>
  </si>
  <si>
    <t>1/2, Om Shiv Premises, J. M. Road, Bhandup-west Postal/Zip Code: 400078 Taluka: Kurla</t>
  </si>
  <si>
    <t>Plot No 337, Dhammasankul, , Uttam Nagar, Mahadevkhori Road, Amravati Postal/Zip Code: 444606 Taluka: Amravati</t>
  </si>
  <si>
    <t>76,5 TH FLOOR,KUNAL PLAZA,CHINCHWAD, KUNAL PLAZA, MUMBAI-PUNE HIGHWAY, CHINCHWAD Postal/Zip Code: 411019 Taluka: Pune City</t>
  </si>
  <si>
    <t>AT POST LONI, , NEAR GRAMPANCHYAT, LONI, LONI Postal/Zip Code: 410510 Taluka: Ambegaon</t>
  </si>
  <si>
    <t>Plot No 32 Shri Swami Samrth Nagar Mandrup, Building, Post Office Mandrup, Mandrup Postal/Zip Code: 413221 Taluka: Solapur(s)</t>
  </si>
  <si>
    <t>Shop No :-9, C &amp; D Wing, , Arihant Riddhi Siddhi Chs,, Plot No 24,Sect 07, GHANSOLI Postal/Zip Code: 400701 Taluka: Thane</t>
  </si>
  <si>
    <t>Late.Adv.B.S.khanke Premises,Khankewadi,Yamuna Nagar,Tadoba Road,Tukum, Khankewadi, Chandrapur, Chandrapur Postal/Zip Code: 442401 Taluka: Chandrapur</t>
  </si>
  <si>
    <t>NEAR BUS STAND, VAVIKAR BUILDING, MAIN ROAD, DEOGAON TAL-NIPHAD DIST NASHIK Postal/Zip Code: 422305 Taluka: Niphad</t>
  </si>
  <si>
    <t>777 Shantai Lane No. 3 At.Post.Kusumba, Shantai, Lane no.3, kusumba Postal/Zip Code: 424302 Taluka: Dhule</t>
  </si>
  <si>
    <t>Siddharth Academy, Siddharth Art's, Commerce &amp; Science College , Chikli Road, Jaffarabad Postal/Zip Code: 431206 Taluka: Jaffarabad</t>
  </si>
  <si>
    <t>Dr. Babasaheb Ambedkar Institute of Information Technology, Nalanda Manegement &amp; Computer Science College , Jalgoan Road , Hudco N-11, Jalgoan Road, Aurangabad Postal/Zip Code: 431119 Taluka: Aurangabad</t>
  </si>
  <si>
    <t>2ND FLOOR, DHURU BUILDING, GOKHALE(NORTH) ROAD, MUMBAI Postal/Zip Code: 400028 Taluka: Mumbai</t>
  </si>
  <si>
    <t>Shop no 5 &amp; 7, Ground Floor, Shreeram Apartment, Mumbai-goa high way, Bharne Naka, KHED Postal/Zip Code: 415621 Taluka: Khed</t>
  </si>
  <si>
    <t>Bhagawantrao Plaza, first floor, near gurudwara, mahakali ward, chandrapur Postal/Zip Code: 442402 Taluka: Chandrapur</t>
  </si>
  <si>
    <t>1st floor,above bahubali auto parts,opp mukund hospital,andheri kurla road,andheri east, marol pipeline, andheri kurla road, Mumbai Postal/Zip Code: 400059 Taluka: Andheri</t>
  </si>
  <si>
    <t>B wing 2nd Floor, Trade Centre, Bazarpeth road, Chiplun Postal/Zip Code: 415605 Taluka: Chiplun</t>
  </si>
  <si>
    <t>A/P Tembhurni, Karamala Chowk, Tal:Madha,Dist:Solapur, Nevase House, Karamal Chowk, Tembhurni Postal/Zip Code: 413211 Taluka: Madha</t>
  </si>
  <si>
    <t>Shop No. 6, Siddhivinayak Plaza, Shil Road, DIVA STATION (E) Postal/Zip Code: 400612 Taluka: Thane</t>
  </si>
  <si>
    <t>Smruti Vyapar Sankul 1st floor, Nr. Veternary Hospital, Mul Road, Chamorshi Post office, Chamorshi Postal/Zip Code: 442603 Taluka: Chamorshi</t>
  </si>
  <si>
    <t>Vakharbhag, In front of Bank of Baroda, Modern Computers, Amrai road, Sangli Postal/Zip Code: 416416 Taluka: Miraj</t>
  </si>
  <si>
    <t>Shop No 109,105, O.p.Commerce Center, O.P.Commerce Center, Jesal Park, BHAYANDER EAST Postal/Zip Code: 401105 Taluka: Thane</t>
  </si>
  <si>
    <t>Nr. Bus Stop, Main Road, Sangadi, Sangadi Postal/Zip Code: 441802 Taluka: Sakoli</t>
  </si>
  <si>
    <t>At Post Shendre, Shendre Phata, Shendre, Satara Postal/Zip Code: 415519 Taluka: Satara</t>
  </si>
  <si>
    <t>AT POST SHRAVAN BAZARPETH SHRAVAN, HOUSE No 342, SHRAVAN, SHRAVAN Postal/Zip Code: 416614 Taluka: Malvan</t>
  </si>
  <si>
    <t>0, Maauli Niwas, Patne, Malegaon Postal/Zip Code: 423203 Taluka: Malegaon</t>
  </si>
  <si>
    <t>1, Ghodke Complex, Main Road Postal/Zip Code: 413523 Taluka: Ahmadpur</t>
  </si>
  <si>
    <t>Parth Computer, Parth Computer, Main Road, Pipalgaon Raja Postal/Zip Code: 444306 Taluka: Khamgaon</t>
  </si>
  <si>
    <t>Plot No. 937/Sr. No. 65 B , Indira Nagar, Behind New English School Akkalkuwa Tal- Akkalkuwa Dist- Nandurbar, Dhruv Infotech, Akkalkuwa, AKKALKUWA Postal/Zip Code: 425415 Taluka: Akkalkuva</t>
  </si>
  <si>
    <t>102, navrang shopping arcade, gokhale road, Thane Postal/Zip Code: 400602 Taluka: Thane</t>
  </si>
  <si>
    <t>Adarsh Computer Computer Institute Peth Near Bus Stand , At Post Tahshil Peth, Dist. Nashik Postal/Zip Code: 422208 Taluka: Peth</t>
  </si>
  <si>
    <t>Gandhi Chowk , Shivankar Medical, Main Road, Tigaon Postal/Zip Code: 441902 Taluka: Amgaon</t>
  </si>
  <si>
    <t>paith gally bori Postal/Zip Code: 431508 Taluka: Jintur</t>
  </si>
  <si>
    <t>NAGINABAG, NR.SHUBHMANGAL KARYALAYA ,B/O SAWARI BANGLOW CHANDRAPUR, AS ABOVE, NAGINABAG, CHANDRAPUR Postal/Zip Code: 442401 Taluka: Chandrapur</t>
  </si>
  <si>
    <t>SHIVNE COMPLEX MAIN ROAD, NEW BUS STAND Postal/Zip Code: 413544 Taluka: Shirur Anantpal</t>
  </si>
  <si>
    <t>S.NO.347, KALAMJAI NIWAS, WADA, PUNE Postal/Zip Code: 412402 Taluka: Khed</t>
  </si>
  <si>
    <t>Shop No.1, Ganga Image,, Pandharpur Road, Akluj Postal/Zip Code: 413101 Taluka: Malshiras</t>
  </si>
  <si>
    <t>-, 450q pt, AmbikanagarBaradgon , Ambikanagar/postBardgonesu Postal/Zip Code: 414403 Taluka: Karjat</t>
  </si>
  <si>
    <t>At anusaya apt.room no 31/32 ,anat nagar,talavpali road,ghansoli.navi mumbai.400701 Postal/Zip Code: 400701 Taluka: Thane</t>
  </si>
  <si>
    <t>A/P:- Waki Tal :- Baramati,Dist:- Pune 412306, Near New English School ,Waki, Waki, Waki Postal/Zip Code: 412306 Taluka: Baramati</t>
  </si>
  <si>
    <t>664, 2, Post. Pimpalgaon, Pimpalgaon Postal/Zip Code: 416209 Taluka: Bhudargad</t>
  </si>
  <si>
    <t>PLOT NO 26, LAL BAHADUR SHASTRI NAGAR, DAHITANE , HYD ROAD, SOLAPUR, SAI BABA VIDYA MANDIR, DAHITANE, MIDC, solapur Postal/Zip Code: 413006 Taluka: Solapur(n)</t>
  </si>
  <si>
    <t>ramnagar, near T.B. Hospital, Behind Durga Mata Mandir, Sindhi Colony , chandrapur Postal/Zip Code: 442401 Taluka: Chandrapur</t>
  </si>
  <si>
    <t>3, Rajarhree Shahu Maharaj Complex, Rajiv Gandhi Nagar, thane Postal/Zip Code: 400604 Taluka: Thane</t>
  </si>
  <si>
    <t>CHATRAPATI COMPLEX, POONA ROAD, KARMALA, KARMALA, KARMALA, KARMALA Postal/Zip Code: 413203 Taluka: Karmala</t>
  </si>
  <si>
    <t>PLOT NO. 95, RAJ XEROX BUILDINGS BASEMENT, HARSUL ROAD, RAUZA BAUGH,, AURANGABAD Postal/Zip Code: 431001 Taluka: Aurangabad</t>
  </si>
  <si>
    <t>1st Floor, Classic Arcade, , Bhandari Hospital Road, Talegaon Dabhade Postal/Zip Code: 410506 Taluka: Maval</t>
  </si>
  <si>
    <t>SHOP NO.7-9, DWARKA APARTMENT,OPP.DHANWANTARI HOSPITAL, STATION ROAD, BADLAPUR Postal/Zip Code: 421503 Taluka: Ambarnath</t>
  </si>
  <si>
    <t>SUJAYNAGAR, NAKA NO.1, SATYAJEET, NAKA NO.1, AKLUJ Postal/Zip Code: 413101 Taluka: Malshiras</t>
  </si>
  <si>
    <t>PRERNA BAHU-UDDESHIYA SANSTHA'S' SHREE COMPUTER,A/PO.BOARGAON ,07 PAWAR NIVAS,BEHIND HANUMAN TEMPLE,ABHONA ROAD., 07 PAWAR NIVAS, ABHONA ROAD, BORGAON Postal/Zip Code: 422211 Taluka: Surgana</t>
  </si>
  <si>
    <t>sai computers, sindhi camp karanja lad , sindhi camp karanja lad, vidhyabharti college road, karanja Postal/Zip Code: 444105 Taluka: Karanja</t>
  </si>
  <si>
    <t>SHOP NO 8, ARIHANT TOWERS, JUNA MALNAKA, RATNAGIRI Postal/Zip Code: 415612 Taluka: Ratnagiri</t>
  </si>
  <si>
    <t>7B/1, DEONAR BAUG, KUMUD VIDYA MANDIR, DEONAR, MUMBAI Postal/Zip Code: 400088 Taluka: Kurla</t>
  </si>
  <si>
    <t>Shiradhon Gramin Bigar Sheti Sahkari pat Shantha, Near main Road, Shiradhon TQ KALAMB DIST OSMANABAD Postal/Zip Code: 413528 Taluka: Kalamb</t>
  </si>
  <si>
    <t>building no. 16, above hamal kamgar nagari sahakari patsanstha, near marketyard last bus stop, pune, hamal kamgar nagari sahakari patsanstha, near marketyard last bus stop, pune Postal/Zip Code: 411037 Taluka: Haveli</t>
  </si>
  <si>
    <t>NEAR NEW BUS STAND, BODHANKAR SHOP, HINGOLI ROAD, Aundha Nagnath Postal/Zip Code: 431705 Taluka: Audha Naganath</t>
  </si>
  <si>
    <t>2nd FLOOR, KAMALA CORNER,885,POWER HOUSE CHOUK,CHINCHWAD, KAMALA CORNER, POWER HOUSE CHOUK, PUNE Postal/Zip Code: 411033 Taluka: Haveli</t>
  </si>
  <si>
    <t>Patilpada, Tal-Talasari, Dist-Thane, Pin. 401606, Adivasi Pragati Mandal Sanchalit Com. GSP college of Arts, Commerce and Science, Talasari , Talasari-Udhava Road, Talasari, Talasari Postal/Zip Code: 401606 Taluka: Talasari</t>
  </si>
  <si>
    <t>Bomble Complex, Near SBI ATM, Wani Road, Ghugus. Postal/Zip Code: 442505 Taluka: Chandrapur</t>
  </si>
  <si>
    <t>Flat No S-3, Vedika Heights, Shivaji Road, MIRAJ Postal/Zip Code: 416410 Taluka: Miraj</t>
  </si>
  <si>
    <t>Om Computers SPT Market,, Ghat Road, Immamwada, Nagpur Postal/Zip Code: 440003 Taluka: Nagpur</t>
  </si>
  <si>
    <t>office no. 08, Upendra bladg, Above Mahalaxmi Hotel, Station road Kalyan (west), Upendra bladg, , Station Road , KALYAN Postal/Zip Code: 421301 Taluka: Kalyan</t>
  </si>
  <si>
    <t>Shyam Nagar, 12 number Pati, Barshi Road Postal/Zip Code: 413531 Taluka: Latur</t>
  </si>
  <si>
    <t>C/o Grampanchyat Office a/pDeolapar, Tah - Ramtek, Dist-Nagpur- 441401, House No.167 Word No.2, Deolapar, DEOLAPAR Postal/Zip Code: 441401 Taluka: Ramtek</t>
  </si>
  <si>
    <t>GADEKAR COMPLEX GALA NO:2 Postal/Zip Code: 413115 Taluka: Baramati</t>
  </si>
  <si>
    <t>C/o UDARAMJI NERKAR, NEAR BUS-STOP, at post- Fetri, C/o ASHOK NERKAR, NEAR BUS-STOP, at post- Fetri, Fetri, Fetri Postal/Zip Code: 441501 Taluka: Nagpur Rural</t>
  </si>
  <si>
    <t>A/p Pimpri(BK),Sirsala Pohner Road, Mahesh Niwas, Pimpri(BK). Postal/Zip Code: 431128 Taluka: Parali</t>
  </si>
  <si>
    <t>House no. 649, Gala No 1,Mr. Vishnu Sonba Patil's house, MainRoad, Kapileshwar, Kolhapur Postal/Zip Code: 416208 Taluka: Radhanagari</t>
  </si>
  <si>
    <t>LAVEL VIBHAG SHIKSHAN PRASARAK MANDAL'S LATE ANNASAHEB BEHARAY JR. COLLEGE,LAVEL, LATE ANNASAHEB BEHARAY JR.COLLEGE, MUMBAI-GOA HIGHWAY, DABHIL Postal/Zip Code: 415708 Taluka: Khed</t>
  </si>
  <si>
    <t>Gala No. 01, 02, Thakur Sadan, Dighode, Dighode Postal/Zip Code: 400702 Taluka: Uran</t>
  </si>
  <si>
    <t>Turke Complex Pusan Naka Hingoli Road Washi. 444505, Turke Complex Pusad Naka., Pusa Naka, Hingoli Road., WASHIM Postal/Zip Code: 444505 Taluka: Washim</t>
  </si>
  <si>
    <t>674, Suresh Anna Chougale, Adat Line, Peth vadgaon Postal/Zip Code: 416112 Taluka: Hatkanangale</t>
  </si>
  <si>
    <t>C/O Marutiappa Kothale, , Near Renuk Vidhalaya, Main Road, Bardapur Postal/Zip Code: 431517 Taluka: Ambejogai</t>
  </si>
  <si>
    <t>C/o Jagade P.H. Janpriy Colony, Karegaon road, near Ughada Mahadev, Parbhani Postal/Zip Code: 431401 Taluka: Parbhani</t>
  </si>
  <si>
    <t>First Floor , Ganesh Bhawan near Chaya Chavi Photo Studio , Dr.Ambedkar Marg, Nagpur Postal/Zip Code: 440017 Taluka: Nagpur</t>
  </si>
  <si>
    <t>Office No.1,Ground Floor,, Shiv Kripa,Bhakti Bhawan Lane, Sindhi Society, Chembur,Mumbai Postal/Zip Code: 400071 Taluka: Kurla</t>
  </si>
  <si>
    <t>Shop No. S-6 &amp; S-7, Apartment No-2, Bhosale Nagar, Opposite Sakkardara Lake, Nagpur Postal/Zip Code: 440024 Taluka: Nagpur</t>
  </si>
  <si>
    <t>413525, D.Ed. Collage Road,Near PHC, Terkheda , D.Ed.Collage Road, TERKHEDA Postal/Zip Code: 413525 Taluka: Vaashi</t>
  </si>
  <si>
    <t>No.2708, SHIVDARSHAN COMPLEX, KHANAPUR ROAD, VITA Postal/Zip Code: 415311 Taluka: Khanapur</t>
  </si>
  <si>
    <t>Tandapeth,New Area, Near kamble Floor Mill, Besides Sharda Mata Temple, tandapeth nagpur-17, Ambedkar post , Nagpur Postal/Zip Code: 440017 Taluka: Nagpur</t>
  </si>
  <si>
    <t>01, MOTHE BARGAN , PAN MARKET, AKOT Postal/Zip Code: 444101 Taluka: Akot</t>
  </si>
  <si>
    <t>07., 08., Ground Floor.,, Hari Darshan Appartment, Kamal Nagar, SHAHAPUR Postal/Zip Code: 421601 Taluka: Shahapur</t>
  </si>
  <si>
    <t>63, Ali Nagar, Khoja Colony Road, NANDED Postal/Zip Code: 431604 Taluka: Nanded</t>
  </si>
  <si>
    <t>A/p mahalunge (Ingale), Near Sai Resturant, chakan - Talegaon road,Tal- khed,Dist- Pune. Pin-410501 Postal/Zip Code: 410501 Taluka: Khed</t>
  </si>
  <si>
    <t>Sathe Chouk Sastur, Grampanchayat Complex - 106, Sastur, Sastur Postal/Zip Code: 413606 Taluka: Lohara</t>
  </si>
  <si>
    <t>ward no 2, S.S.Kayate , Near ZP School, Dhanora Postal/Zip Code: 442606 Taluka: Dhanora</t>
  </si>
  <si>
    <t>101, PANSI HOUSE, NEAR PRAYAG CHS NO:4, LOKDHARA PHASE - 1, KATEMANEVLI, KALYAN Postal/Zip Code: 421306 Taluka: Kalyan</t>
  </si>
  <si>
    <t>AT PO NAIGAON DATTAPUR, AT NAIGAON DATTAPUR, JANEPHAL ROAD, NAIGAON DATTAPUR Postal/Zip Code: 443301 Taluka: Mehekar</t>
  </si>
  <si>
    <t>2350,QAZIPURA MASJID , MAIN ROAD, QAZIPURA MASJID COMPLEX, Yaval Postal/Zip Code: 425301 Taluka: Yaval</t>
  </si>
  <si>
    <t>Kautuk Complex,Ground floor,Shop No, Kautuk Complex, Ulka nagri, Aurangabad Postal/Zip Code: 431005 Taluka: Aurangabad</t>
  </si>
  <si>
    <t>bajarpeth, bajarpeth road, Road, PUNTAMBA Postal/Zip Code: 413707 Taluka: Rahata</t>
  </si>
  <si>
    <t>At. Sawangi Mha Bhutcolony Murumkheda Old Bustant Road Post. YELDARI CAMP Postal/Zip Code: 431510 Taluka: Jintur</t>
  </si>
  <si>
    <t>Plot No. 25, 'Sat-Chit-Anand', Shankar Nagar, Nagpur Postal/Zip Code: 440010 Taluka: Nagpur</t>
  </si>
  <si>
    <t>SHOP NO 11, , UTTAMPLAZA, KHARADI-HADAPSAR BYPASS, KHARADI Postal/Zip Code: 411014 Taluka: Haveli</t>
  </si>
  <si>
    <t>A-TYPE,17/4, ASSET COMPUTER EDUCATION,NEXT TO DATTA MANDIR, BHANTIA SCHOOL ROAD, NEW PANVEL Postal/Zip Code: 410206 Taluka: Panvel</t>
  </si>
  <si>
    <t>2nd floor, office no 24 &amp; 25, lifescape nilay, Dr. babasaheb jaykermarg, Mumbai Postal/Zip Code: 400002 Taluka: Mumbai</t>
  </si>
  <si>
    <t>Highscool Road, Near Hanuman Mandir, Desing, Desing Postal/Zip Code: 416410 Taluka: Kavathe Mahakal</t>
  </si>
  <si>
    <t>Plot No1/8, VISHWA AUTOMOBAIL, A.NAGAR AURANGABAD ROAD, GHODEGAON Postal/Zip Code: 414607 Taluka: Nevasa</t>
  </si>
  <si>
    <t>AT.PO.NANDUR GHAT TQ.KAIJ DIST.BEED, AT.PO.NANDUR GHAT TQ.KAIJ DIST.BEED, NEAR HANUMAN MANDIR, KAIJ Postal/Zip Code: 431126 Taluka: Kaij</t>
  </si>
  <si>
    <t>504, main school building, Rao Saheb Pandit Marg, Panchgani Postal/Zip Code: 412805 Taluka: Mahabaleshwar</t>
  </si>
  <si>
    <t>A/p Kadus, Near Bank of Maharashtra, Kadus, KADUS Postal/Zip Code: 412404 Taluka: Khed</t>
  </si>
  <si>
    <t>Netaji Square, Sai Computers, Babupeth, chandrapur Postal/Zip Code: 442403 Taluka: Chandrapur</t>
  </si>
  <si>
    <t>Shop No. 10, Plot No. 2, Sector No. 2, Nerul (W), NAVI MUMBAI Postal/Zip Code: 400706 Taluka: Thane</t>
  </si>
  <si>
    <t>23, RD NO. 14, VISHWAKARMA NAGAR, PO- PARVATI NAGAR, Nagpur Postal/Zip Code: 440027 Taluka: Nagpur</t>
  </si>
  <si>
    <t>PLOT NO.15,SARVE NO.35, NEAR RAILWAY GATE, COLOUR FACTORY, MAIN ROAD, MUKUND NAGAR, AURANGABAD Postal/Zip Code: 431003 Taluka: Aurangabad</t>
  </si>
  <si>
    <t>655, Arnala Killa Rd, Arnala, VIRAR Postal/Zip Code: 401302 Taluka: Vasai</t>
  </si>
  <si>
    <t>Near ST Stand, Near Bharati Gramin Vikas Bhavan , KARAD VITA ROAD, Kadegaon Postal/Zip Code: 415304 Taluka: Kadegaon</t>
  </si>
  <si>
    <t>Near Vikas Society, Bajarpeth, Main Road, Ankalkhop Postal/Zip Code: 416316 Taluka: Palus</t>
  </si>
  <si>
    <t>Shriram Plaza,Shiwaji Chauk,Jafrabad Postal/Zip Code: 431206 Taluka: Jaffarabad</t>
  </si>
  <si>
    <t>NAGAR PARISHAD COMPLEX, NEAR SHIVAJI PARK PARISHAD BLOCK NO.19, NAGAR PARIHSAD KANNAD, KANNAD, Kannad Postal/Zip Code: 431103 Taluka: Kannad</t>
  </si>
  <si>
    <t>Block No.-2, Bagwan Complex, Ring Road, Ekmat Chouk Postal/Zip Code: 413512 Taluka: Latur</t>
  </si>
  <si>
    <t>12, RUBY TOWER, SAHAKAR ROAD, MUMBAI Postal/Zip Code: 400102 Taluka: Andheri</t>
  </si>
  <si>
    <t>Gat No.1446, Nr.Smruti Mangal Karyalaya,Mehtrewadi, Chikhali, pcmc Postal/Zip Code: 412114 Taluka: Haveli</t>
  </si>
  <si>
    <t>ROHIT NIWAS, Z.P SCHOOL MAIN ROAD MANTHA Postal/Zip Code: 431504 Taluka: Mantha</t>
  </si>
  <si>
    <t>Agarkar Road, Nr. Bus Stand, Andhalgaon, Andhalgaon Postal/Zip Code: 441914 Taluka: Mohadi</t>
  </si>
  <si>
    <t>Dhamod, Tal:- Radhanagari Dist:- Kolhapur, Dhamod, Tal:- Radhanagari Dist:- Kolhapur, Main Road, KOLHAPUR Postal/Zip Code: 416211 Taluka: Radhanagari</t>
  </si>
  <si>
    <t>571, 2/10, , shri ram yadav chawl, samrath wadi, hanuman nagar,, akurli road, MUMBAI Postal/Zip Code: 400101 Taluka: Boriwali</t>
  </si>
  <si>
    <t>Ramkrushna Nagar, Behind Shriram Bhawan, Tumsar, Tumsar Postal/Zip Code: 441912 Taluka: Tumsar</t>
  </si>
  <si>
    <t>at post nimbodi ,jk road, infront of DMR, jk road,post nimbodi, AHMEDNAGAR Postal/Zip Code: 414001 Taluka: Ahmednagar</t>
  </si>
  <si>
    <t>2-2-1, pradnya vihar, Station Road, Mudkhed Postal/Zip Code: 431806 Taluka: Mudkhed</t>
  </si>
  <si>
    <t>At-Kalewadi, Kale Colony, Post- Charholi BK, (Alandi devachi),Alandi -pune road, Pune Postal/Zip Code: 412105 Taluka: Haveli</t>
  </si>
  <si>
    <t>140, junawane niwas, near Aundh bhaji mandai , PUNE Postal/Zip Code: 411007 Taluka: Haveli</t>
  </si>
  <si>
    <t>Flat no.7,,First floor, Shriram complex, Gurudwara Square, Gate no.1. Nanded, Gate no.1, Nanded Postal/Zip Code: 431601 Taluka: Nanded</t>
  </si>
  <si>
    <t>serve no. 1002, Sawant Building, Burli Road, Kiloskarwadi Postal/Zip Code: 416308 Taluka: Palus</t>
  </si>
  <si>
    <t>ABOVE YADAVPATIL KRUSHI KENDRA, SWAMI SAMARTH CHOUK, MAIN ROAD, MODNIMB Postal/Zip Code: 413301 Taluka: Madha</t>
  </si>
  <si>
    <t>KORE GALLI NEAR BUS STAND, KORE GALLI, NEAR BUSSTAND, RANI SAWARGAON Postal/Zip Code: 431536 Taluka: Gangakhed</t>
  </si>
  <si>
    <t>1, Venubai Complex, Nager Kalyan road , ANE Postal/Zip Code: 412410 Taluka: Junnar</t>
  </si>
  <si>
    <t>At Post Pahur, Kasaba, Jalgaon Rd, PAHUR Postal/Zip Code: 424205 Taluka: Jamner</t>
  </si>
  <si>
    <t>Shri Rameshwar Lane, Opp. Balaji Temple, Wari Postal/Zip Code: 413708 Taluka: Kopargaon</t>
  </si>
  <si>
    <t>88/727, GROUND FLOOR, "SHIVANI BUILDING", SHAHU COLLEGE ROAD, LAXMI NAGAR, PUNE Postal/Zip Code: 411009 Taluka: Pune City</t>
  </si>
  <si>
    <t>Dodamarg Bajarpeth, , Shital Computer Education, Dodamarg, DODAMARG Postal/Zip Code: 416512 Taluka: Doda sara</t>
  </si>
  <si>
    <t>5, THAKUR ESTATE, SCOUT CAMP ROAD, MUMBAI Postal/Zip Code: 400102 Taluka: Andheri</t>
  </si>
  <si>
    <t>1, pimpalache patangan, shivaji chaowk, KOLGAON Postal/Zip Code: 413728 Taluka: Shrigonda</t>
  </si>
  <si>
    <t>MAIN ROAD KARJAT-NAGAR , SHEWALE BUILDING , KARJAT-NAGAR MAIN ROAD , KARJAT Postal/Zip Code: 414402 Taluka: Karjat</t>
  </si>
  <si>
    <t>874/1 Ladsawangi Road, Karmad Dist Aurangabad Postal/Zip Code: 431007 Taluka: Aurangabad</t>
  </si>
  <si>
    <t>PUNE- NAGAR ROAD, BAKORI PHATA, WAGHOLI, Wagholi Postal/Zip Code: 412207 Taluka: Haveli</t>
  </si>
  <si>
    <t>F/3, KALPITA COMMERCIAL INSTITUTE, SWAMI NITYANAND MARG, 400069 Postal/Zip Code: 400069 Taluka: Andheri</t>
  </si>
  <si>
    <t>M.NO.104, JAGDAMBA INFOTECH,M.NO 104,KHARAT NIVAS,MAIN ROAD TALNI, TALNI, Talni Postal/Zip Code: 431504 Taluka: Mantha</t>
  </si>
  <si>
    <t>At Post Kangaon, Bazar Chowk, Kangaon, KANGAON Postal/Zip Code: 440001 Taluka: Hinganghat</t>
  </si>
  <si>
    <t>Mail Road, Tadkalas, Main Road, TADKALAS Postal/Zip Code: 431402 Taluka: Purna</t>
  </si>
  <si>
    <t>AT POST JALALKHEDA, TAL NARKHED, JALALKHEDA, JALALKHEDA Postal/Zip Code: 441301 Taluka: Narkhed</t>
  </si>
  <si>
    <t>GANESHNAGAR, NEAR Dr. ZAKIR HUSAIN COLLEGE, KHANDOBAZAR ROAD, PARBHANI Postal/Zip Code: 431401 Taluka: Parbhani</t>
  </si>
  <si>
    <t>H No. 1435, Near Deval Colony , Savant Infosys, Miraj - Vijapur Road, Mhaisal Postal/Zip Code: 416409 Taluka: Miraj</t>
  </si>
  <si>
    <t>Shop No 3, Mokal House, Hashiware, Alibag Postal/Zip Code: 402209 Taluka: Alibag</t>
  </si>
  <si>
    <t>Ghar No.593,Shriram Nagar,Dharangaon Raod.Pimpri Tal-Dharangaon Dist-Jalgaon Postal/Zip Code: 425104 Taluka: Dharangaon</t>
  </si>
  <si>
    <t>234, Agarwal House, Thakurdwar Road,B.J.Marg, Near Charni Road Station, Mumbai Postal/Zip Code: 400002 Taluka: Mumbai</t>
  </si>
  <si>
    <t>34/5B/23/9/2, Battul Classes, New Paccha Peth, Solapur Postal/Zip Code: 413006 Taluka: Solapur(n)</t>
  </si>
  <si>
    <t>A/P- Bondale , Tal- Malshias , Dist- Solapur, sanjayshri, Bondale , , BONDALE Postal/Zip Code: 413113 Taluka: Malshiras</t>
  </si>
  <si>
    <t>C/o. Baby Bawankar, New Futala, Opp Priyadarshini N.M.C. School, Amravati Road, Nagpur Postal/Zip Code: 440033 Taluka: Nagpur</t>
  </si>
  <si>
    <t>SHOP NO 7, MORYA CORNER, YASHWANT NAGAR , Talegaon Dabhade Postal/Zip Code: 410507 Taluka: Maval</t>
  </si>
  <si>
    <t>GOKUL COMPLEX SAMBHAJI CHOWK, MARTALA KANDHAR ROAD, MARTALA, MARTALA Postal/Zip Code: 431602 Taluka: Loha</t>
  </si>
  <si>
    <t>kat kat gate road,roshan gate area,, AURANGABAD Postal/Zip Code: 431001 Taluka: Aurangabad</t>
  </si>
  <si>
    <t>Basement, Durga Apartment, Below Pudhari Bhavan, Nagar Manmand Road, Ahmednagar Postal/Zip Code: 414003 Taluka: Ahmednagar</t>
  </si>
  <si>
    <t>457, Yogeshwar Nagar, Vidi Gharkul, SOLAPUR Postal/Zip Code: 413006 Taluka: Solapur(n)</t>
  </si>
  <si>
    <t>Shop No. 1, Swami CHS, Opp. Ekveera Darshan CHS, Samarth Nagar,, Nandivali Tekdi Road, Nandivali gaon Postal/Zip Code: 421201 Taluka: Kalyan</t>
  </si>
  <si>
    <t>Lane No. 4, Mukhtar Complex, Agra Road, Beside Noorani Masjid, Deopur, Dhule Postal/Zip Code: 424002 Taluka: Dhule</t>
  </si>
  <si>
    <t>A/P Marul Heveli , Kamalanand Niwas, Marul Heveli, Marul Haveli Postal/Zip Code: 415212 Taluka: Patan</t>
  </si>
  <si>
    <t>At Post.Chincholi ( Limbaji L ), Kannad Road, Chincholi, chincholi Postal/Zip Code: 114317 Taluka: Kannad</t>
  </si>
  <si>
    <t>NEAR S.T. STAND KUNDAL, ANJU NIVAS, KUNDAL, KUNDAL Postal/Zip Code: 416309 Taluka: Palus</t>
  </si>
  <si>
    <t>Moreshwar premises, opp.sai baba mandir, ajadegaon, sudarshan nagar, dombivali, east, Moreshwar premises,, Tilak nagar post office, Dombivali Postal/Zip Code: 421201 Taluka: Kalyan</t>
  </si>
  <si>
    <t>Main Road, Nr. Little Rose Convent, Ward No. 3 ,, Nr. Little Rose Convent, nagbhid post office, Nagbhid Postal/Zip Code: 441205 Taluka: Nagbhid</t>
  </si>
  <si>
    <t>GLOBAL ACCESS MULTI SERVICES A/C RATHI COMPLEX, BEHIND POLICE STATION MANWATH 431505, RATHI COMPLEX, MANWATH, MANVAT Postal/Zip Code: 431505 Taluka: Manvat</t>
  </si>
  <si>
    <t>sambhaji nagar, alange niwas, S.T. Stand, ASHTA KASAR Postal/Zip Code: 413604 Taluka: Navin Lahora</t>
  </si>
  <si>
    <t>G-18 Ground Floor, Krishnaraj CHS. No.2,, Dr. E.Moses Road,, Worli Postal/Zip Code: 400018 Taluka: Mumbai</t>
  </si>
  <si>
    <t>SECOND FLOWER, GRAM SACHIWALYA, SHIVAJI CHOWK, JALKOT, JALKOT Postal/Zip Code: 413602 Taluka: Tulajapur</t>
  </si>
  <si>
    <t>MAIN ROAD, NEAR DCC BANK, MAIN ROAD, IEET Postal/Zip Code: 413534 Taluka: Bhoom</t>
  </si>
  <si>
    <t>Pimple Saudagar, Near Saudagar Hotel, Shubhshree Woods, Pimpri, Pimpri Chinchwad Postal/Zip Code: 411027 Taluka: Haveli</t>
  </si>
  <si>
    <t>At post Kashti, Om Computer Education Kashti, Kashti, Kashti Postal/Zip Code: 414701 Taluka: Shrigonda</t>
  </si>
  <si>
    <t>Anand Nagar, Buldana Road, Nandura, Nandura Postal/Zip Code: 443404 Taluka: Nandura</t>
  </si>
  <si>
    <t>P. K. DAREKAR COLLEGE OF ARTS &amp; COMMERCE, KHAVATI., AT POST KHAVATI, KHAVATI, KHED Postal/Zip Code: 415640 Taluka: Khed</t>
  </si>
  <si>
    <t>word no. 2 , zingade Niwas, Omerga Road, GUNJOTI Postal/Zip Code: 413613 Taluka: Omarga</t>
  </si>
  <si>
    <t>Ramnagar colony,In front of Supar Market, Asifabad Road, Rajura Dist- Chandrapur Postal/Zip Code: 442905 Taluka: Rajura</t>
  </si>
  <si>
    <t>SHOP.NO.16, MALLANIUM TOWER, SHRI SADGURU NAGAR, MALLANIUM TOWER, DEVIPADA, BORIVALI (EAST), Mumbai Postal/Zip Code: 400066 Taluka: Borivali</t>
  </si>
  <si>
    <t>New Colony, Behind Corporation Office Zone no.10 Nagpur , New Colony, Behind Corporation Office Zone no.10 Nagpur , Shrivastava Marg, NAGPUR Postal/Zip Code: 440001 Taluka: Nagpur</t>
  </si>
  <si>
    <t>block no 9, shendarkar complex, anandnagar corner, nanded Postal/Zip Code: 431605 Taluka: Nanded</t>
  </si>
  <si>
    <t>b-17,super bazar market, sate bank road,yavatmal-445001, super bazar market, state bank road, yavatmal Postal/Zip Code: 445001 Taluka: Yavatmal</t>
  </si>
  <si>
    <t>16-A/3 FIRST FLOOR SION SINDHI COLONY, OPP OLD SIES COLLEGE SION(W), SION SINDHI COLONY, SION SINDHI COLONY ROAD, MUMBAI SION Postal/Zip Code: 400022 Taluka: Mumbai</t>
  </si>
  <si>
    <t>akot, akot, main road, AKOT Postal/Zip Code: 443304 Taluka: Akot</t>
  </si>
  <si>
    <t>At Post Chikhurda Postal/Zip Code: 413531 Taluka: Latur</t>
  </si>
  <si>
    <t>sarvam computers,near divyanand medical,baragaon pimpri,sinnar,nashik,422103 Postal/Zip Code: 422103 Taluka: Sinnar</t>
  </si>
  <si>
    <t>Plot No. 213, Yashodeep Colony, Mahendra Nagar, Itwari Road, NAGPUR Postal/Zip Code: 440017 Taluka: Nagpur</t>
  </si>
  <si>
    <t>Ward No 11 House No 192, Bhutada Bhavan, Main Road , SHEGAON Postal/Zip Code: 444203 Taluka: Shegaon</t>
  </si>
  <si>
    <t>2nd Floor, Joshi Complex, Maruti mandir, Ratnagiri Postal/Zip Code: 415612 Taluka: Ratnagiri</t>
  </si>
  <si>
    <t>2ND FLOOR, ABOVE GHANATE HOSPITAL, JK PLAZA, OPP. DURGA MATA MANDIR, SHIVAJI CHOWK, OLD PANVEL, JK PLAZA, SHIVAJI CHOWK, MUMBAI Postal/Zip Code: 410206 Taluka: Panvel</t>
  </si>
  <si>
    <t>ward no. 03 , house no. 1366, Near Grampanchyat, Subhash Chowk, Jamod Postal/Zip Code: 443406 Taluka: Jalagaon</t>
  </si>
  <si>
    <t>NEHRU GALLI , NEAR RAM MANDIR, APSIINGA, APSINGA Postal/Zip Code: 413601 Taluka: Tulajapur</t>
  </si>
  <si>
    <t>Near Bus Stand Udgeer Road, Shirur Tajband Postal/Zip Code: 413514 Taluka: Ahmadpur</t>
  </si>
  <si>
    <t>At Post Deulgaon Siddhi, Anjanimata Computer Center, Nagar Road, Deulgaon Siddhi Postal/Zip Code: 414006 Taluka: Ahmednagar</t>
  </si>
  <si>
    <t>1st Floor,, 'Asjakunj', Main Road,, Kavathemahankal Postal/Zip Code: 416405 Taluka: Kavathe Mahakal</t>
  </si>
  <si>
    <t>House No 355 Near Grampanchayat Office At-Post-pal Tal-Karad Dist-Satara , House No 335 Near Grampanchayat Office, House No 355 Near Grampanchayat Office At-Post-pal, Pal Postal/Zip Code: 415014 Taluka: Karad</t>
  </si>
  <si>
    <t>AT.PO.MANDANGAD,KOKATE COMPAOUND,1ST FLOOR,UOPN SBI,BANKOT ROAD,MANDANGAD Postal/Zip Code: 415203 Taluka: Mandangad</t>
  </si>
  <si>
    <t>107/108,First Floor, Sainathdham, Tulinj Road, Nalasopra Postal/Zip Code: 401209 Taluka: Vasai</t>
  </si>
  <si>
    <t>Shop No.20,Ground Floor, Vallabh CoOperative Housing Society, 90 feet Road, Dharavi Postal/Zip Code: 400017 Taluka: Mumbai</t>
  </si>
  <si>
    <t>At.po.vakvali,Lilavati Patne Sankul,2nd Floor,Vakvali Postal/Zip Code: 415712 Taluka: Dapoli</t>
  </si>
  <si>
    <t>A/p : Peth Postal/Zip Code: 415409 Taluka: Walva</t>
  </si>
  <si>
    <t>C/271, BMC Colony, Santosh Nagar, Goregaon Postal/Zip Code: 400065 Taluka: Boriwali</t>
  </si>
  <si>
    <t>Shop No.14, B Wing, Ashoka Gardens, Mahatma Phule Road, Panvel Postal/Zip Code: 410206 Taluka: Panvel</t>
  </si>
  <si>
    <t>House no. 408, Golam house, near english school bhedshi, sateli bhedshi, BHEDSHI Postal/Zip Code: 416530 Taluka: Doda sara</t>
  </si>
  <si>
    <t>C/O REDDY SISTER NEAR BUS STAND JAITAPUR ROAD, HATNOOR, SHAIKH HOUSE, HATNOOR, KANNAD Postal/Zip Code: 431103 Taluka: Kannad</t>
  </si>
  <si>
    <t>A/P SANVATSAR, Postal/Zip Code: 423603 Taluka: Kopargaon</t>
  </si>
  <si>
    <t>Plot No.29, 2nd floor, near Zenda Chowk, NAGPUR Postal/Zip Code: 440010 Taluka: Nagpur</t>
  </si>
  <si>
    <t>T - Point, Above Bank Of India's ATM, Kurjekar Ward, Nagbhid Post Office, nagbhid Postal/Zip Code: 441205 Taluka: Nagbhid</t>
  </si>
  <si>
    <t>WAR NO, 17, IN FRONT OF VITHAL RUKHMAI MANDIR, SINDI, SINDI Postal/Zip Code: 442105 Taluka: Selu</t>
  </si>
  <si>
    <t>9/43, Saikrupa , wadgaon road, Yavatmal Postal/Zip Code: 445001 Taluka: Yavatmal</t>
  </si>
  <si>
    <t>126, MATRIX COMPUTER, MAIN ROAD, PARVA (DESHMUKH) Postal/Zip Code: 445306 Taluka: Ghatanji</t>
  </si>
  <si>
    <t>Sr.No.148, Jadhav Nagar, Near Akkalcoat swami Temple, Pune Postal/Zip Code: 411046 Taluka: Haveli</t>
  </si>
  <si>
    <t>Plot No.21,Shop No.5,Sector-15, Classic Skylark Building, Koparkhairane, Navi Mumbai Postal/Zip Code: 400709 Taluka: Thane</t>
  </si>
  <si>
    <t>Jijamata Kanya Prashala, Nanded Road Postal/Zip Code: 413512 Taluka: Latur</t>
  </si>
  <si>
    <t>Near r.v. kulkarni cycle mart ward no.3 marcket line buldana, Near r.v. kulkarni cycle mart ward no.3 marcket line buldana, MARCKET LINE, buldhana Postal/Zip Code: 443201 Taluka: Buldhana</t>
  </si>
  <si>
    <t>235/B, Samarth Computer Education, At/p.Karegaon, Karegaon Postal/Zip Code: 413717 Taluka: Srirampur</t>
  </si>
  <si>
    <t>Plot No. 203, Krushna-Kamal building, near the post office, DHAMOD Postal/Zip Code: 416211 Taluka: Radhanagari</t>
  </si>
  <si>
    <t>334, Nageshwar colany, Ambavade, Pune Postal/Zip Code: 412206 Taluka: Bhor</t>
  </si>
  <si>
    <t>1 FLOR BHANDAKAR BULDING OLD BUS STAND MAIN ROAD BHDRAWTI Postal/Zip Code: 442902 Taluka: Bhadrawati</t>
  </si>
  <si>
    <t>GNO.410/2, Sahely, Madilage Bk, Madilage Bk Postal/Zip Code: 416209 Taluka: Bhudargad</t>
  </si>
  <si>
    <t>Shop no:-127, Haware's Tiara Shopping Complex, Shilp Chowk, NAVI MUMBAI Postal/Zip Code: 410210 Taluka: Panvel</t>
  </si>
  <si>
    <t>BLOCK NO.7, JANJIRE COMPLEX, JAGDAMBA MANDIR ROAD, RASHIN Postal/Zip Code: 414403 Taluka: Karjat</t>
  </si>
  <si>
    <t>Flat No.1, Swastik Appt., Savedi, Ahmednagar Postal/Zip Code: 414003 Taluka: Ahmednagar</t>
  </si>
  <si>
    <t>RM- 30, Maharana Pratap Chowk, Veer Savarkar Colony, Bajaj Nagar, Aurangabad Postal/Zip Code: 431136 Taluka: Gangapur</t>
  </si>
  <si>
    <t>M 548, Shrma Safalya Postal/Zip Code: 431522 Taluka: Renapur</t>
  </si>
  <si>
    <t>AT MAHALGAON, BHANDARA ROAD, PO-DIGHORI, NAGPUR Postal/Zip Code: 441202 Taluka: Kamathi</t>
  </si>
  <si>
    <t>Versant IT Computer Education Jajoo Chowk Godhni Road Yavatmal, Versant IT Computer Education Jajoo Chowk Godhni Road Yavatmal, Godhni Road, yavatmal Postal/Zip Code: 445001 Taluka: Yavatmal</t>
  </si>
  <si>
    <t>GANOJA DEVI ROAD, Bhatkuli Postal/Zip Code: 444721 Taluka: Bhatkuli</t>
  </si>
  <si>
    <t>Near State Bank of India , Khamgaon 444303, Shri.A.K.National High School &amp; Jr. College, Khamgaon , Khamgaon, Khamgaon Postal/Zip Code: 444303 Taluka: Khamgaon</t>
  </si>
  <si>
    <t>apanna alure complex main road andur Postal/Zip Code: 413603 Taluka: Tulajapur</t>
  </si>
  <si>
    <t>Mauli Nagar, Kulkarni Niwas, Nagar Parishad Road, NALDURG Postal/Zip Code: 413602 Taluka: Tulajapur</t>
  </si>
  <si>
    <t>At.Post Karanjwan, karanjwan, Karanjwan Dam Road, Karanjwan Postal/Zip Code: 422202 Taluka: Dindori</t>
  </si>
  <si>
    <t>G-6, Regina Apartment, Plot No.18, Sector 20D, Airoli-Thane -400708. Postal/Zip Code: 400708 Taluka: Thane</t>
  </si>
  <si>
    <t>JAYTALA MARATHI HIGH SCHOOL, JAYTALA ROAD, JAYTALA, Nagpur Postal/Zip Code: 440016 Taluka: Nagpur</t>
  </si>
  <si>
    <t>H no 853/I , Netaji Market Opp vandana Theatre wimco Naka, Wimco Naka, K B Road, Ambarnath Postal/Zip Code: 421505 Taluka: Ambarnath</t>
  </si>
  <si>
    <t>Co , SARASWATI HINDI HIGH SCHOOL CA ROAD , BAJERIYA CHOWK, RAM MANDIR, Nagpur Postal/Zip Code: 444018 Taluka: Nagpur</t>
  </si>
  <si>
    <t>Pratham Community Center, Vikhroli Parksite, Pratik Society, Ambedkar Nagar, Mumbai Postal/Zip Code: 400079 Taluka: Mumbai</t>
  </si>
  <si>
    <t>NAHAR'S AMRIT SHAKTI, SHOPPING COMPLX BLOCK NO:6, SHOPP NO.F3, CHANDIVALI FARM ROAD, Postal/Zip Code: 400072 Taluka: Andheri</t>
  </si>
  <si>
    <t>At/post Maliwada Tq/Dist:-Aurangabad, Hekade Nivas, Nashik Bombay Highway, Maliwada Postal/Zip Code: 431002 Taluka: Aurangabad</t>
  </si>
  <si>
    <t>Pathodekar Complax, Pansre Chouk , College raod, Dharmabad Postal/Zip Code: 431809 Taluka: Dharmabad</t>
  </si>
  <si>
    <t>8, Bhima Nagar, Near Ruby Nagar,Solapur, Laxmi-Parvati Building,, Jule Solapur, Solapur Postal/Zip Code: 413004 Taluka: Solapur(s)</t>
  </si>
  <si>
    <t>A/P-Radhanagari, Radhanagari Mahavidyalaya, Radhanagari, Radhanagari Postal/Zip Code: 416212 Taluka: Radhanagari</t>
  </si>
  <si>
    <t>Subhangi Building, 1st Floor, Opp. Kulaba Bazar, Azad Road, Murud-Janjira Postal/Zip Code: 402401 Taluka: Murud</t>
  </si>
  <si>
    <t>Block No A-480/959, Opp Sarvajanik Mitra Mandal Hall, Subhash Tekadi Road. Ulhasnagar 4 Postal/Zip Code: 421004 Taluka: Ulhasnagar</t>
  </si>
  <si>
    <t>Near SRP camp, above mansi kirana, nanded road, hingoli Postal/Zip Code: 431513 Taluka: Hingoli</t>
  </si>
  <si>
    <t>near bus stop, nanded road, KHANAPUR Postal/Zip Code: 431513 Taluka: Hingoli</t>
  </si>
  <si>
    <t>pronet computers, First Floor, Maa Janki Complex, Phool Oli Square, Sonar Oli, KAMPTEE Postal/Zip Code: 441002 Taluka: Kamathi</t>
  </si>
  <si>
    <t>flat no:-1, Dahyabhai Complex, phursungi, pune Postal/Zip Code: 412308 Taluka: Haveli</t>
  </si>
  <si>
    <t>OPP.ST STAND, PUNE NAGAR ROAD, RANJANGAON GANPATI, RANJANGAON GANPATI Postal/Zip Code: 412209 Taluka: Shirur</t>
  </si>
  <si>
    <t>OPP. Dr.NAIK HOSPITAL, MALUSARE BUILDING, NEAR ST STAND, MAHAD, MAHAD Postal/Zip Code: 402301 Taluka: Mahad</t>
  </si>
  <si>
    <t>KARTIKYA GARDEN,SHOP NO. 14 NEAR JARIMARI MANDIR,SUKAPUR NAVIN PANVEL , KARTIKYA GARDEN, JARIMARI MANDIR, SUKHAPUR,NEW PANVEL Postal/Zip Code: 410206 Taluka: Panvel</t>
  </si>
  <si>
    <t>S.No.21, P.No.25, Shop No. 4, Mirza Ghalib Road, Near Juna Faran Hospital, Malegaon Postal/Zip Code: 423203 Taluka: Malegaon</t>
  </si>
  <si>
    <t>Basement, Adesh Plaza, Near Daule hospital,Savedi, Manmad road, Ahmednagar Postal/Zip Code: 414003 Taluka: Ahmednagar</t>
  </si>
  <si>
    <t>At &amp; Po Ambovali Near High School, Ambovali, Ambovali, AMBOVALI Postal/Zip Code: 415721 Taluka: Khed</t>
  </si>
  <si>
    <t>Apex Computer, Pirangut Camp, Pirangut, Pune Postal/Zip Code: 411008 Taluka: Mulshi</t>
  </si>
  <si>
    <t>Ambhure Complex,Mahadev Mandir Road, Bori Postal/Zip Code: 431508 Taluka: Jintur</t>
  </si>
  <si>
    <t>Shahajiraje College, Raod,Opp, PWD, Office, Khatav,415505, Om Sai Complex, Khatav Main, Road, Khatav Postal/Zip Code: 415505 Taluka: Khatav</t>
  </si>
  <si>
    <t>Plot No - P-61, Krishna Valley Complex, Kupwad M.I.D.C. , Kupwad MIDC Postal/Zip Code: 416436 Taluka: Miraj</t>
  </si>
  <si>
    <t>BEHIND BUS STOP, Late PRABHAKAR ASWAR MAHAVIDYALAY, NARKHED, NARKHED Postal/Zip Code: 441304 Taluka: Narkhed</t>
  </si>
  <si>
    <t>Flat No 1, On second floor ,Dudhal Building , Station Road, Dhalgaon Postal/Zip Code: 416403 Taluka: Kavathe Mahakal</t>
  </si>
  <si>
    <t>1St Floor , Jyotirling Plywood Center, , Main Road, Near Bus Stand, GARGOTI Postal/Zip Code: 416209 Taluka: Bhudargad</t>
  </si>
  <si>
    <t>01, VITTHAL NAGAR, MAIN ROAD, DHAMANGAON BADHE Postal/Zip Code: 443104 Taluka: Motala</t>
  </si>
  <si>
    <t>102, 1ST FLOOR, SAMBHAJI COMPOUND, M.G. ROAD, MUMBAI Postal/Zip Code: 400066 Taluka: Mumbai</t>
  </si>
  <si>
    <t>Akalpit Housing society, Near Hi-Tech Engg. College,Bajajnagar,Aurangabad. Postal/Zip Code: 431133 Taluka: Aurangabad</t>
  </si>
  <si>
    <t>SAMBHAJI CHAUK, SECOND FLOUR SRK SANKUL AT POST TQ. PATUR Postal/Zip Code: 444501 Taluka: Patur</t>
  </si>
  <si>
    <t>Near by S.T.Stand Ranjangaon Ganpati, Near by S.T.Stand Ranjangaon Ganpati, Pune - Nager Road, Ranjangaon Ganpati Postal/Zip Code: 412209 Taluka: Shirur</t>
  </si>
  <si>
    <t>bolda road,above post office ak.balapur, shiv complex bolda road, bolda road, akhada.balapur Postal/Zip Code: 431701 Taluka: Kalamanuri</t>
  </si>
  <si>
    <t>NEAR KHANDOBA TEMLE, JANKI NIWAS, ANDUR, ANDUR Postal/Zip Code: 413603 Taluka: Tulajapur</t>
  </si>
  <si>
    <t>Shop No 30A, Shree Manoshi Complex, opp Ghansoli Railway Station, Ghansoli Navi Mumbai Postal/Zip Code: 400701 Taluka: Thane</t>
  </si>
  <si>
    <t>A/P Chinchani (Ambak), -, Main Road, Chinchani (Ambak) Postal/Zip Code: 415303 Taluka: Kadegaon</t>
  </si>
  <si>
    <t>1st Floor, , Alex Business Center, Nr. Kanjur Village Police Chowki, above BJP Office, Kanjur Village, Mumbai Postal/Zip Code: 400042 Taluka: Mumbai</t>
  </si>
  <si>
    <t>Shop No. 7 &amp; 8 , Shivtara Central Complex Patas , Pune-Solapur Highway, Daund Postal/Zip Code: 412219 Taluka: Daund</t>
  </si>
  <si>
    <t>At/post: Kari, At/post: kari, Gadekar Galli, Kari Postal/Zip Code: 413404 Taluka: Barshi</t>
  </si>
  <si>
    <t>Near Kesaria Hanuman Mandir,, Lalji Pada, Sanjay Nagar Naka, , Kandivali (W), , Mumbai Postal/Zip Code: 400067 Taluka: Boriwali</t>
  </si>
  <si>
    <t>425 South Sadar Bazaar, Beria Educational Center, Lashkar, Solapur Postal/Zip Code: 413003 Taluka: Solapur(n)</t>
  </si>
  <si>
    <t>Janki Nagar, Near Garden, Janki Nagar, Hudkeshwar road, NAGPUR Postal/Zip Code: 440034 Taluka: Nagpur</t>
  </si>
  <si>
    <t>Shop No. F-5, , Royal Estate, Raut Wadi Road, AKOLA Postal/Zip Code: 444001 Taluka: Akola</t>
  </si>
  <si>
    <t>Second Floor, 'Desai Building', Padgaon Road, Kadgaon Postal/Zip Code: 416210 Taluka: Bhudargad</t>
  </si>
  <si>
    <t>204, Bhartmata Nagar, Near Pushpniketan Convent, Hudkeshwar Road, Nagpur - 34, Pushpniketan, Hudkeshwar Road, Nagpur Postal/Zip Code: 440034 Taluka: Nagpur Rural</t>
  </si>
  <si>
    <t>VESHI JAWAL, MASHIDI SHEJARI, KHANDALI, KHANDALI Postal/Zip Code: 413113 Taluka: Malshiras</t>
  </si>
  <si>
    <t>At. Post. Madansuri Postal/Zip Code: 413521 Taluka: Nilanga</t>
  </si>
  <si>
    <t>Shop No.12, kakade corner Near shanti Ban Houseing soc. Opp. Fattechand College Chinchwad gaon Pune-33 Postal/Zip Code: 411033 Taluka: Haveli</t>
  </si>
  <si>
    <t>Station Road, Rajani, Rajani, Rajani Postal/Zip Code: 431206 Taluka: Ghansavangi</t>
  </si>
  <si>
    <t>Roshani Computer Centre Narmada Apartment No 2 Near Bhikamchand Khandwal School Godbole plot Dabki Road , Narmada Appt., Bhikamchan Khandelwal High Scool Road, AKOLA Postal/Zip Code: 444002 Taluka: Akola</t>
  </si>
  <si>
    <t>MADHYAMIK VIDYAMANDIR KANEDI, MADHYAMIK VIDYAMANDIR KANEDI, AT POST SANGAVE, KANKAVLI Postal/Zip Code: 416609 Taluka: Kankavli</t>
  </si>
  <si>
    <t>At - Murmadi / Lakhani, Po-Lakhani, Tah-Lakhani , Dist-Bhandara , Pin code-441804 Postal/Zip Code: 441804 Taluka: Lakhani</t>
  </si>
  <si>
    <t>1, SHREE RAMESHWAR ENGLISH MEDIUM SCHOOL PATODA , PATODA, PATODA Postal/Zip Code: 423105 Taluka: Yeole</t>
  </si>
  <si>
    <t>PADATE PREMISE GALA, MURARWADI TALAWADE GATE HODAVADA MATOND TALAWADE ROAD, Postal/Zip Code: 416529 Taluka: Vengurle</t>
  </si>
  <si>
    <t>AXIS COMPUTER POINT JAMIL COLONY NEAR BRIDGE WALGAON ROAD AMRAVATI, AXIS COMPUTER POINT JAMIL COLONY NEAR BRIDGE WALGAON ROAD AMRAVATI, AMRAVATI, AMRAVATI Postal/Zip Code: 444601 Taluka: Amravati</t>
  </si>
  <si>
    <t>G1, B Wing, Silver Jade CO-op Hsg Society, Chakala, Andheri (E) Postal/Zip Code: 400099 Taluka: Andheri</t>
  </si>
  <si>
    <t>NEAR SRI NARSINHA MANDIR, POKHARNI, POKHARNI Postal/Zip Code: 431521 Taluka: Parbhani</t>
  </si>
  <si>
    <t>H N 588, Lad Bulding, Appchi Vadi Road, Mhakave Postal/Zip Code: 416216 Taluka: Kagal</t>
  </si>
  <si>
    <t>Plot No 222, Main Road ,Gangapur, Late Pawan Khaire D.T.Ed. Coolege, Gangapur, Gangapur, GANGAPUR Postal/Zip Code: 431109 Taluka: Gangapur</t>
  </si>
  <si>
    <t>Block No.1, Mahatma Phule Museum Campus, Ghole Road, Shivajinagar, Pune Postal/Zip Code: 411004 Taluka: Haveli</t>
  </si>
  <si>
    <t>Near Bus Stand, Yashwantrao Nade Complex, Ist Floor, Main Road Postal/Zip Code: 413510 Taluka: Latur</t>
  </si>
  <si>
    <t>At post Tunki,, Tunki, Tunki Post Office, Tunki Postal/Zip Code: 444204 Taluka: Sangrampur</t>
  </si>
  <si>
    <t>Basement, Lakshdham High School Building, Gokuldham, Goregaon Postal/Zip Code: 400063 Taluka: Mumbai</t>
  </si>
  <si>
    <t>104 , Bhanudas Complex, 1st Floor, 104, Bhanudas Complex , M.G. Road , Navi Bazar Peth, Mahad Postal/Zip Code: 402301 Taluka: Mahad</t>
  </si>
  <si>
    <t>CHUNAUTI SAMAJIK ANI SANSKRUTIK SANSTHA , SWAMI BNAGLA , aKSHAY COLONY OPP. TRIMURTI COMPLEX WARJE PUNE-58, OPP. TRIMURTI COMPLEX WARJE , Pune-58 Postal/Zip Code: 411058 Taluka: Haveli</t>
  </si>
  <si>
    <t>Office No.209, 2nd Floor, Shraddha Sagar Appartment, Near Ambika Hotel, Badlapur Postal/Zip Code: 421503 Taluka: Ambarnath</t>
  </si>
  <si>
    <t>1st Floor, Sanmitra Colony, Nagar Manmad Road, Ahmednagar Postal/Zip Code: 414003 Taluka: Ahmednagar</t>
  </si>
  <si>
    <t>Main Road Udgir, In Front of BCA College, Main Road Postal/Zip Code: 413532 Taluka: Jalakot</t>
  </si>
  <si>
    <t>At-Post-Dahivel, Tal-Sakri, Dahivel, Dahivel, Dahivel Postal/Zip Code: 424305 Taluka: Sakri</t>
  </si>
  <si>
    <t>A/P Yelane, Near Shahuwadi Panchayat Samiti, Kolhapur Ratanagiri Highway, KOLHAPUR Postal/Zip Code: 415101 Taluka: Shahuwadi</t>
  </si>
  <si>
    <t>Latur Nanded Road, Near College Postal/Zip Code: 413514 Taluka: Ahmadpur</t>
  </si>
  <si>
    <t>-, KADHONE WADI BEHIND GAJANAN MANDIR , AKOLA WASHIM ROAD PATUR, Akola Postal/Zip Code: 444108 Taluka: Patur</t>
  </si>
  <si>
    <t>Kurkheda, C/o Charandas P. Kawadkar Building, Kurkheda, KURKHEDA Postal/Zip Code: 441209 Taluka: Karakheda</t>
  </si>
  <si>
    <t>Yash Complex, Gala No.1,, A/P : Sakharpa, College Road,, Sakharpa Postal/Zip Code: 415801 Taluka: Sangameshwar</t>
  </si>
  <si>
    <t>SHOP NO. 4, VIDHATA APTS., THANE COLLEGE ROAD, THANE Postal/Zip Code: 400601 Taluka: Thane</t>
  </si>
  <si>
    <t>MAIN, ROAD, JALKOT, JALKOT Postal/Zip Code: 413602 Taluka: Tulajapur</t>
  </si>
  <si>
    <t>390, Shramsaffalya Niwas, Chikhali Road, Deulgaon Raja Postal/Zip Code: 443204 Taluka: Deulgaonraja</t>
  </si>
  <si>
    <t>0, Wadapeth, At/Po: Adiware, Adiware Postal/Zip Code: 416707 Taluka: Rajapur</t>
  </si>
  <si>
    <t>1, Chandranil Building, Mohini Nagar, Kedgaon, Ahmednagar Postal/Zip Code: 414005 Taluka: Ahmednagar</t>
  </si>
  <si>
    <t>MEERA COLONY, NACHANGAON ROAD,PULGAON.P.O.BOX NO.442302., MEERA COLONY, NACHANGAON ROAD,PULGAON.P.O.BOX NO.442302., PULGAON, Pulgaon Postal/Zip Code: 442302 Taluka: Deoli</t>
  </si>
  <si>
    <t>Near vaishnavi mangalkaryalay,Pardeshvar mandir road, Parbhani Postal/Zip Code: 431401 Taluka: Parbhani</t>
  </si>
  <si>
    <t>Shop no 3, Shri Ganraj Apt, Behind D.N.S Bank Dalvi Wada Nr Railway Station Manda Titwala East Postal/Zip Code: 421605 Taluka: Ambarnath</t>
  </si>
  <si>
    <t>Shop No. B/5, Kalyani CHS, 60 Ft Road, Matunga Postal/Zip Code: 400019 Taluka: Mumbai</t>
  </si>
  <si>
    <t>34/275, Motilal Nagar, 1, Gajanan Maharaj Mandir Road, Goregaon Postal/Zip Code: 400401 Taluka: Borivali</t>
  </si>
  <si>
    <t>Alamkhane Billding Etavar Bazar, Keli Market Ia. Dis. Nanded Postal/Zip Code: 431601 Taluka: Nanded</t>
  </si>
  <si>
    <t>A/p- Awasari Kd., Near Shri Bhairawnath Mandir, AWASARI KHURD Postal/Zip Code: 412405 Taluka: Ambegaon</t>
  </si>
  <si>
    <t>3, SHREE COMPLEUX, PIPLGAV ROAD, DAWADI Postal/Zip Code: 410505 Taluka: Khed</t>
  </si>
  <si>
    <t>NEAR GRAMPANCHAYAT SALUNKE BUILDING BELAPUR 413715, BADRINATH CHEMBERS, BELAPUR, SHRIRAMPUR Postal/Zip Code: 413715 Taluka: Srirampur</t>
  </si>
  <si>
    <t>12 th Scheme, Plot No,12A, Cidco Shivaji Nagar (East), Aurangabad., 12 th Scheme, Plot No,12A, Cidco Shivaji Nagar (East), Aurangabad., Main Road, Aurangabad Postal/Zip Code: 431005 Taluka: Aurangabad</t>
  </si>
  <si>
    <t>Near Dodi college, Dodi, Dodi, Dodi Bk Postal/Zip Code: 422606 Taluka: Sinnar</t>
  </si>
  <si>
    <t>plot no-323 p.o.box no-441102 khaperkheda, ward no-1,new bhanegaon khaperkheda , khaperkheda, khaperkheda Postal/Zip Code: 441102 Taluka: Savner</t>
  </si>
  <si>
    <t>Bramhan Galli,Pandurang Niwas ,Gangapur, Postal/Zip Code: 431109 Taluka: Gangapur</t>
  </si>
  <si>
    <t>3005, Ayesha Complex-2, Shivaji Nagar, Kudal Postal/Zip Code: 416520 Taluka: Kudal</t>
  </si>
  <si>
    <t>YASHWANT NAGAR,AMBAD ROAD,JALNA, YASHWANT NAGAR,AMBAD ROAD,JALNA, AMBAD ROAD, Jalna Postal/Zip Code: 431203 Taluka: Jalna</t>
  </si>
  <si>
    <t>17 , Suma Hights Building, Masur-Karad Road, MASUR Postal/Zip Code: 415106 Taluka: Karad</t>
  </si>
  <si>
    <t>Shop no. 1 &amp; 2 CSNo.2505/2 , Gujar Ali, Main Road, Chopda Postal/Zip Code: 425107 Taluka: Chopada</t>
  </si>
  <si>
    <t>srv. no. 31/1/5, zen infotech, near ramkrishna mangal karyalay, PIMPLE GURAV, Pune27 Postal/Zip Code: 401027 Taluka: Haveli</t>
  </si>
  <si>
    <t>At-post:-shirdi, Shri Sainath Madyamik Vidyalaya , Nadurkhi road, SHIRDI Postal/Zip Code: 423109 Taluka: Rahata</t>
  </si>
  <si>
    <t>GHAR NO 587, MAHAESEVA KENDRA, PUNE NAGAR ROAD , Ranjnagon Ganpati Postal/Zip Code: 412209 Taluka: Shirur</t>
  </si>
  <si>
    <t>AT.POST. ZP HIGH SCHOOL ROAD BABRA CITY. BABRA Postal/Zip Code: 431151 Taluka: Fulammbri</t>
  </si>
  <si>
    <t>ND-41, SAMBHAJI CHOWK, B-3-3-12, cidco, nanded Postal/Zip Code: 431606 Taluka: Nanded</t>
  </si>
  <si>
    <t>A/P-Thangaon, Near Bus Stand, Thangaon, Thangaon, Sinnar Postal/Zip Code: 422103 Taluka: Sinnar</t>
  </si>
  <si>
    <t>Chintamani College Campus, Chintamani house, aksapur road, Pombhurna Postal/Zip Code: 442505 Taluka: Pombhuna</t>
  </si>
  <si>
    <t>shop no.2, lokmanya apartment , lokmanya nagar, thane Postal/Zip Code: 400606 Taluka: Thane</t>
  </si>
  <si>
    <t>Gala No. 2, Ramchandra Rabad Premises, Udhava Kanalpada, Tal. Talasari, Dist. Thane. Postal/Zip Code: 401606 Taluka: Talasari</t>
  </si>
  <si>
    <t>4, Shoping Center, Main Road, Vadali Postal/Zip Code: 425423 Taluka: Shahada</t>
  </si>
  <si>
    <t>AT POST CHAMPA , VIJAY AUDYOGIK AUR SAINIK SHIKSHAN SANTHA, PO-CHAMPA, CHAMPA Postal/Zip Code: 441204 Taluka: Umred</t>
  </si>
  <si>
    <t>Shop No3, Shree Samartha Krupa Niwas, Mharal Society, Nr. Sadhana Hotel, Kalyan-Murbad Rd. Mharal, Post-Varap, Tal-Kalyan Postal/Zip Code: 421301 Taluka: Kalyan</t>
  </si>
  <si>
    <t>At Post Khultabad Ta, Khultabad Dist, Aurangabad. , At Post Kultabad Ta, Khultabad Dist, Aurangabad. , Police Station Road, Kultabad Postal/Zip Code: 431101 Taluka: Khulatabad</t>
  </si>
  <si>
    <t>Plot No.31, Tulsidas Housing Society, Near Ganesh Temple, Shivaji Nagar, Bale, Solapur Postal/Zip Code: 413001 Taluka: Solapur(n)</t>
  </si>
  <si>
    <t>1256, prabhawalkar wada kudal Postal/Zip Code: 416520 Taluka: Kudal</t>
  </si>
  <si>
    <t>D4, Gr. Flr., Sri Pimpleshwar Chs Mahadev Palav Marg, Currey Road(w.), Mumbai - 13. Postal/Zip Code: 400013 Taluka: NA</t>
  </si>
  <si>
    <t>A1/7, PRESTIGE TOWER, PRESTIGE GARDEN,, NITIN COMPANY, SERVICE ROAD NEAR FIRE BRIGED OFFIC, Thane Postal/Zip Code: 400601 Taluka: Thane</t>
  </si>
  <si>
    <t>KEKENAGAR A/P- BRAMHANWADE, , KEKENAGAR, NAIGAON-SHINDE ROAD, Sinnar Postal/Zip Code: 422101 Taluka: Sinnar</t>
  </si>
  <si>
    <t>Plot No. 20, Shreedhar Sahanivas Co-operative Housing Society Limited, Hanuman Road, Mumbai Postal/Zip Code: 400057 Taluka: Andheri</t>
  </si>
  <si>
    <t>Dhar road, Near Govt. boys hostel, Parbhani, Phulari building, Parbhani, Parbhani Postal/Zip Code: 431401 Taluka: Parbhani</t>
  </si>
  <si>
    <t>Shop No.2, Reddy Chawl, Kokni Pada, Kurar Village, Malad, Mumbai Postal/Zip Code: 400097 Taluka: Boriwali</t>
  </si>
  <si>
    <t>Plot No. 22, Line. K, Room No. 06, Road No. 04, Shivaji Nagar, Near Kokan Masjid Opp Balaji Medical Govandi, Shivaji Nagar Govandi Mankhurd Postal/Zip Code: 400043 Taluka: Kurla</t>
  </si>
  <si>
    <t>At post Gijavane Taluka Gadhinglaj, Near Gijavane Gram Panchayat , Gijavane, Gadhinglaj Postal/Zip Code: 416502 Taluka: Gadhinglaj</t>
  </si>
  <si>
    <t>Nr. Police Station, Main Road, Sangadi, Sangadi Postal/Zip Code: 441804 Taluka: Sakoli</t>
  </si>
  <si>
    <t>near bus stand, nampur road, vadel post, ajang Postal/Zip Code: 423206 Taluka: Malegaon</t>
  </si>
  <si>
    <t>146, Janwadi Senapati bapat marg, 146, Janwadi Senapati bapat marg, janwadi, PUNE Postal/Zip Code: 411016 Taluka: Haveli</t>
  </si>
  <si>
    <t>Behind Tahshildar Office,, -, Panbhoshi road, Kandhar Postal/Zip Code: 431714 Taluka: Kandhar</t>
  </si>
  <si>
    <t>Shri Shivachaleshwar Computer Institute Nagerpalika Chowk Maindargi, 1265, Dhodamani Niwas Nager Palika Chowk Maindargi , Nager Palika Chowk, Maindargi Postal/Zip Code: 413217 Taluka: Akkalkot</t>
  </si>
  <si>
    <t>PLOT NO. 25,ROOM NO. B-22 RATNADEEP CO-OP HSG. SOC, LAKHANDWALA KANDIVALI (E), RATNDEEP CO. OP.HSG. SOC., MAHADA ROAD NO.2, MUMBAI Postal/Zip Code: 400101 Taluka: Mumbai</t>
  </si>
  <si>
    <t>Ground Floor, Pragati Apartment, Adarsh Nagar, Nagapur MIDC, Kakasaheb Mhaske College Road, AHMEDNAGAR Postal/Zip Code: 414011 Taluka: Ahmednagar</t>
  </si>
  <si>
    <t>Plot no. 209, RAHI, GUGALE COLONY, AHMEDNAGAR Postal/Zip Code: 414002 Taluka: Ahmednagar</t>
  </si>
  <si>
    <t>Plot no 1, Manewada Road, New Dnyaneshwar Nagar, Manewada Post Office, Nagpur Postal/Zip Code: 440027 Taluka: Nagpur</t>
  </si>
  <si>
    <t>College Road, Near SBI Bank, College Road, Kole Postal/Zip Code: 413314 Taluka: Sangola</t>
  </si>
  <si>
    <t>Opp. Kumar Petrol Pump,Murmadi / Lakhanii , Postal/Zip Code: 441804 Taluka: Lakhani</t>
  </si>
  <si>
    <t>SHOP NO.2, PLOT NO.56,56A, SEC-18, KAMOTHE, MATUSHREE TOWER, SEC-18, KAMOTHE, NAVI MUMBAI Postal/Zip Code: 410206 Taluka: Panvel</t>
  </si>
  <si>
    <t>At- Nawargaon, Computer Centre Building, Nawargaon, Nawargaon Postal/Zip Code: 441223 Taluka: Sindevahi</t>
  </si>
  <si>
    <t>First Floor, Shree House, K.E.M. Road, chondhi Postal/Zip Code: 402201 Taluka: Alibag</t>
  </si>
  <si>
    <t>C/O Sarswati classes, Prakash Nagar, AHILYA NAGAR SANGLI Postal/Zip Code: 416416 Taluka: Miraj</t>
  </si>
  <si>
    <t>BHAGWAN PARSHURAM PANCHKRUSHI SHIKSAN MANDAL , BHAGWAN PARSHURAM PANCHKRUSHI SHIKSAN MANDAL, PEDHE PARSHURAM, CHIPLUN Postal/Zip Code: 415605 Taluka: Chiplun</t>
  </si>
  <si>
    <t>A/P- Mardi Tal-Man Dist Satara, Sandip Comlex, Near Bus Stand, Mardi Postal/Zip Code: 415508 Taluka: Man</t>
  </si>
  <si>
    <t>House No : 831, SUTARWADI, ARULE, PARULE, PARULE Postal/Zip Code: 416523 Taluka: Vengurle</t>
  </si>
  <si>
    <t>PATIL , PATIL HOUSE, MAIN ROAD, Sindi Postal/Zip Code: 442105 Taluka: Selu</t>
  </si>
  <si>
    <t>3/1, MIG MHADA, Winkar Colony, Manewada Ring Road, Nagpur-440027 Postal/Zip Code: 440027 Taluka: Nagpur Rural</t>
  </si>
  <si>
    <t>Naginabag Ward, Opp. Jr. Hislop Collage, Chandarpur Postal/Zip Code: 442402 Taluka: Chandrapur</t>
  </si>
  <si>
    <t>Shop No.16,Building No.79, Shivsagar CHS. LTD., GORAI - 2, MUMBAI Postal/Zip Code: 400092 Taluka: Boriwali</t>
  </si>
  <si>
    <t>MANMAD ROAD NEAR BUS STAND DUGAON, near ndcc bank, MANAMAD ROAD, DUGAON Postal/Zip Code: 423101 Taluka: Chandwad</t>
  </si>
  <si>
    <t>HOUSE NO: 415, , GAMNE SADAN, DARNASANGVI, VARHEDARNA Postal/Zip Code: 422201 Taluka: Niphad</t>
  </si>
  <si>
    <t>BHUJBAL SADAN, , BHUJBAL SADAN, LAKHALGAON (RAMACHE), LAKHALGAON (RAMACHE) Postal/Zip Code: 422003 Taluka: Nashik</t>
  </si>
  <si>
    <t>SHOP NO. 1,PRATIK COMPLEX, NEAR BUS STAND, AT POST- MAKHALABAD, MAKHAMALABAD Postal/Zip Code: 422003 Taluka: Nashik</t>
  </si>
  <si>
    <t>ROHIT APPT.,, PRAKASH BORADE CHOWK, RAHUL NAGER, PAWARWADI,, JAIL ROAD, NASHIK Postal/Zip Code: 422101 Taluka: Nashik</t>
  </si>
  <si>
    <t>FIRST FLOOR, Adv. WASIM AHEMAD'S COMPLEX, KHATI CHOWK, VIRANI TALKIES ROAD, WANI Postal/Zip Code: 445304 Taluka: Vani</t>
  </si>
  <si>
    <t>Svy No 9/1/2/4, Podar International School Road, Tamjai Nagar Bus Stop, Satara, satara Postal/Zip Code: 415002 Taluka: Satara</t>
  </si>
  <si>
    <t>Sai Baba Ward,Ballarpur, Dist Chandrapur, Sai Baba Ward, Allapali Road, Ballarpur Postal/Zip Code: 442701 Taluka: Ballarpur</t>
  </si>
  <si>
    <t>jain computers, near bus stand, main raod, sengaon Postal/Zip Code: 431513 Taluka: Sengaon</t>
  </si>
  <si>
    <t>03, Manikprabhu Mandir Bilding, Post Office Road, Sagroli Postal/Zip Code: 431731 Taluka: Biloli</t>
  </si>
  <si>
    <t>177, Indistrial Estate, Infront of Surajya Press,, M.I.D.C., M.I.D.C Post Office, Solapur Postal/Zip Code: 413003 Taluka: Solapur(n)</t>
  </si>
  <si>
    <t>c/o indumati suresh mankar ,ward no.1,juna malkapur road,motala, ward no.1,juna malkapur road,motala, college road, MOTALA Postal/Zip Code: 443103 Taluka: Motala</t>
  </si>
  <si>
    <t>ground floor, Shri Panchal Samaj Madhyavarti Mandal's Yeshwantrao Chaphekar Vidyasankul, College Road, palghar Postal/Zip Code: 401404 Taluka: Palghar</t>
  </si>
  <si>
    <t>202, , Arihant Krupa Bldg., , Station Road, Bhayander Mumbai Postal/Zip Code: 401101 Taluka: Thane</t>
  </si>
  <si>
    <t>tavshi road eklaspur, swami vivekanand institute of information technology, tavshi road, EKLASPUR Postal/Zip Code: 413304 Taluka: Pandharpur</t>
  </si>
  <si>
    <t>Shop No. 04, Temghar Village Road, Pipe Line Road, Bhiwandi Postal/Zip Code: 421302 Taluka: Bhiwandi</t>
  </si>
  <si>
    <t>MORAYA APARTMENT, PANCHMUKHI MARUTI ROAD, NEAR SAWANT CLASS, SANGLI, MORAYA APARTMENT, PANCHMUKHI MARUTI ROAD, SANGLI Postal/Zip Code: 416416 Taluka: Sangli</t>
  </si>
  <si>
    <t>A1,ROOM NO. 2, NO.2,PARKSITE COLONY,NR. MADINA MASJID,ABOVE DR. SANDEEP SINGH,VIKHROLI (w) TEL :8433431513 Postal/Zip Code: 400079 Taluka: Kurla</t>
  </si>
  <si>
    <t>111,Nageshwar Niwas, Bhalvani, Ahmednagar Postal/Zip Code: 414103 Taluka: Parner</t>
  </si>
  <si>
    <t>GROUND FLOOR, SHIVKRUPA NIWAS NEAR BMC COMPOUND , KOLSHET ROAD, THANE Postal/Zip Code: 400601 Taluka: Thane</t>
  </si>
  <si>
    <t>Shop No.5, Vastu.Co.Op.Hsg.Soc.Ltd, Nandivali Road, Dombivali(E) Pin 421201 Postal/Zip Code: 421204 Taluka: Kalyan</t>
  </si>
  <si>
    <t>653, Oni-Kondiwale, Oni, RAJAPUR Postal/Zip Code: 416705 Taluka: Rajapur</t>
  </si>
  <si>
    <t>AT POST KORAL TQ. OMERGA DIST. OSMANABAD, NEAR SCHOOL, MAIN RAOD KOARAL, KORAL Postal/Zip Code: 413604 Taluka: Omarga</t>
  </si>
  <si>
    <t>Plot No. 11, Deenprajahit Colony, Narendra Nagar, Vivekanand Nagar Post Office, Nagpur Postal/Zip Code: 440015 Taluka: Nagpur</t>
  </si>
  <si>
    <t>OFFICE NO-4, , BODKE TOWER, NAIGAON, NAIGAON Postal/Zip Code: 422101 Taluka: Sinnar</t>
  </si>
  <si>
    <t>BASEMENT FLOOR, , AGASTI APT, BELOW CANERA BANK, KALWA NAKA,, OPP. KALWA SUPER ,MARKET, THANE Postal/Zip Code: 400605 Taluka: Thane</t>
  </si>
  <si>
    <t>109, 1st Floor,, Sanar Arcade, Paryachi Ali,, M G Road, Bazar peth, Ratnagiri Postal/Zip Code: 415612 Taluka: Ratnagiri</t>
  </si>
  <si>
    <t>20, DESHMUKH BHAVAN, JALNA ROAD, DUSARBID Postal/Zip Code: 443308 Taluka: Sindakhed raja</t>
  </si>
  <si>
    <t>near old court main road bhadrawati 442902, asha vinod gawande, bhadrawati, BHADRAWATI Postal/Zip Code: 442902 Taluka: Bhadrawati</t>
  </si>
  <si>
    <t>2/139, KASBA , KAIJ ROAD, Dharur Postal/Zip Code: 431124 Taluka: Dharur</t>
  </si>
  <si>
    <t>MAIN ROAD, MAHAGAON Postal/Zip Code: 416503 Taluka: Gadhinglaj</t>
  </si>
  <si>
    <t>1, Suraj Apartment,Behind Hotel Oberoi, Mahavir Nagar, Savedi, Ahmednagar Postal/Zip Code: 414003 Taluka: Ahmednagar</t>
  </si>
  <si>
    <t>Sr. No.62/6, Kedari Nagar, Wanoworie,, SHIRI SWAMI NIWAS, WANOWARIE, 411040 Postal/Zip Code: 411040 Taluka: Haveli</t>
  </si>
  <si>
    <t>At Po Patan Tq Zarijamni Dist Yavatmal, At Po Patan Tq Zarijamni Dist Yavatmal, Patan, Patan Postal/Zip Code: 445305 Taluka: Zari jamadi</t>
  </si>
  <si>
    <t>2/3, LATE AVINASH MADHAVRAO DHAYGUDE PATIL GRAMSACHIVALAYA ,OFFICE NO-2&amp;3., AHIRE. Postal/Zip Code: 412802 Taluka: Khandala</t>
  </si>
  <si>
    <t>C/o L.T.Kanyashala, Dhuriwada,Malvan, Tahsil-Malvan Pin 416606 Postal/Zip Code: 416606 Taluka: Malvan</t>
  </si>
  <si>
    <t>TALE VIBHAG SHIKSHAN PRASARAK MANDAL'S,TALA Postal/Zip Code: 402102 Taluka: Tala</t>
  </si>
  <si>
    <t>C-26,Ashtavinayak Nagar Near Sara Riddhi Harsul Aurangabad, C-26,Ashtavinayak Nagar Near Sara Riddhi Harsul Aurangabad, Postal/Zip Code: 431005 Taluka: Aurangabad</t>
  </si>
  <si>
    <t>shivaji nagar, santkrupa mandir opp GHOGAON Postal/Zip Code: 415111 Taluka: Karad</t>
  </si>
  <si>
    <t>Ghandhi maidan, Samachar Pres Near, Ahmednagar 414001, Snehalaya's Center of Hope, Ghandhi Maidan Near, Ahmednagar Postal/Zip Code: 414001 Taluka: Ahmednagar</t>
  </si>
  <si>
    <t>HOUSE NO-1513, GOVINDRATNA HOSPITAL, LINGNUR ROAD, Belanki Postal/Zip Code: 416410 Taluka: Miraj</t>
  </si>
  <si>
    <t>Motiram Avenue, Flat No.3, Above SBI ATM, Opp.Hotel Nebula, Aamachi Colony, N.D.A.Road, Postal/Zip Code: 411021 Taluka: Pune City</t>
  </si>
  <si>
    <t>Shop No.26, Girija Shankar Vihar Complex, Karvenagar, Postal/Zip Code: 411052 Taluka: Pune City</t>
  </si>
  <si>
    <t>D/44/45,SECTOR 12.GANESH CHOWK, D TYPE ROW HOUSE, GANESH MANDIR ROAD, KHARGHAR Postal/Zip Code: 410210 Taluka: Panvel</t>
  </si>
  <si>
    <t>1, 1, Anandwan Complex, Nr. Sindh Mangal Karyalaya, Balikashram Road, Balikashram road, Ahmednagar Postal/Zip Code: 414003 Taluka: Ahmednagar</t>
  </si>
  <si>
    <t>Shop No.13,Bulbule Complex,Bhavsar Chowk,Malegaon Road,Nanded. Postal/Zip Code: 431602 Taluka: Nanded</t>
  </si>
  <si>
    <t>Near Razia Majjid, faizan colony, Mitmita, Aurangabad Postal/Zip Code: 431001 Taluka: Aurangabad</t>
  </si>
  <si>
    <t>Shreefal Woods, Bhagvan Mahavir Vidya Sankul, Near Prant Office, Dapoli Postal/Zip Code: 415712 Taluka: Dapoli</t>
  </si>
  <si>
    <t>Raghunath Nagar Ta. Gangapur Dist, Aurangabad , Raghunath Nagar Ta. Gangapur Dist, Aurangabad , Sakhar Karkhana Road, Raghunath Nagar Postal/Zip Code: 431110 Taluka: Gangapur</t>
  </si>
  <si>
    <t>GODAVARI PUBLIC SCHOOL,N-12,HUDCO,AURANGABAD-431003, GODAVARI PUBLIC SCHOOL.HIDCO, CIDCO, Aurangabad Postal/Zip Code: 431003 Taluka: Aurangabad</t>
  </si>
  <si>
    <t>F 2/4, F TYPE,SECTOR-4,, SECTOR-4 MARKET ROAD, CBD - BELAPUR Postal/Zip Code: 400614 Taluka: Thane</t>
  </si>
  <si>
    <t>Plot No 8, Murskar BhaVan, Lohara Road At-Po.Shankarpur, Shankarpur Postal/Zip Code: 442903 Taluka: Chimur</t>
  </si>
  <si>
    <t>Vijay Ice Factory, Near Bus Stand Warwat Bakal, Warwat Bakal Postal/Zip Code: 444202 Taluka: Sangrampur</t>
  </si>
  <si>
    <t>sant narhari sonar chowk, near sai mandir Postal/Zip Code: 431506 Taluka: Pathri</t>
  </si>
  <si>
    <t>34, Sahara Nagar, Hotgi Road, SOLAPUR Postal/Zip Code: 413225 Taluka: Solapur(s)</t>
  </si>
  <si>
    <t>PARIWARTAN COMPUTERS,AT POST GAJGAON, Postal/Zip Code: 423702 Taluka: Gangapur</t>
  </si>
  <si>
    <t>At &amp; Post Balewadi, At Post - Balewadi, Balewadi, Pune Postal/Zip Code: 411045 Taluka: Haveli</t>
  </si>
  <si>
    <t>plotno. 19/A Tiranga Colony, Banawadi Corner, Banawadi, RAJGURUPA, Vidyanagar, Karad, Banawadi Postal/Zip Code: 415124 Taluka: Karad</t>
  </si>
  <si>
    <t>SHIVDATTA KRUPA DAIRYOFFICE , NEAR SAIKRUPA SUGAR FACTORY PHASE- II, HIRADGAON PHATA, HIRADGAON Postal/Zip Code: 413701 Taluka: Shrigonda</t>
  </si>
  <si>
    <t>Nanded Road, Narsi Postal/Zip Code: 431709 Taluka: Naigaon</t>
  </si>
  <si>
    <t>swami plaza, 18, patrakar nagar, mul road, chandrapur, maharashtra, swami plaza, mul road, Chandrapur Postal/Zip Code: 442401 Taluka: Chandrapur</t>
  </si>
  <si>
    <t>SHOP NO.6, R.K TOWERS, HIGH COURT COLONY, SATARA PARISAR, AURANGABAD Postal/Zip Code: 431005 Taluka: Aurangabad</t>
  </si>
  <si>
    <t>Singhaniya Nagar, SINGHANIYA NAGAR, PANDHARKAWADA, PANDHARKAWADA Postal/Zip Code: 445302 Taluka: Pandharkawada</t>
  </si>
  <si>
    <t>Bus stop area newar to sandeep foundation mahirvani, location road side area of premises, mahiravani, Mahiravani Postal/Zip Code: 422001 Taluka: Nashik</t>
  </si>
  <si>
    <t>AT.Post Chikhalthan Tq.kannd Dist.Aurangabad, AT.Post Chikhalthan Tq.kannd Dist.Aurangabad, AT.Post Chikhalthan Tq.kannd Dist.Aurangabad, CHIKHALTHAN Postal/Zip Code: 431103 Taluka: Kannad</t>
  </si>
  <si>
    <t>At. Post Chandol Tq. Dist Buldana, Complex, Main Road , Chandol Postal/Zip Code: 443001 Taluka: Buldhana</t>
  </si>
  <si>
    <t>Plot No.642 ,Jalgaon Pachora Road Nandra Postal/Zip Code: 425115 Taluka: Pachora</t>
  </si>
  <si>
    <t>Opposite to Shriram Vidyalaya Korchi Postal/Zip Code: 441209 Taluka: Korchi</t>
  </si>
  <si>
    <t>A/P Sarole Tal Bhor Dist-Pune Postal/Zip Code: 412205 Taluka: Bhor</t>
  </si>
  <si>
    <t>KACHNER Postal/Zip Code: 431007 Taluka: Aurangabad</t>
  </si>
  <si>
    <t>AZAD NAGAR, RAKSHASBHUVAN Postal/Zip Code: 431127 Taluka: Georai</t>
  </si>
  <si>
    <t>BUS STAND Postal/Zip Code: 441702 Taluka: Arjuni moregaon</t>
  </si>
  <si>
    <t>Near Manavata Jr. College, Bondgaon Devi Postal/Zip Code: 441701 Taluka: Arjuni moregaon</t>
  </si>
  <si>
    <t>A/P. ARVI LANE OF NAVA MARUTI CHOWK, TAL-DIST- DHULE Postal/Zip Code: 424006 Taluka: Dhule</t>
  </si>
  <si>
    <t>At Post Takarwan Tq Majalgaon Postal/Zip Code: 431129 Taluka: Majalgaon</t>
  </si>
  <si>
    <t>Amgaon Road, Kamtha Postal/Zip Code: 441902 Taluka: Amgaon</t>
  </si>
  <si>
    <t>At Post Rajegaon,Tq Majalgaon Postal/Zip Code: 431129 Taluka: Majalgaon</t>
  </si>
  <si>
    <t>At Post Warola,Tq Majalgaon Postal/Zip Code: 431129 Taluka: Majalgaon</t>
  </si>
  <si>
    <t>At Po Vajareshwari Tal Bhiwandi Dist Thane Postal/Zip Code: 421302 Taluka: Bhiwandi</t>
  </si>
  <si>
    <t>At-post-Dhamangoan Tal-Ashti Dis-Beed Postal/Zip Code: 414202 Taluka: Ashti</t>
  </si>
  <si>
    <t>At-post-Pimpri Ghata Tal-Ashti Dis-Beed Postal/Zip Code: 414202 Taluka: Ashti</t>
  </si>
  <si>
    <t>MAHATMA GANDHI VIDYALAYA ,, KALYAN-BADLAPUR,ROAD, NEAR A.M.C. AMBARNA Postal/Zip Code: 421501 Taluka: Ambarnath</t>
  </si>
  <si>
    <t>Aasi nagar, Teka, Char khamb chowk, Nagpur Postal/Zip Code: 440017 Taluka: Nagpur</t>
  </si>
  <si>
    <t>OLD J. D. C. C. BANK, Postal/Zip Code: 425110 Taluka: Erandol</t>
  </si>
  <si>
    <t>MAIN ROAD ROHANA Postal/Zip Code: 442302 Taluka: Arvee</t>
  </si>
  <si>
    <t>MAIN ROAD KHARANGANA Postal/Zip Code: 442106 Taluka: Arvee</t>
  </si>
  <si>
    <t>A/P- Choravane Postal/Zip Code: 415718 Taluka: Khed</t>
  </si>
  <si>
    <t>A/P- Ambadas Postal/Zip Code: 415605 Taluka: Khed</t>
  </si>
  <si>
    <t>AT. SHIRSODE POST. BAHADARPUR TAL. PAROLA DIST. JALGAON Postal/Zip Code: 425113 Taluka: Parola</t>
  </si>
  <si>
    <t>AT.POST. TAMASWADI TAL. PAROLA DIST. JALGAON Postal/Zip Code: 425112 Taluka: Parola</t>
  </si>
  <si>
    <t>near sunil high school indora Postal/Zip Code: 441911 Taluka: Tirora</t>
  </si>
  <si>
    <t>Main Road, Jawala Postal/Zip Code: 413201 Taluka: Jamkhed</t>
  </si>
  <si>
    <t>NEAR PHC BHISI Postal/Zip Code: 442903 Taluka: Chimur</t>
  </si>
  <si>
    <t>CHANDEKAR BUILSING BAZAR CHOUK NR BUS STAND NERI Postal/Zip Code: 442904 Taluka: Chimur</t>
  </si>
  <si>
    <t>Salve English School ,Salve Tal.Dharangaon Dist.Jalgaon Postal/Zip Code: 425105 Taluka: Dharangaon</t>
  </si>
  <si>
    <t>COLLEGE ROAD SARUD Postal/Zip Code: 416214 Taluka: Shahuwadi</t>
  </si>
  <si>
    <t>JADHAV BUILDING, NEAR INDIRA MANGAL KARYALAYA, INDIRA HOUSING SOCIETY Postal/Zip Code: 416129 Taluka: Hatkanangale</t>
  </si>
  <si>
    <t>Near ADCC Bank,Kotul Rajur Road At/Po-Kotul Tal-Akole Dist-Ahmednagar Postal/Zip Code: 422610 Taluka: Akole</t>
  </si>
  <si>
    <t>Padyal Wadi, Asond Postal/Zip Code: 415711 Taluka: Dapoli</t>
  </si>
  <si>
    <t>At post Devhare Postal/Zip Code: 415208 Taluka: Mandangad</t>
  </si>
  <si>
    <t>At Post Palawani Postal/Zip Code: 415712 Taluka: Mandangad</t>
  </si>
  <si>
    <t>TAKLIMANUR, TAL- PATHARDI, DIST- AHMEDNAGAR Postal/Zip Code: 414102 Taluka: Pathardi</t>
  </si>
  <si>
    <t>KHARWANDI KASAR, TAL- PATHARDI, DIST- AHMEDNAGAR Postal/Zip Code: 414113 Taluka: Pathardi</t>
  </si>
  <si>
    <t>Near Collector Colony, Complex Area, Sonapur Postal/Zip Code: 442605 Taluka: Gadchiroli</t>
  </si>
  <si>
    <t>Near z.p. high school, pimplner Postal/Zip Code: 431122 Taluka: Beed</t>
  </si>
  <si>
    <t>A/p:- Kedagon st. Ambegaon Tal Daund Dist pune Postal/Zip Code: 412203 Taluka: Daund</t>
  </si>
  <si>
    <t>State Bank Building, First Floor, Satral Group Society At Post Satral Tal Rahata Postal/Zip Code: 413711 Taluka: Rahata</t>
  </si>
  <si>
    <t>Pravara Bank Building, 2nd Floor, Near Bus Stand, Babhaleshwar Chowk, Loni road Postal/Zip Code: 413737 Taluka: Rahata</t>
  </si>
  <si>
    <t>at post kurul, tal- mohol, dist- solapur Postal/Zip Code: 413213 Taluka: Mohol</t>
  </si>
  <si>
    <t>At post kotawade,ratnagiri Postal/Zip Code: 415639 Taluka: Ratnagiri</t>
  </si>
  <si>
    <t>Sindhubhumi Office, Kasarde Titha, Kasarde, Tal : Kankavli Postal/Zip Code: 416602 Taluka: Kankavli</t>
  </si>
  <si>
    <t>Ap-Theur (Taru Building )Near-PDCC bank ,Tal-Haveli ,Dist-Pune Postal/Zip Code: 412110 Taluka: Haveli</t>
  </si>
  <si>
    <t>sangvi Postal/Zip Code: 425405 Taluka: Shirpur</t>
  </si>
  <si>
    <t>Rahu road ,Behind -Bolhai Bus Stop ,Wadebolhai, Tal-Haveli,Pune Postal/Zip Code: 412207 Taluka: Haveli</t>
  </si>
  <si>
    <t>Near-Ghule Hospital, Rahu Road,Opp.Grampanchayat Kesnand,Tal-Haveli,Pune Postal/Zip Code: 412207 Taluka: Haveli</t>
  </si>
  <si>
    <t>Dorle Bldg, Gandhi Chowk, Phondaghat Bajarpeth, Phondaghat, Kankavli Postal/Zip Code: 416602 Taluka: Kankavli</t>
  </si>
  <si>
    <t>CHICHONDI, TAL: PATHARDI Postal/Zip Code: 414106 Taluka: Pathardi</t>
  </si>
  <si>
    <t>IFTEKHAR PLOT Postal/Zip Code: 444101 Taluka: Akot</t>
  </si>
  <si>
    <t>MUNDGAON Postal/Zip Code: 444101 Taluka: Akot</t>
  </si>
  <si>
    <t>AT. LONI POST. SARVE TAL. PAROLA DIST. JALGAON Postal/Zip Code: 425111 Taluka: Parola</t>
  </si>
  <si>
    <t>SAMTA NAGAR MURTIJAPUR Postal/Zip Code: 444107 Taluka: Murtijapur</t>
  </si>
  <si>
    <t>Kadwai Bazarpeth Postal/Zip Code: 415609 Taluka: Sangameshwar</t>
  </si>
  <si>
    <t>At Post Dabhole Postal/Zip Code: 415803 Taluka: Sangameshwar</t>
  </si>
  <si>
    <t>Sundar Nagar, Babhulgaon Ta. Akola. Dist. Akola. Postal/Zip Code: 444001 Taluka: Akola</t>
  </si>
  <si>
    <t>AT/POST- BIB, TAL- PHALTAN, DIST- SATARA Postal/Zip Code: 415523 Taluka: Phaltan</t>
  </si>
  <si>
    <t>AT POST SHIRSOLI Postal/Zip Code: 425002 Taluka: Jalgaon</t>
  </si>
  <si>
    <t>AT POST UJANA Postal/Zip Code: 413515 Taluka: Ahmadpur</t>
  </si>
  <si>
    <t>AT POST Pimperkhed Postal/Zip Code: 424109 Taluka: Nandgaon</t>
  </si>
  <si>
    <t>Near N.D.C.C. Bank, Vehelgaon Postal/Zip Code: 423106 Taluka: Nandgaon</t>
  </si>
  <si>
    <t>near bank of maharashtra gadmudshingi Postal/Zip Code: 416005 Taluka: Karveer</t>
  </si>
  <si>
    <t>SHIVDAV MADHYAMIK VIDYALAY, SHIVDAV Postal/Zip Code: 416602 Taluka: Kankavli</t>
  </si>
  <si>
    <t>JAMGAON Postal/Zip Code: 414203 Taluka: Ashti</t>
  </si>
  <si>
    <t>AT-POST-DEVALE , TAL-SANGMESHWAR , DIST-RATNAGIRI Postal/Zip Code: 415807 Taluka: Ratnagiri</t>
  </si>
  <si>
    <t>Near Amjadiya High School Khan Compound Gaibinagar Postal/Zip Code: 421302 Taluka: Bhiwandi</t>
  </si>
  <si>
    <t>Near Uttareshwar High School, Vidani Postal/Zip Code: 415523 Taluka: Phaltan</t>
  </si>
  <si>
    <t>Kotul, Tal Akole Dist Ahmednahar Postal/Zip Code: 422610 Taluka: Akole</t>
  </si>
  <si>
    <t>Kelirumhanwadi, Tal Akole Dist Ahmednagar Postal/Zip Code: 422601 Taluka: Akole</t>
  </si>
  <si>
    <t>A/P- Shere shenoli Station Postal/Zip Code: 415110 Taluka: Karad</t>
  </si>
  <si>
    <t>At/Post- Deothan, Tal- akole, Dist- ahmednagar Postal/Zip Code: 422601 Taluka: Akole</t>
  </si>
  <si>
    <t>At-Kopar,Post-Gavhan,Tal-Panvel Postal/Zip Code: 410206 Taluka: Panvel</t>
  </si>
  <si>
    <t>Near Bus Stand, Ranwad, Tal-Niphad, Dist-Nashik Postal/Zip Code: 422308 Taluka: Niphad</t>
  </si>
  <si>
    <t>Near Grampanchayat, Vanasgaon, Tal-Niphad, Dist-Nashik Postal/Zip Code: 422304 Taluka: Niphad</t>
  </si>
  <si>
    <t>GRAMPANCHAYAT SHOPPING COMPLEX AT-PO-VADAJI Postal/Zip Code: 424105 Taluka: Bhadgaon</t>
  </si>
  <si>
    <t>Sant Dnyaneshwar Vidyalaya,Karla Postal/Zip Code: 431207 Taluka: Jalna</t>
  </si>
  <si>
    <t>At-post-Wada, TAl- Devgad, Tahsil: Devgad, District : Sindhudurg Postal/Zip Code: 416805 Taluka: Devgad</t>
  </si>
  <si>
    <t>AT.POST. PALSHET Postal/Zip Code: 415704 Taluka: Guhagar</t>
  </si>
  <si>
    <t>A/p. Nangaon, Tal-Daund, Dist-Pune Postal/Zip Code: 412203 Taluka: Daund</t>
  </si>
  <si>
    <t>Patil Buillding , Near S.T. Stand , narande Postal/Zip Code: 416110 Taluka: Hatkanangale</t>
  </si>
  <si>
    <t>NEAR GRAMPANCHAYAT Postal/Zip Code: 416115 Taluka: Hatkanangale</t>
  </si>
  <si>
    <t>VALTHAN Postal/Zip Code: 424101 Taluka: Chalisgaon</t>
  </si>
  <si>
    <t>Harichandra Pimpri Road, Dewadi Tq. Wadwani, Dist. Beed Postal/Zip Code: 431122 Taluka: Vadavani</t>
  </si>
  <si>
    <t>SMT.S.P.RANE MADHYAMIK VIDYALAYA, KHIRDI (KD) Postal/Zip Code: 425507 Taluka: Raver</t>
  </si>
  <si>
    <t>At/post-Velaneshwar Postal/Zip Code: 415703 Taluka: Guhagar</t>
  </si>
  <si>
    <t>At/post-Sheer Postal/Zip Code: 415726 Taluka: Guhagar</t>
  </si>
  <si>
    <t>NAIK HOUSE BOMBDOGICHIWADI Postal/Zip Code: 416517 Taluka: Vengurle</t>
  </si>
  <si>
    <t>AT Post Moor, Tal. Rajapur, Dist. Ratnagiri Postal/Zip Code: 416704 Taluka: Rajapur</t>
  </si>
  <si>
    <t>NEAR BUS STAND , DAHIGAON-NE, TAL SHEVGAON Postal/Zip Code: 414502 Taluka: Shevgaon</t>
  </si>
  <si>
    <t>A/P- Wadvali Postal/Zip Code: 416705 Taluka: Rajapur</t>
  </si>
  <si>
    <t>VASANT NAGAR Postal/Zip Code: 413514 Taluka: Ahmadpur</t>
  </si>
  <si>
    <t>A/P- Anjanwel, Tal- Guhagar, Dist- Ratnagiri Postal/Zip Code: 415703 Taluka: Guhagar</t>
  </si>
  <si>
    <t>Near K.D.C. bank Khochi Postal/Zip Code: 416110 Taluka: Hatkanangale</t>
  </si>
  <si>
    <t>NEAR M.N.KABARE MADHYAMIK VIDYALAYA SONVAD Postal/Zip Code: 425104 Taluka: Dharangaon</t>
  </si>
  <si>
    <t>6, PADMALAYA SHOPING COMPLEX, MHASAWAD Postal/Zip Code: 425116 Taluka: Jalgaon</t>
  </si>
  <si>
    <t>BHAUSAHEB MAHADIK NAGAR, Postal/Zip Code: 415641 Taluka: Chiplun</t>
  </si>
  <si>
    <t>NEAR MATOSHRI MEDICAL KOREGAON, TAH.DESAIGANJ DIST.GADCHIROLI Postal/Zip Code: 441207 Taluka: Desaiganj</t>
  </si>
  <si>
    <t>AT KUNDANE POST VARKHEDE Postal/Zip Code: 424301 Taluka: Dhule</t>
  </si>
  <si>
    <t>c/o Sawant Complex, Opp. S.T. Stand Phondaghat, Tal-Kankavli, Dt.-Sindhudurg Postal/Zip Code: 416601 Taluka: Kankavli</t>
  </si>
  <si>
    <t>At post Upli Tq Wadwani Dist Beed Postal/Zip Code: 431131 Taluka: Vadavani</t>
  </si>
  <si>
    <t>HINGONE KD Postal/Zip Code: 424101 Taluka: Chalisgaon</t>
  </si>
  <si>
    <t>AT-AMTEM,OPP. S.T. STAND Postal/Zip Code: 402107 Taluka: Pen</t>
  </si>
  <si>
    <t>AT/POST-VASHI Postal/Zip Code: 402107 Taluka: Pen</t>
  </si>
  <si>
    <t>T/POST-GADAB Postal/Zip Code: 402107 Taluka: Pen</t>
  </si>
  <si>
    <t>At Post Keshegaon Tal Osmanabad Dist Osmanabad Postal/Zip Code: 413501 Taluka: Osmanabad</t>
  </si>
  <si>
    <t>Dhekanmoha chowk, near Gorakshanath vidyalay. Postal/Zip Code: 431122 Taluka: Beed</t>
  </si>
  <si>
    <t>MAIN ROAD DAWADIPAR BAZAR TAH. DISTT. BHANDARA Postal/Zip Code: 440904 Taluka: Bhandara</t>
  </si>
  <si>
    <t>MAIN ROAD MANEGAON BAZAR TAH. DISTT. BHANDARA Postal/Zip Code: 441904 Taluka: Bhandara</t>
  </si>
  <si>
    <t>Near Maruti Temple, Tak Aravali Postal/Zip Code: 416516 Taluka: Vengurle</t>
  </si>
  <si>
    <t>A/P. KAMLEVIR BAZAR, KAMLEVIR Postal/Zip Code: 416516 Taluka: Vengurle</t>
  </si>
  <si>
    <t>AT POST MANDAVI TQ. KINWAT DIST. NANDED Postal/Zip Code: 431805 Taluka: Kinvat</t>
  </si>
  <si>
    <t>Prathmik Shikshak Bhavan, Nr Bahadushekh Naka, Chiplun- 415605 Postal/Zip Code: 415605 Taluka: Chiplun</t>
  </si>
  <si>
    <t>AKOT-AKOLA ROAD, GANDHIGRAM Postal/Zip Code: 444006 Taluka: Akola</t>
  </si>
  <si>
    <t>C/O RAMESHWAR CHIPADE, BEHIND APATAPA BUS STAND, APATAPA Postal/Zip Code: 444003 Taluka: Akola</t>
  </si>
  <si>
    <t>At Post Kudal, Tal. Jawali, Dist. Satara Postal/Zip Code: 415514 Taluka: Jawali</t>
  </si>
  <si>
    <t>NEAR DCC BANK AT POST DISKAL TAL KHATAV DIST SATARA Postal/Zip Code: 415504 Taluka: Khatav</t>
  </si>
  <si>
    <t>Near Hanuman mandir Postal/Zip Code: 414503 Taluka: Shevgaon</t>
  </si>
  <si>
    <t>tardal-khotwadi main road,chandni chouck,in front of ch.shahu sahakari path sanstha,tardal. Postal/Zip Code: 416121 Taluka: Hatkanangale</t>
  </si>
  <si>
    <t>NEAR Z P SCHOOL SATARA RAHIMATPUR ROAD TASGOAN SATARA Postal/Zip Code: 415004 Taluka: Satara</t>
  </si>
  <si>
    <t>AT PO SARAL, TAL. ALIBAG, DIS. RAIGAD Postal/Zip Code: 402209 Taluka: Alibag</t>
  </si>
  <si>
    <t>Shop No.3, Vighnesh Apt, Opp. Kaveri Super Market, Kalyan-Shil Road, Sonarpada Postal/Zip Code: 421204 Taluka: Kalyan</t>
  </si>
  <si>
    <t>Mahatma Phule Education Trust, Charapati Shivaji Vidyalaya. PMGP Colony Dharavi Postal/Zip Code: 400017 Taluka: Mumbai</t>
  </si>
  <si>
    <t>At post khandali Tq. Ahmedpur Dist. Latur Postal/Zip Code: 413515 Taluka: Ahmadpur</t>
  </si>
  <si>
    <t>AT POST DHALEGAON TQ. AHMEDPUR DIST. LATUR Postal/Zip Code: 413523 Taluka: Ahmadpur</t>
  </si>
  <si>
    <t>Near Dnyaneshwar Vidyalaya, Salebhata Postal/Zip Code: 441804 Taluka: Lakhani</t>
  </si>
  <si>
    <t>Near PHC Murmadi/ Tupkar Postal/Zip Code: 441809 Taluka: Lakhani</t>
  </si>
  <si>
    <t>NEAR Z.P.HIGH SCHOOL PENOOR TQ.LOHA DIST.NANDED Postal/Zip Code: 431708 Taluka: Loha</t>
  </si>
  <si>
    <t>a/p Vinchur T/D Dhule Postal/Zip Code: 424311 Taluka: Dhule</t>
  </si>
  <si>
    <t>A/P-SALASHI-SHIRGAON, TAL-DEOGAD, DIST- SINDHUDURG Postal/Zip Code: 416610 Taluka: Devgad</t>
  </si>
  <si>
    <t>IN FRONT OF IKBAL KIRANA, BAZAR CHOCK POHARA Postal/Zip Code: 441809 Taluka: Lakhani</t>
  </si>
  <si>
    <t>NEAR BALAVADHUT HIGHSCHOOL,MOUJE VADGAON Postal/Zip Code: 416122 Taluka: Hatkanangale</t>
  </si>
  <si>
    <t>Near Jain Basti Postal/Zip Code: 416122 Taluka: Hatkanangale</t>
  </si>
  <si>
    <t>Hal Bhag Walwa Postal/Zip Code: 416313 Taluka: Walva</t>
  </si>
  <si>
    <t>Near Pandit Nehru Vidyalaya Nimgaon Sawa Postal/Zip Code: 410504 Taluka: Junnar</t>
  </si>
  <si>
    <t>Near ST Stand, A/p - Kasegaon, Tal - Walwa Postal/Zip Code: 415404 Taluka: Walva</t>
  </si>
  <si>
    <t>Main Road Balamtakli Postal/Zip Code: 414502 Taluka: Shevgaon</t>
  </si>
  <si>
    <t>AUDYOGIK PRASHIKSHAN SANSTHA SAWARDE, VAHAL PHATA , SAWARDE Postal/Zip Code: 415606 Taluka: Chiplun</t>
  </si>
  <si>
    <t>NEAR SCHOOL DHAWALAPURI Postal/Zip Code: 431007 Taluka: Aurangabad</t>
  </si>
  <si>
    <t>AT POST : MANGAON TAL : HATKANANGLE DIST : KOLHAPUR Postal/Zip Code: 416118 Taluka: Hatkanangale</t>
  </si>
  <si>
    <t>AT.POST.SHIRADHON TQ.KANDHAR DIST.NANDED Postal/Zip Code: 431707 Taluka: Kandhar</t>
  </si>
  <si>
    <t>A/P: RANGOLI, TAL: HATKANANGALE, DIST: KOLHAPUR Postal/Zip Code: 416143 Taluka: Hatkanangale</t>
  </si>
  <si>
    <t>C /68,TOWNSHIP -SHIHU-BENSE,TAL-PEN,DIST-TAIGAD Postal/Zip Code: 402107 Taluka: Pen</t>
  </si>
  <si>
    <t>NEAR ST BUS STOP, GRAM VIKAS VACHNALAYA BUILDING, VIRSEE Postal/Zip Code: 441802 Taluka: Sakoli</t>
  </si>
  <si>
    <t>PETH GALLI, NEAR GRAM PANCHAYAT , MUNGI Postal/Zip Code: 414503 Taluka: Shevgaon</t>
  </si>
  <si>
    <t>Shivaji Vidhyalay Road, Palasgaon/Sonka Postal/Zip Code: 441806 Taluka: Sakoli</t>
  </si>
  <si>
    <t>Patoda Road Postal/Zip Code: 431126 Taluka: Beed</t>
  </si>
  <si>
    <t>A/p- Khed Postal/Zip Code: 413508 Taluka: Osmanabad</t>
  </si>
  <si>
    <t>Line Galli,Near Balaji Zenda Postal/Zip Code: 431717 Taluka: Deglur</t>
  </si>
  <si>
    <t>NEAR BUS STOP Postal/Zip Code: 442104 Taluka: Selu</t>
  </si>
  <si>
    <t>Main Road Malewada Tah Kurkheda Dist Gadchiroli Postal/Zip Code: 441209 Taluka: Karakheda</t>
  </si>
  <si>
    <t>Near Vidya Vikas High School Deulgaon Postal/Zip Code: 441207 Taluka: Karakheda</t>
  </si>
  <si>
    <t>Near Chandake Shop. Aitawade BK Postal/Zip Code: 415401 Taluka: Walva</t>
  </si>
  <si>
    <t>At.Post:Inamgaon Tal:Shirur,Dist:Pune Postal/Zip Code: 412211 Taluka: Shirur</t>
  </si>
  <si>
    <t>Near Bhairvnath Mandir Nerle Postal/Zip Code: 415406 Taluka: Walva</t>
  </si>
  <si>
    <t>Near Grampanchayat Yedenipani Postal/Zip Code: 415403 Taluka: Walva</t>
  </si>
  <si>
    <t>At.Po.Sitepar Postal/Zip Code: 441902 Taluka: Amgaon</t>
  </si>
  <si>
    <t>PARESH CLASSES,CANNAL ROAD Postal/Zip Code: 402112 Taluka: Mangaon</t>
  </si>
  <si>
    <t>SINDHUDURG BANK BLD . NANDGAON TITHA Postal/Zip Code: 416602 Taluka: Kankavli</t>
  </si>
  <si>
    <t>Near Gram Panchayat Postal/Zip Code: 441614 Taluka: Gondiya</t>
  </si>
  <si>
    <t>RANIAWANTI CHOWAK ZALIYA Postal/Zip Code: 441916 Taluka: Salekasa</t>
  </si>
  <si>
    <t>SWAMIVIVEKANAND HIGHSCHOOL ROAD SONPURI Postal/Zip Code: 441916 Taluka: Salekasa</t>
  </si>
  <si>
    <t>at post : shendi, opp old police station, shendi Postal/Zip Code: 422604 Taluka: Akole</t>
  </si>
  <si>
    <t>At. Post. Kitadi Ta. Lakhani Dist. Bhandara Postal/Zip Code: 441903 Taluka: Lakhani</t>
  </si>
  <si>
    <t>At. Post. Pimpalgaon/Sadak Ta. Lakhani Dist. Bhandara Postal/Zip Code: 441804 Taluka: Lakhani</t>
  </si>
  <si>
    <t>Dharampur Road Umbarthan Postal/Zip Code: 422211 Taluka: Surgana</t>
  </si>
  <si>
    <t>NEAR GRAM PANCHAYAT MAIN ROAD DAWWA Postal/Zip Code: 441807 Taluka: Sadak arjuni</t>
  </si>
  <si>
    <t>MAIN ROAD DONGARGAON SADAK Postal/Zip Code: 441807 Taluka: Sadak arjuni</t>
  </si>
  <si>
    <t>Shivaji Chowk, Main Road, Hoal Postal/Zip Code: 431517 Taluka: Kaij</t>
  </si>
  <si>
    <t>AT- POST DAWWA TALUKA SADAK ARJUNI Postal/Zip Code: 441807 Taluka: Sadak arjuni</t>
  </si>
  <si>
    <t>NEAR PETROL PUMP KATANGI ROAD GOBARWAHI Postal/Zip Code: 441915 Taluka: Tumsar</t>
  </si>
  <si>
    <t>KATANGI ROAD NAKADONGARI Postal/Zip Code: 441913 Taluka: Tumsar</t>
  </si>
  <si>
    <t>At Dugad Phata, Po Dugad,Tal Bhiwandi , Dist Thane Postal/Zip Code: 421302 Taluka: Bhiwandi</t>
  </si>
  <si>
    <t>MAKHJAN ENGLISH SCHOOL, MAKHJAN (SARAND), TAL:SANGAMESHWAR, DIST:RATNAGIRI Postal/Zip Code: 415608 Taluka: Sangameshwar</t>
  </si>
  <si>
    <t>M.D.Naik Highschool Kondivare, Tal:Sangameshwar, Dist:Ratnagiri. Postal/Zip Code: 415608 Taluka: Sangameshwar</t>
  </si>
  <si>
    <t>A/p- Halondi Postal/Zip Code: 416122 Taluka: Hatkanangale</t>
  </si>
  <si>
    <t>NEAR BUS STAND Postal/Zip Code: 423111 Taluka: Chandwad</t>
  </si>
  <si>
    <t>NAVKAE PLAZA , VADALIBHOI Postal/Zip Code: 423117 Taluka: Chandwad</t>
  </si>
  <si>
    <t>Nagthane Postal/Zip Code: 416313 Taluka: Palus</t>
  </si>
  <si>
    <t>Near Vyanknath Vidyalaya Loni Vyanknath Postal/Zip Code: 413702 Taluka: Shrigonda</t>
  </si>
  <si>
    <t>Guruvarya A.A. Desai Madhymik Vidyamandir, Hatkhamba Postal/Zip Code: 415619 Taluka: Ratnagiri</t>
  </si>
  <si>
    <t>Near Gram Panchayat Hangewadi Postal/Zip Code: 414701 Taluka: Shrigonda</t>
  </si>
  <si>
    <t>Vanipeth, A/p. Chanderai Postal/Zip Code: 416712 Taluka: Ratnagiri</t>
  </si>
  <si>
    <t>A/P. SAUNDALE (PADEL), TAL- DEVGAD, DIST.- SINDHUDURG PIN- 416804 Postal/Zip Code: 416804 Taluka: Devgad</t>
  </si>
  <si>
    <t>1st Floor, NR Dhanwantari Pathsanstha, Rajale Postal/Zip Code: 415523 Taluka: Phaltan</t>
  </si>
  <si>
    <t>A/p-Pawarwadi (asu) Postal/Zip Code: 415523 Taluka: Phaltan</t>
  </si>
  <si>
    <t>AT POST KADAV Postal/Zip Code: 410201 Taluka: Karjat</t>
  </si>
  <si>
    <t>AT POST GAULWADI Postal/Zip Code: 410201 Taluka: Karjat</t>
  </si>
  <si>
    <t>Shramik Vidyalaya, Shiwar Ambere Postal/Zip Code: 415626 Taluka: Ratnagiri</t>
  </si>
  <si>
    <t>NEW BUS STAND, PATTANKODOLI Postal/Zip Code: 416202 Taluka: Hatkanangale</t>
  </si>
  <si>
    <t>Maharana Pratap Road, Near Cinema Tokies, Adawad Postal/Zip Code: 425303 Taluka: Chopada</t>
  </si>
  <si>
    <t>A WARD, INGALI Postal/Zip Code: 416202 Taluka: Hatkanangale</t>
  </si>
  <si>
    <t>A/p. Punas Postal/Zip Code: 416712 Taluka: Lanja</t>
  </si>
  <si>
    <t>Lohoner Vasol Road Near Maruti Mandir Lohoner Tal Deola Dist Nashik Postal/Zip Code: 423301 Taluka: Deola</t>
  </si>
  <si>
    <t>Madhyamik Vidyamandir Tamhane Postal/Zip Code: 415804 Taluka: Sangameshwar</t>
  </si>
  <si>
    <t>At - Khambi Pimpalgaon Postal/Zip Code: 441702 Taluka: Arjuni moregaon</t>
  </si>
  <si>
    <t>MAULANA AZAD CHOWK, ROJA MOHALLA, KAIJ Postal/Zip Code: 431123 Taluka: Kaij</t>
  </si>
  <si>
    <t>At post Dabhil Postal/Zip Code: 415711 Taluka: Dapoli</t>
  </si>
  <si>
    <t>SHAINSHA NAGAR , NURSERY ROAD , OPPSITE NAGAR SHOPING COMPLEX BEED Postal/Zip Code: 431122 Taluka: Beed</t>
  </si>
  <si>
    <t>Anand Nagar Postal/Zip Code: 441924 Taluka: Bhandara</t>
  </si>
  <si>
    <t>At. Post. Hosur Postal/Zip Code: 413522 Taluka: Nilanga</t>
  </si>
  <si>
    <t>ATPOST : BORI TAL : INDAPUR, DIST : PUNE Postal/Zip Code: 413104 Taluka: Indapur</t>
  </si>
  <si>
    <t>N K Varadkar Arts &amp; R V Belose Commerce College, Dapoli Postal/Zip Code: 415712 Taluka: Dapoli</t>
  </si>
  <si>
    <t>C/O Rambhau Jairam Mirashe, Khat Road, Khurshipar Post:Mohdura Postal/Zip Code: 441906 Taluka: Bhandara</t>
  </si>
  <si>
    <t>At post Palgad Postal/Zip Code: 415712 Taluka: Dapoli</t>
  </si>
  <si>
    <t>At/post - Bori(bk), Tal - Junnar, Dist- Pune Postal/Zip Code: 412411 Taluka: Junnar</t>
  </si>
  <si>
    <t>AT PO SASWANE, TAL ALIBAG, DIST. RAIGAD Postal/Zip Code: 402201 Taluka: Alibag</t>
  </si>
  <si>
    <t>Near Shivaji Chowk, S.B. Medical Tumsar(Tedha) Postal/Zip Code: 441801 Taluka: Goregaon</t>
  </si>
  <si>
    <t>Main Road Ramgad(Purada) Postal/Zip Code: 441209 Taluka: Karakheda</t>
  </si>
  <si>
    <t>CHIKURDE, NEAR ST STAND Postal/Zip Code: 415412 Taluka: Walva</t>
  </si>
  <si>
    <t>KARANJAWADE Postal/Zip Code: 415401 Taluka: Walva</t>
  </si>
  <si>
    <t>SHRIVASTVA COLONY Postal/Zip Code: 442908 Taluka: Korpana</t>
  </si>
  <si>
    <t>AT PO VADGAON RASAI TAL SHIRUR DIST PUNE Postal/Zip Code: 412211 Taluka: Shirur</t>
  </si>
  <si>
    <t>FIRST FL., BAZARPETH, UPON RDCC BANK, AT/PO - KELSHI, TAL-DAPOLI, DIST.RATNAGIRI Postal/Zip Code: 415717 Taluka: Dapoli</t>
  </si>
  <si>
    <t>S.DR.M. NAVALKAR L.T. VIDYALAYA, AT/PO- DABHOL, TAL-DABHOL, DIST.-RATNAGIRI Postal/Zip Code: 415706 Taluka: Dapoli</t>
  </si>
  <si>
    <t>M. K. ENGLISH SCHOOL, AT-PO-ANJARLA, TAL-DAPOLI, DIST.- RATNAGIRI. Postal/Zip Code: 415714 Taluka: Dapoli</t>
  </si>
  <si>
    <t>AT-POST-KALAMB,TAL-KARJAT,DIST-RAIGAD Postal/Zip Code: 410201 Taluka: Karjat</t>
  </si>
  <si>
    <t>CHATRAPATI SHIVAJI HIGH SCHOOL, AT/PO-KHOPI, TAL-KHED, DIST-RATNAGIRI Postal/Zip Code: 415715 Taluka: Khed</t>
  </si>
  <si>
    <t>NEAR KHAMB TALE, TAL-KHED DIST-RATNAGIRI Postal/Zip Code: 415709 Taluka: Khed</t>
  </si>
  <si>
    <t>SANT DNYANESHWAR VIDYALAYA, WAHEGAONSAL Postal/Zip Code: 422306 Taluka: Chandwad</t>
  </si>
  <si>
    <t>Gram Panchayat NEAR Postal/Zip Code: 413607 Taluka: Nilanga</t>
  </si>
  <si>
    <t>Near School Postal/Zip Code: 423301 Taluka: Baglan</t>
  </si>
  <si>
    <t>Behind Mahadev Mandir Postal/Zip Code: 423601 Taluka: Kopargaon</t>
  </si>
  <si>
    <t>Nave Khed Postal/Zip Code: 416313 Taluka: Walva</t>
  </si>
  <si>
    <t>Islampur Road, Malbhag, Walva Postal/Zip Code: 416313 Taluka: Walva</t>
  </si>
  <si>
    <t>AT, POST- GONDE DUMALA, TAL-IGATPURI, DIST-NASHIK Postal/Zip Code: 422403 Taluka: Igatpuri</t>
  </si>
  <si>
    <t>AT, POST-WADIVARHE, TAL-IGATPURI, DIST-NASHIK Postal/Zip Code: 422403 Taluka: Igatpuri</t>
  </si>
  <si>
    <t>Kasar Lane Nannaj Postal/Zip Code: 413201 Taluka: Jamkhed</t>
  </si>
  <si>
    <t>SAPTASHRUNGIGAD Postal/Zip Code: 423501 Taluka: Kalvan</t>
  </si>
  <si>
    <t>KHATHDA OLD NASHIK Postal/Zip Code: 422001 Taluka: Nashik</t>
  </si>
  <si>
    <t>A/P- SHEDGEWADI TAL-SHIRALA DIST-SANGLI Postal/Zip Code: 415405 Taluka: Shirala</t>
  </si>
  <si>
    <t>Ranjeet Chouk, Mangle Postal/Zip Code: 415412 Taluka: Shirala</t>
  </si>
  <si>
    <t>NARDAVE ENGLISH SCHOOL Postal/Zip Code: 416609 Taluka: Kankavli</t>
  </si>
  <si>
    <t>At Post Pangari Postal/Zip Code: 422104 Taluka: Sinnar</t>
  </si>
  <si>
    <t>Malwadi road Kande Postal/Zip Code: 415408 Taluka: Shirala</t>
  </si>
  <si>
    <t>Frint of ZP School, Pimprad. Tal-Phaltan Dist-Satara. Postal/Zip Code: 415523 Taluka: Phaltan</t>
  </si>
  <si>
    <t>YASHWANT PATSANTHA BUILDING, FIRST FLOOR, NEAR RAM MANDIR, PARGAON SHINGAVE Postal/Zip Code: 412406 Taluka: Ambegaon</t>
  </si>
  <si>
    <t>MAIN ROAD SAWKHEDA Postal/Zip Code: 431136 Taluka: Gangapur</t>
  </si>
  <si>
    <t>Near Z. P. School , Dhoot Complex Postal/Zip Code: 413512 Taluka: Latur</t>
  </si>
  <si>
    <t>C% Bhure Complex , Neatr Khedikar Jwelrs , Ekodi /Kinhi Postal/Zip Code: 441802 Taluka: Sakoli</t>
  </si>
  <si>
    <t>G. P. SANKUL Postal/Zip Code: 441802 Taluka: Sakoli</t>
  </si>
  <si>
    <t>AT MANE COLONY DEGOAN ROAD SATARA Postal/Zip Code: 415004 Taluka: Satara</t>
  </si>
  <si>
    <t>MANGLE Postal/Zip Code: 415408 Taluka: Shirala</t>
  </si>
  <si>
    <t>Main Road, Warud Chakrapan Postal/Zip Code: 431513 Taluka: Sengaon</t>
  </si>
  <si>
    <t>Near PHC Dalwat, A/p. Dalwat, Postal/Zip Code: 423502 Taluka: Kalvan</t>
  </si>
  <si>
    <t>Bazar Peth Shani Mandir Postal/Zip Code: 423303 Taluka: Baglan</t>
  </si>
  <si>
    <t>Near Bus Stop, Lokhandi Sawargaon Postal/Zip Code: 431517 Taluka: Ambejogai</t>
  </si>
  <si>
    <t>Near Madhyamik Vidyalaya, Postal/Zip Code: 431523 Taluka: Ambejogai</t>
  </si>
  <si>
    <t>Talegaon (Ghat) Postal/Zip Code: 431517 Taluka: Ambejogai</t>
  </si>
  <si>
    <t>Dongarpimpla Postal/Zip Code: 431517 Taluka: Ambejogai</t>
  </si>
  <si>
    <t>AT POST BHANDEGAON Postal/Zip Code: 431513 Taluka: Hingoli</t>
  </si>
  <si>
    <t>a/p 621 rajlaxmai nivas yashodha nagar Postal/Zip Code: 416234 Taluka: Karveer</t>
  </si>
  <si>
    <t>A/P-KADETHAN Postal/Zip Code: 412215 Taluka: Daund</t>
  </si>
  <si>
    <t>At-post - kinhavali, tal - shahapur dist - thane Postal/Zip Code: 421405 Taluka: Shahapur</t>
  </si>
  <si>
    <t>AT/POST - DOLKHABH TAL- SHAHAPUR, DIST - THANE Postal/Zip Code: 421601 Taluka: Shahapur</t>
  </si>
  <si>
    <t>A/P-KANGAON Postal/Zip Code: 412219 Taluka: Daund</t>
  </si>
  <si>
    <t>At Halgaon Postal/Zip Code: 413205 Taluka: Jamkhed</t>
  </si>
  <si>
    <t>Prachi complex, Near Primary School, opp New english, Johe Postal/Zip Code: 402107 Taluka: Pen</t>
  </si>
  <si>
    <t>Near Bus Stop, At Post Nand Tah - Bhiwapur Dist - Nagpur Postal/Zip Code: 441203 Taluka: Bhivapur</t>
  </si>
  <si>
    <t>NEAR RAJENDRA VIDYALAYA,SAI PLAZA BUILDING, KHANDALA Postal/Zip Code: 412802 Taluka: Khandala</t>
  </si>
  <si>
    <t>Near Gram Panchayat , SHop No.7,Palashi Postal/Zip Code: 412801 Taluka: Khandala</t>
  </si>
  <si>
    <t>WATHAR COLONY PHATA,tal-khandala,dist-satara Postal/Zip Code: 415526 Taluka: Khandala</t>
  </si>
  <si>
    <t>At Post Boris Tal &amp; Dist Dhule Postal/Zip Code: 424307 Taluka: Dhule</t>
  </si>
  <si>
    <t>At Post Mohadl Pr.Dangri Postal/Zip Code: 424318 Taluka: Dhule</t>
  </si>
  <si>
    <t>AT POST RASALPUR TAL RAVER DIST JALGAON Postal/Zip Code: 425508 Taluka: Raver</t>
  </si>
  <si>
    <t>MAIN ROAD Postal/Zip Code: 431703 Taluka: Sengaon</t>
  </si>
  <si>
    <t>NEAR HANUMAN MANDIR , KULKARNI Postal/Zip Code: 413529 Taluka: Chakur</t>
  </si>
  <si>
    <t>A/P Mogha Postal/Zip Code: 413517 Taluka: Udgeer</t>
  </si>
  <si>
    <t>AT POST CHAS Postal/Zip Code: 422606 Taluka: Sinnar</t>
  </si>
  <si>
    <t>Lokmanya Tilak Vidyamandir, Chikhalgaon Postal/Zip Code: 415712 Taluka: Dapoli</t>
  </si>
  <si>
    <t>At Po Aronda Bazar Postal/Zip Code: 416513 Taluka: Savantwadi</t>
  </si>
  <si>
    <t>NEAR BUS STAND Postal/Zip Code: 423117 Taluka: Chandwad</t>
  </si>
  <si>
    <t>AT POST RAJAPUR, TAL. SANGAMNER Postal/Zip Code: 422605 Taluka: Sangamner</t>
  </si>
  <si>
    <t>AT POST TALEGAON DIGHE, TAL. SANGAMNER Postal/Zip Code: 422605 Taluka: Sangamner</t>
  </si>
  <si>
    <t>AT POST VADGAON PAN, TAL SANGAMNER Postal/Zip Code: 422605 Taluka: Sangamner</t>
  </si>
  <si>
    <t>in front of gram panchayat karyalaya ashiv Postal/Zip Code: 413520 Taluka: Ausa</t>
  </si>
  <si>
    <t>behind state bank of maharashtra lamjan Postal/Zip Code: 413520 Taluka: Ausa</t>
  </si>
  <si>
    <t>Near Janata Vidyalaya Meshi Postal/Zip Code: 423102 Taluka: Deola</t>
  </si>
  <si>
    <t>Near Bus Stop Postal/Zip Code: 423102 Taluka: Deola</t>
  </si>
  <si>
    <t>At. Po. Nizampur, Tal. Mangaon, Dist. Raigad Postal/Zip Code: 402120 Taluka: Mangaon</t>
  </si>
  <si>
    <t>C/o. Dhangauri Complex, Pipla (Dak Banga) Postal/Zip Code: 441113 Taluka: Savner</t>
  </si>
  <si>
    <t>At+ Post- Pipla (D.B.), Tah- Saoner, Dist- Nagpur Postal/Zip Code: 441113 Taluka: Savner</t>
  </si>
  <si>
    <t>Z.P. HIGH SCHOOL , ITKOOR TA. KALAMB DIST. OSMANABAD Postal/Zip Code: 413507 Taluka: Kalamb</t>
  </si>
  <si>
    <t>NEAR SHRI SANT GOROBA KAKA VIDYALAYA, SAUNDANA AMBA Postal/Zip Code: 413507 Taluka: Kalamb</t>
  </si>
  <si>
    <t>AGRA ROAD KHADAKJAMB Postal/Zip Code: 423118 Taluka: Chandwad</t>
  </si>
  <si>
    <t>NEAR BUS STOP, SUPARE HOUSE, Postal/Zip Code: 441112 Taluka: Savner</t>
  </si>
  <si>
    <t>A/P- BAVACHI MAIN ROAD Postal/Zip Code: 416301 Taluka: Walva</t>
  </si>
  <si>
    <t>A/P- WATEGAON Postal/Zip Code: 415410 Taluka: Walva</t>
  </si>
  <si>
    <t>Zagade Phata Road Postal/Zip Code: 423601 Taluka: Kopargaon</t>
  </si>
  <si>
    <t>KASEGAON Postal/Zip Code: 415404 Taluka: Walva</t>
  </si>
  <si>
    <t>NEW BASTI, GUMGAON MINE, KHAPA Postal/Zip Code: 441101 Taluka: Savner</t>
  </si>
  <si>
    <t>At Post Talebazar, Tal-Deogad, Dist- Sindhudurg Postal/Zip Code: 416611 Taluka: Devgad</t>
  </si>
  <si>
    <t>Navbharat Chatralaya, Shivaji Nagar, Dapoli Postal/Zip Code: 415712 Taluka: Dapoli</t>
  </si>
  <si>
    <t>A/P POST OFFICE NAER BAVDA Postal/Zip Code: 413103 Taluka: Indapur</t>
  </si>
  <si>
    <t>BAZAR CHOUK, WARD NO. 4, NANDAGOMUKH Postal/Zip Code: 441107 Taluka: Savner</t>
  </si>
  <si>
    <t>Mistry High School, Near gogate College, Tal.Dist.Ratnagiri. Postal/Zip Code: 415612 Taluka: Ratnagiri</t>
  </si>
  <si>
    <t>FRONT OF BANK OF INDIA, BADEGAON Postal/Zip Code: 441101 Taluka: Savner</t>
  </si>
  <si>
    <t>At/Post Taral Postal/Zip Code: 416702 Taluka: Rajapur</t>
  </si>
  <si>
    <t>Gram Sachiwalay Jaitapur, Tal Rajapur Postal/Zip Code: 415805 Taluka: Rajapur</t>
  </si>
  <si>
    <t>main Road, Rajapur High School, Postal/Zip Code: 416702 Taluka: Rajapur</t>
  </si>
  <si>
    <t>At Post Surawadi, tal Phaltan, Dist Satara Postal/Zip Code: 405523 Taluka: Phaltan</t>
  </si>
  <si>
    <t>Kondhawe Dhawade , NDA Road, Opp Dhawade Petrol Pump, Postal/Zip Code: 411023 Taluka: Haveli</t>
  </si>
  <si>
    <t>211,Haji Complex,1st Floor, Vanjar Patti Naka, Bhiwandi. Postal/Zip Code: 421302 Taluka: Bhiwandi</t>
  </si>
  <si>
    <t>Opp New English School Dapur Postal/Zip Code: 422103 Taluka: Sinnar</t>
  </si>
  <si>
    <t>NH 17, Nirmala bhide janta vidyalay kondye Postal/Zip Code: 416702 Taluka: Rajapur</t>
  </si>
  <si>
    <t>Navjeevan High School, Bazarpeth Rajapur Postal/Zip Code: 416702 Taluka: Rajapur</t>
  </si>
  <si>
    <t>AT DANDELI POST AROS Postal/Zip Code: 416514 Taluka: Savantwadi</t>
  </si>
  <si>
    <t>At Post- Vitner Postal/Zip Code: 425116 Taluka: Jalgaon</t>
  </si>
  <si>
    <t>Doctor Coloney Postal/Zip Code: 431705 Taluka: Audha Naganath</t>
  </si>
  <si>
    <t>UTKARSH VIDYA MANDIR, KHAPARI(RAILWAY), NAGPUR Postal/Zip Code: 441108 Taluka: Nagpur</t>
  </si>
  <si>
    <t>A/P- Pimpli Khurd, Bajarpeth. Postal/Zip Code: 415605 Taluka: Chiplun</t>
  </si>
  <si>
    <t>Korlai, Tal- Murud, Dist- Raigad Postal/Zip Code: 402401 Taluka: Murud</t>
  </si>
  <si>
    <t>A/P-shiposhi,Tal-Lanja Postal/Zip Code: 415802 Taluka: Lanja</t>
  </si>
  <si>
    <t>AT-TURUKWADI POST-KOTOLI (WARANA) TAL-SHAHUWADI DIST-KOLHAPUR Postal/Zip Code: 416214 Taluka: Shahuwadi</t>
  </si>
  <si>
    <t>At Gass-Kopari(Katai) Chandansaar. Postal/Zip Code: 401305 Taluka: Vasai</t>
  </si>
  <si>
    <t>At Nandakhal., post agashi., near kofrad grampanchyat office Postal/Zip Code: 401301 Taluka: Vasai</t>
  </si>
  <si>
    <t>C/o Shri Kale, Behind Vitthal Rukmani Mandir, Mohagaon,Tal- Hingna, Dist-Nagpur Postal/Zip Code: 441110 Taluka: Hingana</t>
  </si>
  <si>
    <t>At Kondwada Postal/Zip Code: 431542 Taluka: Sengaon</t>
  </si>
  <si>
    <t>Near Chinchulkar Sabhagruha, Gumgaon, Tal- Hingna Postal/Zip Code: 441122 Taluka: Hingana</t>
  </si>
  <si>
    <t>C/o Chintamanji Sonkusale, Old Gumgaon, Tal- Hingna Postal/Zip Code: 441122 Taluka: Hingana</t>
  </si>
  <si>
    <t>Dhangarpura, Tah-Hingna Postal/Zip Code: 441110 Taluka: Hingana</t>
  </si>
  <si>
    <t>Main Road Postal/Zip Code: 431705 Taluka: Audha Naganath</t>
  </si>
  <si>
    <t>DONGARGAD ROAD DAREKASA Postal/Zip Code: 441916 Taluka: Salekasa</t>
  </si>
  <si>
    <t>RAJE RAGHUJI NAGAR, NAGPUR Postal/Zip Code: 440024 Taluka: Nagpur</t>
  </si>
  <si>
    <t>A/p - Koregoan, Tal - Walwa, Dist - Sangli Postal/Zip Code: 416302 Taluka: Walva</t>
  </si>
  <si>
    <t>NEAR LILASHRI LAWN, PANDHURNA ROAD SAONER Postal/Zip Code: 441107 Taluka: Savner</t>
  </si>
  <si>
    <t>ATPO- SHETPHALE, NEAR GIRLS HIGHSCHOOL,TAL- ATPADI Postal/Zip Code: 415306 Taluka: Aatpadi</t>
  </si>
  <si>
    <t>ATPO- LINGIVARE, TAL- ATPADI Postal/Zip Code: 415315 Taluka: Aatpadi</t>
  </si>
  <si>
    <t>ATPO- RAJEWADI, TAL- ATPADI Postal/Zip Code: 415315 Taluka: Aatpadi</t>
  </si>
  <si>
    <t>At &amp; Post - Wadkhal, Tal. Pen, Dist. Raigad Postal/Zip Code: 402107 Taluka: Pen</t>
  </si>
  <si>
    <t>Opp.H.Pansare Smarak, Teachers Colony Postal/Zip Code: 431809 Taluka: Dharmabad</t>
  </si>
  <si>
    <t>KALAMB ROAD,DAHIPHAL TQ KALLAM DIST OSMANABAD Postal/Zip Code: 413525 Taluka: Kalamb</t>
  </si>
  <si>
    <t>Patel Nagar, Devi Galli Postal/Zip Code: 431809 Taluka: Dharmabad</t>
  </si>
  <si>
    <t>a/p Koulage, Tal - Tasgaon, Postal/Zip Code: 416312 Taluka: Tasgaon</t>
  </si>
  <si>
    <t>At Po. Mankeshwar Postal/Zip Code: 413504 Taluka: Bhoom</t>
  </si>
  <si>
    <t>CHORAKHALI Postal/Zip Code: 413405 Taluka: Kalamb</t>
  </si>
  <si>
    <t>AT.POST.SHIRADHONE TQ.KANDHAR DIST.NANDED Postal/Zip Code: 431707 Taluka: Kandhar</t>
  </si>
  <si>
    <t>MUNDPURA Postal/Zip Code: 444126 Taluka: Telhara</t>
  </si>
  <si>
    <t>Gothkhindi, Tal - Walwa, Dist - Sangli Postal/Zip Code: 416301 Taluka: Walva</t>
  </si>
  <si>
    <t>A/P. Redani, Tal. Indapur, Dist. Pune Postal/Zip Code: 413103 Taluka: Indapur</t>
  </si>
  <si>
    <t>AMGAON SALEKASA ROAD KAWARABANDH Postal/Zip Code: 441916 Taluka: Salekasa</t>
  </si>
  <si>
    <t>At. Post. Kanholibara, Tal- Hingna Postal/Zip Code: 441110 Taluka: Hingana</t>
  </si>
  <si>
    <t>NEAR MAHADEV MANDIR Postal/Zip Code: 416312 Taluka: Tasgaon</t>
  </si>
  <si>
    <t>At Post - Kutasa, Tq - Akot, Dist - Akola Postal/Zip Code: 444101 Taluka: Akot</t>
  </si>
  <si>
    <t>Gala No.4 &amp; 5, Gramsachivalay, Wavi Postal/Zip Code: 422104 Taluka: Sinnar</t>
  </si>
  <si>
    <t>A/P-SONAMBE Postal/Zip Code: 422103 Taluka: Sinnar</t>
  </si>
  <si>
    <t>A/P-PADALI Postal/Zip Code: 422103 Taluka: Sinnar</t>
  </si>
  <si>
    <t>AT POST SAKURPHATA, TAL SANGAMENR DIST AHMEDANGAR Postal/Zip Code: 422605 Taluka: Sangamner</t>
  </si>
  <si>
    <t>NEAR SCHOOL Postal/Zip Code: 424206 Taluka: Jamner</t>
  </si>
  <si>
    <t>Near Highschool Postal/Zip Code: 416312 Taluka: Tasgaon</t>
  </si>
  <si>
    <t>AT POST KHANDERAYWADI, TAL SANGAMENR DIST AHMEDNAGAR Postal/Zip Code: 422622 Taluka: Sangamner</t>
  </si>
  <si>
    <t>AT POST- AMBI KHALSA, TAL- SANGAMNER Postal/Zip Code: 422620 Taluka: Sangamner</t>
  </si>
  <si>
    <t>Near Z.P. High School, At/Post-Shindewadi, Tal-Khandala, Dist-Satara Postal/Zip Code: 412801 Taluka: Khandala</t>
  </si>
  <si>
    <t>NEAR OF DURGA MANDIR TIRTHPURI Postal/Zip Code: 431209 Taluka: Ghansavangi</t>
  </si>
  <si>
    <t>AT POST NAGANSUR Postal/Zip Code: 413227 Taluka: Akkalkot</t>
  </si>
  <si>
    <t>A/P: Dudhgaon Tal: Miraj Dist: Sangli Postal/Zip Code: 416315 Taluka: Miraj</t>
  </si>
  <si>
    <t>KABRA NAGAR PAWADE WADI Postal/Zip Code: 431605 Taluka: Nanded</t>
  </si>
  <si>
    <t>Kasal Malvan Road Postal/Zip Code: 416534 Taluka: Malvan</t>
  </si>
  <si>
    <t>Kasal Malvan Road Postal/Zip Code: 416605 Taluka: Malvan</t>
  </si>
  <si>
    <t>AT- KAKODI Postal/Zip Code: 441901 Taluka: Devara</t>
  </si>
  <si>
    <t>Type III B 199, H. A. L. Ozar Township Postal/Zip Code: 422207 Taluka: Niphad</t>
  </si>
  <si>
    <t>A/p Soni Postal/Zip Code: 416420 Taluka: Miraj</t>
  </si>
  <si>
    <t>Near Bus Stand, A/P- Talere Postal/Zip Code: 416808 Taluka: Kankavli</t>
  </si>
  <si>
    <t>AT POST ANDHORI Postal/Zip Code: 413523 Taluka: Ahmadpur</t>
  </si>
  <si>
    <t>A/P SAIGAON TAL YEOLA Postal/Zip Code: 423401 Taluka: Yeole</t>
  </si>
  <si>
    <t>Citizen Complex, Khushamad pura Postal/Zip Code: 423203 Taluka: Malegaon</t>
  </si>
  <si>
    <t>RAJARAMNAGAR WRD NO 2 Postal/Zip Code: 415409 Taluka: Walva</t>
  </si>
  <si>
    <t>Near Quality Complex, At Post Adai, Taluka Panvel Jilha Raigad. Postal/Zip Code: 410206 Taluka: Panvel</t>
  </si>
  <si>
    <t>Ramnagar, Near MSEB Office Postal/Zip Code: 441614 Taluka: Gondiya</t>
  </si>
  <si>
    <t>at po tiroda Postal/Zip Code: 416518 Taluka: Savantwadi</t>
  </si>
  <si>
    <t>Achara Bazarpeth, Achara Postal/Zip Code: 416614 Taluka: Malvan</t>
  </si>
  <si>
    <t>Erandgaon Postal/Zip Code: 423401 Taluka: Yeole</t>
  </si>
  <si>
    <t>A/p Girvi Postal/Zip Code: 415523 Taluka: Phaltan</t>
  </si>
  <si>
    <t>MAULANA AZAD ROAD YEOLA Postal/Zip Code: 423401 Taluka: Yeole</t>
  </si>
  <si>
    <t>At/Post- Wathar Bk., Tal-Khandala, Dist-Satara Postal/Zip Code: 415521 Taluka: Khandala</t>
  </si>
  <si>
    <t>Shivaji High School Road Postal/Zip Code: 431206 Taluka: Jaffarabad</t>
  </si>
  <si>
    <t>AT POST HARDOLI Postal/Zip Code: 441909 Taluka: Mohadi</t>
  </si>
  <si>
    <t>Near Bus Stand Postal/Zip Code: 441614 Taluka: Gondiya</t>
  </si>
  <si>
    <t>Near Bus Stand, Kawathe Yemai Postal/Zip Code: 412218 Taluka: Shirur</t>
  </si>
  <si>
    <t>AT POST BADEGAON TA SAONER DIST NAGPUR Postal/Zip Code: 441101 Taluka: Savner</t>
  </si>
  <si>
    <t>AT NEAR MODEL HIGH SCHOOL DEURWADA Postal/Zip Code: 442201 Taluka: Arvee</t>
  </si>
  <si>
    <t>1 st flower saptsrungi falbag sangh , rajaram nagar Postal/Zip Code: 422205 Taluka: Dindori</t>
  </si>
  <si>
    <t>karmavir madhavrao patil sankul shop no 11 Postal/Zip Code: 422205 Taluka: Dindori</t>
  </si>
  <si>
    <t>A/P Wing Tal : Karad Dist : Satara Postal/Zip Code: 415103 Taluka: Karad</t>
  </si>
  <si>
    <t>New English School A/P - Guroli Tal - Purandar Dist - Pune Pin - 412104 Postal/Zip Code: 412104 Taluka: Purandar</t>
  </si>
  <si>
    <t>NEAR JODHA PRASAD MODI SCHOOL GURUWAR PETH Postal/Zip Code: 431517 Taluka: Ambejogai</t>
  </si>
  <si>
    <t>A/P - PISARVE TAL - PURANDAR DIST - PUNE Postal/Zip Code: 412301 Taluka: Purandar</t>
  </si>
  <si>
    <t>A/P - WALHE GANDHI CHOWK IN FRONT BANK OF MAHARASHTRA Postal/Zip Code: 412305 Taluka: Purandar</t>
  </si>
  <si>
    <t>At. Po. Shiva Ta. Dist. Nagpur Postal/Zip Code: 440023 Taluka: Nagpur Rural</t>
  </si>
  <si>
    <t>Pl. No. 70 Shahu Layout, Khadgaon Road, Wadi Postal/Zip Code: 440023 Taluka: Nagpur Rural</t>
  </si>
  <si>
    <t>C/o. Ramkautic Complex, In front Novelty General Store, Near by Bori Police stat Postal/Zip Code: 441108 Taluka: Nagpur Rural</t>
  </si>
  <si>
    <t>NEAR BEDRE JOLARS Postal/Zip Code: 431209 Taluka: Ghansavangi</t>
  </si>
  <si>
    <t>AT POST GAVANE , TAL-DEOGAD, DIST- SINDHUDURG Postal/Zip Code: 416801 Taluka: Devgad</t>
  </si>
  <si>
    <t>MAIN ROAD, ITKUR Postal/Zip Code: 413507 Taluka: Kalamb</t>
  </si>
  <si>
    <t>KALLAM ROAD, LOHATA (EAST) Postal/Zip Code: 413507 Taluka: Kalamb</t>
  </si>
  <si>
    <t>Ganpatrao Arwade Highschool &amp; Jr College, Harbhat Road, Sangli Postal/Zip Code: 416416 Taluka: Miraj</t>
  </si>
  <si>
    <t>Plot No. 170, Mangaldham Society, Near Ramkrishana Hall, Duttwadi, Postal/Zip Code: 440023 Taluka: Nagpur</t>
  </si>
  <si>
    <t>GHUGWAD Postal/Zip Code: 416404 Taluka: Jat</t>
  </si>
  <si>
    <t>NEAR S.T. STAND, KUMBEPHAL Postal/Zip Code: 431123 Taluka: Kaij</t>
  </si>
  <si>
    <t>AT POST NAGARSUL Postal/Zip Code: 423403 Taluka: Yeole</t>
  </si>
  <si>
    <t>THANGAON Postal/Zip Code: 423401 Taluka: Yeole</t>
  </si>
  <si>
    <t>Dnyansagar Computer Institute, Near Sant Bhuabajiba Mandir, Near Z.P. School, At post Arangaon Meherabad, Taluka Ahmednagar Postal/Zip Code: 414006 Taluka: Ahmednagar</t>
  </si>
  <si>
    <t>Madina Tul-Uloom High School Jagjiwan ram Road Deglur Naka Postal/Zip Code: 431604 Taluka: Nanded</t>
  </si>
  <si>
    <t>VARKUTE KU TAL. INDAPUR Postal/Zip Code: 413106 Taluka: Indapur</t>
  </si>
  <si>
    <t>Arihant Chowk Main Road Bhose Postal/Zip Code: 416422 Taluka: Miraj</t>
  </si>
  <si>
    <t>Kati tal .indapur Postal/Zip Code: 413120 Taluka: Indapur</t>
  </si>
  <si>
    <t>shetphal haveli tal indapur Postal/Zip Code: 413103 Taluka: Indapur</t>
  </si>
  <si>
    <t>A/p Bhendali Postal/Zip Code: 422210 Taluka: Niphad</t>
  </si>
  <si>
    <t>88 ADIVASI SOCIETY WADI Postal/Zip Code: 440023 Taluka: Nagpur Rural</t>
  </si>
  <si>
    <t>NEAR AFLATUN HOTEL, BAJARGAON Postal/Zip Code: 440023 Taluka: Nagpur Rural</t>
  </si>
  <si>
    <t>AT POST MAZOD TQ DIST AKOLA Postal/Zip Code: 444006 Taluka: Akola</t>
  </si>
  <si>
    <t>Opp. D. Ed. College, Undale, Tal - Karad, Dist - Satara Postal/Zip Code: 415111 Taluka: Karad</t>
  </si>
  <si>
    <t>NEAR SIDHESHWAR TEMPLE TOKA-PRAVARASANGAM Postal/Zip Code: 414603 Taluka: Nevasa</t>
  </si>
  <si>
    <t>CHAITANYA COMPUTER SHOP NO 4 MADSANGAVI AURANGABAD ROAD NASHIK Postal/Zip Code: 422003 Taluka: Nashik</t>
  </si>
  <si>
    <t>AT/PO-BELPIMPALGAON Postal/Zip Code: 414603 Taluka: Nevasa</t>
  </si>
  <si>
    <t>AT GOGALGAON PO-SALABATPUR TAL-NEWASA DIST-AHMEDNAGAR Postal/Zip Code: 414603 Taluka: Nevasa</t>
  </si>
  <si>
    <t>AT VANJOLI PANDARI PHUL TAL-NEWASA DIST-AHMEDNAGAR Postal/Zip Code: 414603 Taluka: Nevasa</t>
  </si>
  <si>
    <t>At Post Patoda (M) Ta. Ambajogai Dist Beed Postal/Zip Code: 431523 Taluka: Ambejogai</t>
  </si>
  <si>
    <t>AT-PO-GIRAD Postal/Zip Code: 424105 Taluka: Bhadgaon</t>
  </si>
  <si>
    <t>At Post Sawargaon Postal/Zip Code: 431715 Taluka: Mukhed</t>
  </si>
  <si>
    <t>AT-PO-GONDGAON Postal/Zip Code: 424105 Taluka: Bhadgaon</t>
  </si>
  <si>
    <t>Pethbagh, near Jain basti, Kavalapur Postal/Zip Code: 416306 Taluka: Miraj</t>
  </si>
  <si>
    <t>A/p - Mouje Digraj, near ZP School No 2 Postal/Zip Code: 416416 Taluka: Miraj</t>
  </si>
  <si>
    <t>NEAR RELIANCE TOWER SHIRASGAON Postal/Zip Code: 414603 Taluka: Nevasa</t>
  </si>
  <si>
    <t>at/post - Charegaon Postal/Zip Code: 415109 Taluka: Karad</t>
  </si>
  <si>
    <t>Opp.Bus Stop,Laxmi Nivas,1St.floor,Umrale, Postal/Zip Code: 422003 Taluka: Dindori</t>
  </si>
  <si>
    <t>DOWN LANE, NASHIRABAD Postal/Zip Code: 425309 Taluka: Jalgaon</t>
  </si>
  <si>
    <t>A/p Banali Postal/Zip Code: 416404 Taluka: Jat</t>
  </si>
  <si>
    <t>NEAR GRAM PANCHAYAT MANGALWAR PETH JATH Postal/Zip Code: 416404 Taluka: Jat</t>
  </si>
  <si>
    <t>AT/POST: SHETPHALE , TAL: ATPADI , DIST : SANGLI Postal/Zip Code: 415306 Taluka: Aatpadi</t>
  </si>
  <si>
    <t>GRAM PANCHAYAT COMPLEX MADGYAL Postal/Zip Code: 416412 Taluka: Jat</t>
  </si>
  <si>
    <t>Near Vitthal Mandir Postal/Zip Code: 444101 Taluka: Akot</t>
  </si>
  <si>
    <t>Near Jotiba Mandir Targaon Postal/Zip Code: 415107 Taluka: Koregaon</t>
  </si>
  <si>
    <t>AT POST KARAJNGI Postal/Zip Code: 416404 Taluka: Jat</t>
  </si>
  <si>
    <t>Opp. Nagaswami Temple, Main Road Postal/Zip Code: 444101 Taluka: Akot</t>
  </si>
  <si>
    <t>Opposite Devi Parvati Mandir,Vadanage Postal/Zip Code: 416229 Taluka: Karveer</t>
  </si>
  <si>
    <t>At.Post. Darwad, Tal. Bhudargad, Dist. Kolhapur Postal/Zip Code: 416209 Taluka: Bhudargad</t>
  </si>
  <si>
    <t>At.Post. Waghapur, Tal. Bhudargad, Dist. Kolhapur Postal/Zip Code: 416209 Taluka: Bhudargad</t>
  </si>
  <si>
    <t>BESIDE BUSSTAND , SAWRBHANDH Postal/Zip Code: 441802 Taluka: Sakoli</t>
  </si>
  <si>
    <t>A/p Nigave Khalasa , Tal- Karveer , Dist.- Kolhapur Postal/Zip Code: 416208 Taluka: Karveer</t>
  </si>
  <si>
    <t>Peth Shirala Road, Rethare Dharan Postal/Zip Code: 415407 Taluka: Walva</t>
  </si>
  <si>
    <t>Sanganak Bhawan, Panchayat Samiti Colony, Govindpur Road Postal/Zip Code: 441601 Taluka: Gondiya</t>
  </si>
  <si>
    <t>Near Bus Stand Postal/Zip Code: 441601 Taluka: Gondiya</t>
  </si>
  <si>
    <t>At Post Jahoor Postal/Zip Code: 431715 Taluka: Mukhed</t>
  </si>
  <si>
    <t>AT POST DARIBADCHI TAL JATH Postal/Zip Code: 416412 Taluka: Jat</t>
  </si>
  <si>
    <t>AT POST ANDARSUL Postal/Zip Code: 423402 Taluka: Yeole</t>
  </si>
  <si>
    <t>AT POST- DAHIBAV, TAL-DEOGAD, DIST- SINDHUDURG Postal/Zip Code: 416630 Taluka: Vaibhavawadi</t>
  </si>
  <si>
    <t>At Post Ealye Tal- Deogad, Dist- Sindhudurg Postal/Zip Code: 416630 Taluka: Vaibhavawadi</t>
  </si>
  <si>
    <t>Keliveli Postal/Zip Code: 444111 Taluka: Akot</t>
  </si>
  <si>
    <t>N/R ANGLO URDU HIGHSCHOOL Postal/Zip Code: 425508 Taluka: Raver</t>
  </si>
  <si>
    <t>COLLEGE ROAD SANKH Postal/Zip Code: 416412 Taluka: Jat</t>
  </si>
  <si>
    <t>AT-PO-C/o G.O BISEN MOHGAON (TILLI) Postal/Zip Code: 441801 Taluka: Goregaon</t>
  </si>
  <si>
    <t>A/P - Gugawad , Tal - Jath , Dist - Sangli Postal/Zip Code: 416404 Taluka: Jat</t>
  </si>
  <si>
    <t>SUNDARWADI ZALTA Postal/Zip Code: 431001 Taluka: Aurangabad</t>
  </si>
  <si>
    <t>Holi Maidan, Near Sarda Cloth Center, Dhondalgaon Postal/Zip Code: 423703 Taluka: Vaijapur</t>
  </si>
  <si>
    <t>Magdum House Main Road Haladi Tal-Kagal Dist-Kolhapur Postal/Zip Code: 416219 Taluka: Kagal</t>
  </si>
  <si>
    <t>A/P GIRNARE SHRI KRUSHNA CHOWK NEAR BATTASE MILL, GIRNARE Postal/Zip Code: 422203 Taluka: Nashik</t>
  </si>
  <si>
    <t>AT POST :- AWALKONDA Postal/Zip Code: 413517 Taluka: Udgeer</t>
  </si>
  <si>
    <t>MAIN ROAD RAJAPUR Postal/Zip Code: 416108 Taluka: Shirol</t>
  </si>
  <si>
    <t>Near Grampanchayat, Dhamangaon Pat Postal/Zip Code: 422610 Taluka: Akole</t>
  </si>
  <si>
    <t>Chafodi, Tal- Karveer, Dist- Kolhapur Postal/Zip Code: 416001 Taluka: Karveer</t>
  </si>
  <si>
    <t>Hasur Du, Tal- Karveer, Dist- Kolhapur Postal/Zip Code: 416001 Taluka: Karveer</t>
  </si>
  <si>
    <t>Near Manhere Garmpanchayat Postal/Zip Code: 422604 Taluka: Akole</t>
  </si>
  <si>
    <t>NEAR BUS STOP, DIGHORI MOTHI, TA LAKHANDUR, DIST BHANDARA Postal/Zip Code: 441805 Taluka: Lakhandur</t>
  </si>
  <si>
    <t>Bele, Post- Kurukali, Tal- Karveer, Dist- Kolhapur Postal/Zip Code: 416001 Taluka: Karveer</t>
  </si>
  <si>
    <t>shiv swarup, society chowk, near telephone exchange, Postal/Zip Code: 416217 Taluka: Kagal</t>
  </si>
  <si>
    <t>FRONT OF SHIYE HIGHSCHOOL SHIYE Postal/Zip Code: 416122 Taluka: Karveer</t>
  </si>
  <si>
    <t>near st stand Postal/Zip Code: 416216 Taluka: Kagal</t>
  </si>
  <si>
    <t>Main Road, Malegaon Camp Postal/Zip Code: 423105 Taluka: Malegaon</t>
  </si>
  <si>
    <t>NEHA INFOTECH JUNDHALE COMPLEX ATPADI ROAD NAJRA Postal/Zip Code: 413307 Taluka: Sangola</t>
  </si>
  <si>
    <t>Main Road Hamidada Tal-Kagal Dist-Kolhapur Postal/Zip Code: 416235 Taluka: Kagal</t>
  </si>
  <si>
    <t>Swami chouk Kapashi Tal-Kagal Dist-Kolhaur Postal/Zip Code: 416218 Taluka: Kagal</t>
  </si>
  <si>
    <t>MURLIDHAR MANDIR ROAD, NEAR HOLI CHOWK, SAONER Postal/Zip Code: 441107 Taluka: Savner</t>
  </si>
  <si>
    <t>NEAR S.T. SATAND PANGIRE Postal/Zip Code: 416209 Taluka: Bhudargad</t>
  </si>
  <si>
    <t>OPP. VYAYAMSHALA, UBHABAZAR, BANDA, TALUKA SAWANTWADI Postal/Zip Code: 416511 Taluka: Savantwadi</t>
  </si>
  <si>
    <t>AT. PARDI, WALNI, TAH. NAGPUR Postal/Zip Code: 441501 Taluka: Nagpur Rural</t>
  </si>
  <si>
    <t>Near Maruti Mandir at.post.ghatnandra Postal/Zip Code: 431113 Taluka: Sillod</t>
  </si>
  <si>
    <t>NEAR NASHIK POONA HIGHWA POST- BOTA Postal/Zip Code: 422605 Taluka: Sangamner</t>
  </si>
  <si>
    <t>main road digras(k) Postal/Zip Code: 431513 Taluka: Hingoli</t>
  </si>
  <si>
    <t>SHIVAJI CHOWK A/P- CHIPRI Postal/Zip Code: 416101 Taluka: Shirol</t>
  </si>
  <si>
    <t>NAGRAJ CHOWK MINCHE GALLI Postal/Zip Code: 416101 Taluka: Shirol</t>
  </si>
  <si>
    <t>NEAR HANUMAN MADIR ALMANE BUILDING Postal/Zip Code: 416101 Taluka: Shirol</t>
  </si>
  <si>
    <t>A/P- VARKUTE MALAWADI, TAL - MAN, DIST - SATARA Postal/Zip Code: 415509 Taluka: Man</t>
  </si>
  <si>
    <t>near s.t stand Postal/Zip Code: 415105 Taluka: Karad</t>
  </si>
  <si>
    <t>NEAR ST STAND KATARKHATAV Postal/Zip Code: 415507 Taluka: Khatav</t>
  </si>
  <si>
    <t>In front of shivadatta mandir kondave, satara Postal/Zip Code: 415002 Taluka: Satara</t>
  </si>
  <si>
    <t>Nikam Building,Near Mansing Mobile,Mudhal Tal :bhudargad Postal/Zip Code: 416208 Taluka: Bhudargad</t>
  </si>
  <si>
    <t>Sheloli ,tal:bhudargad ,dist:kolhapur Postal/Zip Code: 416209 Taluka: Bhudargad</t>
  </si>
  <si>
    <t>A/P Tisgaon Tal. Pathardi Dist. Ahmednagar Postal/Zip Code: 414106 Taluka: Pathardi</t>
  </si>
  <si>
    <t>A/P Shiral Tal. Pathardi Dist. Ahmednagar Postal/Zip Code: 414506 Taluka: Pathardi</t>
  </si>
  <si>
    <t>AT/POST-DHOLGARWADI Postal/Zip Code: 416507 Taluka: Chandgad</t>
  </si>
  <si>
    <t>Gargoti Patgaon Road Tambale, Postal/Zip Code: 416209 Taluka: Bhudargad</t>
  </si>
  <si>
    <t>Above Bank Of India, Near S. T. Stand Sarud Tal - Shahuwadi Postal/Zip Code: 416214 Taluka: Shahuwadi</t>
  </si>
  <si>
    <t>AT-PATANE PHATA POST-KARVE Postal/Zip Code: 416507 Taluka: Chandgad</t>
  </si>
  <si>
    <t>AT/POST-MANGAON Postal/Zip Code: 416508 Taluka: Chandgad</t>
  </si>
  <si>
    <t>A/P KHANDAL TAL GADHINGLAJ Postal/Zip Code: 416551 Taluka: Gadhinglaj</t>
  </si>
  <si>
    <t>Gala No 2 Near Sharada Vidyalaya Shelar Postal/Zip Code: 421302 Taluka: Bhiwandi</t>
  </si>
  <si>
    <t>A/p. Walki Postal/Zip Code: 414006 Taluka: Ahmednagar</t>
  </si>
  <si>
    <t>AT POST KHATGUN TAL KHATAV DIST SATARA Postal/Zip Code: 415502 Taluka: Khatav</t>
  </si>
  <si>
    <t>NEAR MAHALAXMI SCHOOL, Postal/Zip Code: 416216 Taluka: Kagal</t>
  </si>
  <si>
    <t>ATPO - VARKHED Postal/Zip Code: 414603 Taluka: Nevasa</t>
  </si>
  <si>
    <t>RAYNADE BUILDING NEAR TARE CLASSES AKIWAT Postal/Zip Code: 416106 Taluka: Shirol</t>
  </si>
  <si>
    <t>Near ADCC Bank Postal/Zip Code: 413204 Taluka: Jamkhed</t>
  </si>
  <si>
    <t>Main Road, Dokesarandi Ta Lakhandur Dist Bhandara Postal/Zip Code: 441803 Taluka: Lakhandur</t>
  </si>
  <si>
    <t>A/P - Malshiras Near Shankar Temple Tal - purandar Dist - Pune Postal/Zip Code: 412104 Taluka: Purandar</t>
  </si>
  <si>
    <t>Near Bus Stand, Naganwadi Postal/Zip Code: 416509 Taluka: Chandgad</t>
  </si>
  <si>
    <t>At. Kanchanpur post. Agar, Tq. Dist. Akola Postal/Zip Code: 444006 Taluka: Akola</t>
  </si>
  <si>
    <t>Mahatama Phule Marg, Vishnu Nagar, Off Gokhale Road, Naupada Postal/Zip Code: 400602 Taluka: Thane</t>
  </si>
  <si>
    <t>At/po:-Malwadi Tal:-Deola Dist:-Nashik Postal/Zip Code: 423102 Taluka: Deola</t>
  </si>
  <si>
    <t>Vidyabhushan High School, Rawalpada, Dahisar E Postal/Zip Code: 400068 Taluka: Boriwali</t>
  </si>
  <si>
    <t>Vikas College of Arts science and Commerce,Kannamwarnagr 2,vikhroli East Postal/Zip Code: 400083 Taluka: Kurla</t>
  </si>
  <si>
    <t>main road limbejalgoan Postal/Zip Code: 431133 Taluka: Gangapur</t>
  </si>
  <si>
    <t>nimkheda Postal/Zip Code: 441106 Taluka: Mauda</t>
  </si>
  <si>
    <t>sarafa market Postal/Zip Code: 431709 Taluka: Naigaon</t>
  </si>
  <si>
    <t>sangrul phata, koparde Postal/Zip Code: 416205 Taluka: Karveer</t>
  </si>
  <si>
    <t>Kalam Raod kaij Postal/Zip Code: 431123 Taluka: Kaij</t>
  </si>
  <si>
    <t>AT PO VIDA Postal/Zip Code: 431123 Taluka: Kaij</t>
  </si>
  <si>
    <t>5/5, Maulana Ishaque Chowk, Jagtap Road, Sangmeshwar Postal/Zip Code: 423203 Taluka: Malegaon</t>
  </si>
  <si>
    <t>Srinath Nagar near Sana School Behind Sai Baba Temple Postal/Zip Code: 431604 Taluka: Nanded</t>
  </si>
  <si>
    <t>NEAR STATE BANK ,SAONER ROAD PARSEONI Postal/Zip Code: 441105 Taluka: Parashivani</t>
  </si>
  <si>
    <t>At. Post Tondgaon Postal/Zip Code: 444505 Taluka: Washim</t>
  </si>
  <si>
    <t>New English School Kurukali Postal/Zip Code: 416235 Taluka: Kagal</t>
  </si>
  <si>
    <t>Shelgaon road Gandhinagar Postal/Zip Code: 431709 Taluka: Naigaon</t>
  </si>
  <si>
    <t>RANJANGAON Postal/Zip Code: 431105 Taluka: Paithan</t>
  </si>
  <si>
    <t>RAJ PALACE KURUND Postal/Zip Code: 414306 Taluka: Parner</t>
  </si>
  <si>
    <t>kanhur pathar Postal/Zip Code: 414303 Taluka: Parner</t>
  </si>
  <si>
    <t>Loni mavala Postal/Zip Code: 414304 Taluka: Parner</t>
  </si>
  <si>
    <t>Javala Postal/Zip Code: 414306 Taluka: Parner</t>
  </si>
  <si>
    <t>Near Shivniketan Highschool Swargaon Nasarat Postal/Zip Code: 431708 Taluka: Loha</t>
  </si>
  <si>
    <t>SHIVAJI CHOWK,RAIMHA Postal/Zip Code: 413249 Taluka: Shirur (Kasar)</t>
  </si>
  <si>
    <t>Next To Jyotiba Phule School Opp Reliance Web World Dhole Patil Rd Postal/Zip Code: 411001 Taluka: Haveli</t>
  </si>
  <si>
    <t>Siddheshwar nagar, part-5, madina chowk, solapur Postal/Zip Code: 413003 Taluka: Solapur(n)</t>
  </si>
  <si>
    <t>SR NO 5 WADGAON SHERI, Postal/Zip Code: 411014 Taluka: Haveli</t>
  </si>
  <si>
    <t>wadzire Postal/Zip Code: 414307 Taluka: Parner</t>
  </si>
  <si>
    <t>19/2, Prasana Plaza, 1st Floor, Pantacha Got, Opp Prakash Lodge. Tal: Stara, Postal/Zip Code: 415002 Taluka: Satara</t>
  </si>
  <si>
    <t>Question :-  Kindly separate the Postal/Zip code and Taluka using Text to Columns</t>
  </si>
  <si>
    <t>ALC Code</t>
  </si>
  <si>
    <t>Mail ID</t>
  </si>
  <si>
    <t>Question :-  Kindly make the mail IDs like This "atc12210080@gmail.com" in mail ID column</t>
  </si>
  <si>
    <t>Year</t>
  </si>
  <si>
    <t>Admission</t>
  </si>
  <si>
    <t>Question :-  Kindly make the column chart like this</t>
  </si>
  <si>
    <t>Question :- Using Freeze Panes Option Freeze top two rows.</t>
  </si>
  <si>
    <t>Question :- Apply Data validation, user enter only valid value between 50 to 100.</t>
  </si>
  <si>
    <t>Criteria</t>
  </si>
  <si>
    <t>Question :- Using advance filter find the data as per Criteria.</t>
  </si>
  <si>
    <t>&gt;=200</t>
  </si>
  <si>
    <t>AVG 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</si>
</sst>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rgb="FFFFFF00"/>
      <name val="Copperplate Gothic Bold"/>
      <family val="2"/>
    </font>
    <font>
      <b/>
      <sz val="11"/>
      <color rgb="FF002060"/>
      <name val="Gulim"/>
      <family val="2"/>
    </font>
    <font>
      <sz val="11"/>
      <color theme="1"/>
      <name val="MS Reference Sans Serif"/>
      <family val="2"/>
    </font>
    <font>
      <sz val="12"/>
      <color theme="1"/>
      <name val="Times New Roman"/>
      <family val="1"/>
    </font>
    <font>
      <b/>
      <sz val="12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22"/>
      <color theme="7" tint="0.79998168889431442"/>
      <name val="Comic Sans MS"/>
      <family val="4"/>
    </font>
    <font>
      <b/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FF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name val="Arial"/>
      <family val="2"/>
    </font>
    <font>
      <sz val="11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lightGray">
        <fgColor theme="9" tint="0.79995117038483843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8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25" borderId="0" applyNumberFormat="0" applyFont="0" applyBorder="0" applyAlignment="0" applyProtection="0"/>
    <xf numFmtId="0" fontId="20" fillId="26" borderId="0" applyNumberFormat="0" applyFont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6" borderId="0" xfId="0" applyFont="1" applyFill="1"/>
    <xf numFmtId="0" fontId="3" fillId="7" borderId="1" xfId="2" applyFont="1" applyFill="1" applyBorder="1"/>
    <xf numFmtId="0" fontId="4" fillId="4" borderId="1" xfId="3" applyFont="1" applyBorder="1"/>
    <xf numFmtId="0" fontId="5" fillId="7" borderId="1" xfId="4" applyFont="1" applyFill="1" applyBorder="1"/>
    <xf numFmtId="0" fontId="2" fillId="0" borderId="0" xfId="0" applyFont="1"/>
    <xf numFmtId="0" fontId="1" fillId="9" borderId="1" xfId="1" applyFont="1" applyFill="1" applyBorder="1" applyAlignment="1">
      <alignment wrapText="1"/>
    </xf>
    <xf numFmtId="0" fontId="0" fillId="9" borderId="1" xfId="1" applyFont="1" applyFill="1" applyBorder="1" applyAlignment="1">
      <alignment wrapText="1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11" borderId="1" xfId="0" applyFill="1" applyBorder="1" applyAlignment="1">
      <alignment wrapText="1"/>
    </xf>
    <xf numFmtId="0" fontId="6" fillId="11" borderId="1" xfId="0" applyFont="1" applyFill="1" applyBorder="1" applyAlignment="1">
      <alignment horizontal="center" wrapText="1"/>
    </xf>
    <xf numFmtId="9" fontId="6" fillId="11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10" borderId="1" xfId="0" applyFill="1" applyBorder="1"/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0" fillId="10" borderId="3" xfId="0" applyFill="1" applyBorder="1"/>
    <xf numFmtId="0" fontId="0" fillId="10" borderId="4" xfId="0" applyFill="1" applyBorder="1"/>
    <xf numFmtId="0" fontId="0" fillId="10" borderId="2" xfId="0" applyFill="1" applyBorder="1"/>
    <xf numFmtId="0" fontId="3" fillId="0" borderId="0" xfId="2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0" fillId="8" borderId="1" xfId="0" applyFill="1" applyBorder="1"/>
    <xf numFmtId="0" fontId="0" fillId="0" borderId="1" xfId="0" applyBorder="1"/>
    <xf numFmtId="0" fontId="0" fillId="15" borderId="0" xfId="0" applyFill="1"/>
    <xf numFmtId="0" fontId="0" fillId="16" borderId="0" xfId="0" applyFill="1"/>
    <xf numFmtId="0" fontId="3" fillId="17" borderId="1" xfId="6" applyFont="1" applyFill="1" applyBorder="1"/>
    <xf numFmtId="0" fontId="3" fillId="17" borderId="1" xfId="6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0" fontId="16" fillId="20" borderId="8" xfId="3" applyFont="1" applyFill="1" applyBorder="1" applyAlignment="1">
      <alignment horizontal="center" vertical="center"/>
    </xf>
    <xf numFmtId="0" fontId="17" fillId="21" borderId="1" xfId="7" applyFont="1" applyFill="1" applyBorder="1" applyAlignment="1">
      <alignment horizontal="center" vertical="center"/>
    </xf>
    <xf numFmtId="0" fontId="17" fillId="21" borderId="1" xfId="7" applyFont="1" applyFill="1" applyBorder="1" applyAlignment="1">
      <alignment vertical="center"/>
    </xf>
    <xf numFmtId="1" fontId="17" fillId="21" borderId="1" xfId="7" applyNumberFormat="1" applyFont="1" applyFill="1" applyBorder="1" applyAlignment="1">
      <alignment vertical="center"/>
    </xf>
    <xf numFmtId="0" fontId="4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0" fillId="24" borderId="1" xfId="0" applyFill="1" applyBorder="1" applyAlignment="1">
      <alignment horizontal="right" vertical="center"/>
    </xf>
    <xf numFmtId="1" fontId="0" fillId="24" borderId="1" xfId="0" applyNumberFormat="1" applyFill="1" applyBorder="1" applyAlignment="1">
      <alignment horizontal="right" vertical="center"/>
    </xf>
    <xf numFmtId="0" fontId="3" fillId="21" borderId="1" xfId="0" applyFont="1" applyFill="1" applyBorder="1"/>
    <xf numFmtId="9" fontId="3" fillId="21" borderId="1" xfId="0" applyNumberFormat="1" applyFont="1" applyFill="1" applyBorder="1"/>
    <xf numFmtId="1" fontId="5" fillId="21" borderId="1" xfId="0" applyNumberFormat="1" applyFont="1" applyFill="1" applyBorder="1" applyAlignment="1">
      <alignment horizontal="right" vertical="center"/>
    </xf>
    <xf numFmtId="0" fontId="5" fillId="21" borderId="1" xfId="0" applyFont="1" applyFill="1" applyBorder="1" applyAlignment="1">
      <alignment horizontal="right" vertical="center"/>
    </xf>
    <xf numFmtId="0" fontId="0" fillId="25" borderId="1" xfId="8" applyFont="1" applyBorder="1"/>
    <xf numFmtId="0" fontId="21" fillId="26" borderId="1" xfId="9" applyFont="1" applyBorder="1"/>
    <xf numFmtId="0" fontId="0" fillId="25" borderId="1" xfId="8" applyFont="1" applyBorder="1" applyAlignment="1">
      <alignment horizontal="center"/>
    </xf>
    <xf numFmtId="0" fontId="22" fillId="26" borderId="1" xfId="9" applyFont="1" applyBorder="1"/>
    <xf numFmtId="0" fontId="21" fillId="26" borderId="1" xfId="9" applyFont="1" applyBorder="1" applyAlignment="1">
      <alignment horizontal="center"/>
    </xf>
    <xf numFmtId="0" fontId="22" fillId="26" borderId="1" xfId="9" applyFont="1" applyBorder="1" applyAlignment="1">
      <alignment horizontal="center"/>
    </xf>
    <xf numFmtId="0" fontId="21" fillId="26" borderId="1" xfId="9" applyFont="1" applyBorder="1" applyAlignment="1">
      <alignment horizontal="right"/>
    </xf>
    <xf numFmtId="15" fontId="22" fillId="26" borderId="1" xfId="9" applyNumberFormat="1" applyFont="1" applyBorder="1" applyAlignment="1">
      <alignment horizontal="center"/>
    </xf>
    <xf numFmtId="0" fontId="0" fillId="25" borderId="3" xfId="8" applyFont="1" applyBorder="1"/>
    <xf numFmtId="0" fontId="0" fillId="25" borderId="2" xfId="8" applyFont="1" applyBorder="1" applyAlignment="1">
      <alignment horizontal="right"/>
    </xf>
    <xf numFmtId="0" fontId="22" fillId="26" borderId="1" xfId="9" applyFont="1" applyBorder="1" applyAlignment="1">
      <alignment horizontal="left"/>
    </xf>
    <xf numFmtId="0" fontId="20" fillId="25" borderId="1" xfId="8" applyBorder="1" applyAlignment="1">
      <alignment horizontal="center"/>
    </xf>
    <xf numFmtId="0" fontId="20" fillId="25" borderId="3" xfId="8" applyBorder="1"/>
    <xf numFmtId="0" fontId="20" fillId="25" borderId="4" xfId="8" applyBorder="1"/>
    <xf numFmtId="0" fontId="21" fillId="0" borderId="0" xfId="0" applyFont="1"/>
    <xf numFmtId="0" fontId="20" fillId="0" borderId="0" xfId="8" applyFill="1" applyBorder="1"/>
    <xf numFmtId="0" fontId="0" fillId="22" borderId="1" xfId="0" applyFill="1" applyBorder="1"/>
    <xf numFmtId="17" fontId="0" fillId="22" borderId="1" xfId="0" applyNumberFormat="1" applyFill="1" applyBorder="1"/>
    <xf numFmtId="0" fontId="0" fillId="20" borderId="1" xfId="0" applyFill="1" applyBorder="1"/>
    <xf numFmtId="0" fontId="0" fillId="28" borderId="1" xfId="0" applyFill="1" applyBorder="1"/>
    <xf numFmtId="17" fontId="0" fillId="28" borderId="1" xfId="0" applyNumberFormat="1" applyFill="1" applyBorder="1"/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/>
    <xf numFmtId="0" fontId="23" fillId="27" borderId="1" xfId="0" applyFont="1" applyFill="1" applyBorder="1" applyAlignment="1">
      <alignment horizontal="center" vertical="center"/>
    </xf>
    <xf numFmtId="0" fontId="23" fillId="20" borderId="1" xfId="0" applyFont="1" applyFill="1" applyBorder="1"/>
    <xf numFmtId="0" fontId="23" fillId="2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5" fillId="0" borderId="8" xfId="0" applyFont="1" applyBorder="1"/>
    <xf numFmtId="0" fontId="26" fillId="0" borderId="1" xfId="0" applyFont="1" applyBorder="1"/>
    <xf numFmtId="0" fontId="0" fillId="27" borderId="0" xfId="0" applyFill="1" applyAlignment="1">
      <alignment vertical="center"/>
    </xf>
    <xf numFmtId="164" fontId="0" fillId="0" borderId="1" xfId="0" applyNumberFormat="1" applyBorder="1"/>
    <xf numFmtId="43" fontId="0" fillId="0" borderId="1" xfId="10" applyFont="1" applyBorder="1"/>
    <xf numFmtId="0" fontId="0" fillId="8" borderId="7" xfId="0" applyFill="1" applyBorder="1"/>
    <xf numFmtId="0" fontId="27" fillId="29" borderId="1" xfId="0" applyFont="1" applyFill="1" applyBorder="1" applyAlignment="1">
      <alignment horizontal="center"/>
    </xf>
    <xf numFmtId="0" fontId="28" fillId="30" borderId="1" xfId="0" applyFont="1" applyFill="1" applyBorder="1" applyAlignment="1">
      <alignment horizontal="left"/>
    </xf>
    <xf numFmtId="0" fontId="3" fillId="10" borderId="0" xfId="2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6" fillId="10" borderId="3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left"/>
    </xf>
    <xf numFmtId="0" fontId="0" fillId="10" borderId="3" xfId="0" applyFill="1" applyBorder="1"/>
    <xf numFmtId="0" fontId="0" fillId="10" borderId="4" xfId="0" applyFill="1" applyBorder="1"/>
    <xf numFmtId="0" fontId="0" fillId="10" borderId="2" xfId="0" applyFill="1" applyBorder="1"/>
    <xf numFmtId="0" fontId="9" fillId="15" borderId="0" xfId="0" applyFont="1" applyFill="1" applyAlignment="1">
      <alignment horizontal="center" vertical="center"/>
    </xf>
    <xf numFmtId="17" fontId="10" fillId="16" borderId="5" xfId="0" applyNumberFormat="1" applyFont="1" applyFill="1" applyBorder="1" applyAlignment="1">
      <alignment horizontal="center"/>
    </xf>
    <xf numFmtId="0" fontId="10" fillId="16" borderId="5" xfId="0" applyFont="1" applyFill="1" applyBorder="1" applyAlignment="1">
      <alignment horizontal="center"/>
    </xf>
    <xf numFmtId="0" fontId="13" fillId="12" borderId="6" xfId="5" applyFont="1" applyBorder="1" applyAlignment="1">
      <alignment horizontal="center" vertical="center" textRotation="255"/>
    </xf>
    <xf numFmtId="0" fontId="13" fillId="12" borderId="7" xfId="5" applyFont="1" applyBorder="1" applyAlignment="1">
      <alignment horizontal="center" vertical="center" textRotation="255"/>
    </xf>
    <xf numFmtId="0" fontId="13" fillId="12" borderId="8" xfId="5" applyFont="1" applyBorder="1" applyAlignment="1">
      <alignment horizontal="center" vertical="center" textRotation="255"/>
    </xf>
    <xf numFmtId="0" fontId="14" fillId="12" borderId="6" xfId="5" applyFont="1" applyBorder="1" applyAlignment="1">
      <alignment horizontal="center" vertical="center" textRotation="255"/>
    </xf>
    <xf numFmtId="0" fontId="14" fillId="12" borderId="7" xfId="5" applyFont="1" applyBorder="1" applyAlignment="1">
      <alignment horizontal="center" vertical="center" textRotation="255"/>
    </xf>
    <xf numFmtId="0" fontId="14" fillId="12" borderId="8" xfId="5" applyFont="1" applyBorder="1" applyAlignment="1">
      <alignment horizontal="center" vertical="center" textRotation="255"/>
    </xf>
    <xf numFmtId="0" fontId="15" fillId="19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3" fillId="10" borderId="1" xfId="2" applyFont="1" applyFill="1" applyBorder="1" applyAlignment="1">
      <alignment horizontal="left"/>
    </xf>
    <xf numFmtId="0" fontId="18" fillId="22" borderId="0" xfId="0" applyFont="1" applyFill="1" applyAlignment="1">
      <alignment horizontal="center" vertical="center"/>
    </xf>
    <xf numFmtId="0" fontId="18" fillId="22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</cellXfs>
  <cellStyles count="11">
    <cellStyle name="40% - Accent2" xfId="2" builtinId="35"/>
    <cellStyle name="60% - Accent4" xfId="7" builtinId="44"/>
    <cellStyle name="Accent1" xfId="1" builtinId="29"/>
    <cellStyle name="Accent2" xfId="6" builtinId="33"/>
    <cellStyle name="Accent4" xfId="3" builtinId="41"/>
    <cellStyle name="Accent5" xfId="4" builtinId="45"/>
    <cellStyle name="Bad" xfId="5" builtinId="27"/>
    <cellStyle name="Comma" xfId="10" builtinId="3"/>
    <cellStyle name="GreyOrWhite" xfId="8" xr:uid="{00000000-0005-0000-0000-000007000000}"/>
    <cellStyle name="Normal" xfId="0" builtinId="0"/>
    <cellStyle name="Yellow" xfId="9" xr:uid="{00000000-0005-0000-0000-000009000000}"/>
  </cellStyles>
  <dxfs count="5"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0</xdr:rowOff>
    </xdr:from>
    <xdr:to>
      <xdr:col>4</xdr:col>
      <xdr:colOff>676275</xdr:colOff>
      <xdr:row>6</xdr:row>
      <xdr:rowOff>161926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1485900" y="752476"/>
          <a:ext cx="2028825" cy="1714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Type these figures</a:t>
          </a:r>
        </a:p>
      </xdr:txBody>
    </xdr:sp>
    <xdr:clientData/>
  </xdr:twoCellAnchor>
  <xdr:twoCellAnchor>
    <xdr:from>
      <xdr:col>5</xdr:col>
      <xdr:colOff>47624</xdr:colOff>
      <xdr:row>6</xdr:row>
      <xdr:rowOff>0</xdr:rowOff>
    </xdr:from>
    <xdr:to>
      <xdr:col>9</xdr:col>
      <xdr:colOff>657224</xdr:colOff>
      <xdr:row>6</xdr:row>
      <xdr:rowOff>171450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590924" y="762000"/>
          <a:ext cx="3267075" cy="1714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Calculate these figures</a:t>
          </a:r>
        </a:p>
        <a:p>
          <a:pPr algn="ctr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1</xdr:row>
      <xdr:rowOff>171450</xdr:rowOff>
    </xdr:from>
    <xdr:to>
      <xdr:col>14</xdr:col>
      <xdr:colOff>19050</xdr:colOff>
      <xdr:row>16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0" y="361950"/>
          <a:ext cx="4219575" cy="306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dmin\Downloads\Advance%20Excel%20Exam%20.xlsx" TargetMode="External"/><Relationship Id="rId2" Type="http://schemas.openxmlformats.org/officeDocument/2006/relationships/externalLinkPath" Target="file:///C:\Users\Admin\Downloads\Advance%20Excel%20Exam%20.xlsx" TargetMode="External"/><Relationship Id="rId1" Type="http://schemas.openxmlformats.org/officeDocument/2006/relationships/externalLinkPath" Target="file:///C:\Users\Admin\Downloads\Advance%20Excel%20Exam%20.xlsx" TargetMode="External"/><Relationship Id="rId4" Type="http://schemas.openxmlformats.org/officeDocument/2006/relationships/externalLinkPath" Target="file:///C:\Users\Admin\Downloads\Advance%20Excel%20Exam%20.xls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I5" sqref="I5"/>
    </sheetView>
  </sheetViews>
  <sheetFormatPr defaultRowHeight="14.5" x14ac:dyDescent="0.35"/>
  <cols>
    <col min="3" max="3" width="9.453125" bestFit="1" customWidth="1"/>
    <col min="7" max="7" width="8.7265625" bestFit="1" customWidth="1"/>
  </cols>
  <sheetData>
    <row r="1" spans="1:15" x14ac:dyDescent="0.35">
      <c r="A1" s="84" t="s">
        <v>446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35">
      <c r="B4" s="26" t="s">
        <v>444</v>
      </c>
      <c r="C4" s="26" t="s">
        <v>445</v>
      </c>
      <c r="F4" s="26" t="s">
        <v>445</v>
      </c>
      <c r="G4" s="26" t="s">
        <v>444</v>
      </c>
    </row>
    <row r="5" spans="1:15" x14ac:dyDescent="0.35">
      <c r="B5" s="47">
        <v>60</v>
      </c>
      <c r="C5" s="26" t="str">
        <f>CHAR(B5)</f>
        <v>&lt;</v>
      </c>
      <c r="F5" s="48" t="s">
        <v>447</v>
      </c>
      <c r="G5">
        <f>CODE(F5)</f>
        <v>11</v>
      </c>
    </row>
    <row r="6" spans="1:15" x14ac:dyDescent="0.35">
      <c r="B6" s="47">
        <v>61</v>
      </c>
      <c r="C6" s="26" t="str">
        <f t="shared" ref="C6:C18" si="0">CHAR(B6)</f>
        <v>=</v>
      </c>
      <c r="F6" s="48" t="s">
        <v>448</v>
      </c>
      <c r="G6">
        <f t="shared" ref="G6:G16" si="1">CODE(F6)</f>
        <v>12</v>
      </c>
    </row>
    <row r="7" spans="1:15" x14ac:dyDescent="0.35">
      <c r="B7" s="47">
        <v>62</v>
      </c>
      <c r="C7" s="26" t="str">
        <f t="shared" si="0"/>
        <v>&gt;</v>
      </c>
      <c r="F7" s="48" t="s">
        <v>449</v>
      </c>
      <c r="G7">
        <f t="shared" si="1"/>
        <v>14</v>
      </c>
    </row>
    <row r="8" spans="1:15" x14ac:dyDescent="0.35">
      <c r="B8" s="47">
        <v>63</v>
      </c>
      <c r="C8" s="26" t="str">
        <f t="shared" si="0"/>
        <v>?</v>
      </c>
      <c r="F8" s="48" t="s">
        <v>450</v>
      </c>
      <c r="G8">
        <f t="shared" si="1"/>
        <v>15</v>
      </c>
    </row>
    <row r="9" spans="1:15" x14ac:dyDescent="0.35">
      <c r="B9" s="47">
        <v>64</v>
      </c>
      <c r="C9" s="26" t="str">
        <f t="shared" si="0"/>
        <v>@</v>
      </c>
      <c r="F9" s="48" t="s">
        <v>451</v>
      </c>
      <c r="G9">
        <f t="shared" si="1"/>
        <v>16</v>
      </c>
    </row>
    <row r="10" spans="1:15" x14ac:dyDescent="0.35">
      <c r="B10" s="47">
        <v>65</v>
      </c>
      <c r="C10" s="26" t="str">
        <f t="shared" si="0"/>
        <v>A</v>
      </c>
      <c r="F10" s="48" t="s">
        <v>452</v>
      </c>
      <c r="G10">
        <f t="shared" si="1"/>
        <v>17</v>
      </c>
    </row>
    <row r="11" spans="1:15" x14ac:dyDescent="0.35">
      <c r="B11" s="47">
        <v>66</v>
      </c>
      <c r="C11" s="26" t="str">
        <f t="shared" si="0"/>
        <v>B</v>
      </c>
      <c r="F11" s="48" t="s">
        <v>453</v>
      </c>
      <c r="G11">
        <f t="shared" si="1"/>
        <v>18</v>
      </c>
    </row>
    <row r="12" spans="1:15" x14ac:dyDescent="0.35">
      <c r="B12" s="47">
        <v>67</v>
      </c>
      <c r="C12" s="26" t="str">
        <f t="shared" si="0"/>
        <v>C</v>
      </c>
      <c r="F12" s="48" t="s">
        <v>454</v>
      </c>
      <c r="G12">
        <f t="shared" si="1"/>
        <v>19</v>
      </c>
    </row>
    <row r="13" spans="1:15" x14ac:dyDescent="0.35">
      <c r="B13" s="47">
        <v>68</v>
      </c>
      <c r="C13" s="26" t="str">
        <f t="shared" si="0"/>
        <v>D</v>
      </c>
      <c r="F13" s="48" t="s">
        <v>455</v>
      </c>
      <c r="G13">
        <f t="shared" si="1"/>
        <v>20</v>
      </c>
    </row>
    <row r="14" spans="1:15" x14ac:dyDescent="0.35">
      <c r="B14" s="47">
        <v>69</v>
      </c>
      <c r="C14" s="26" t="str">
        <f t="shared" si="0"/>
        <v>E</v>
      </c>
      <c r="F14" s="48" t="s">
        <v>456</v>
      </c>
      <c r="G14">
        <f t="shared" si="1"/>
        <v>21</v>
      </c>
    </row>
    <row r="15" spans="1:15" x14ac:dyDescent="0.35">
      <c r="B15" s="47">
        <v>70</v>
      </c>
      <c r="C15" s="26" t="str">
        <f t="shared" si="0"/>
        <v>F</v>
      </c>
      <c r="F15" s="48" t="s">
        <v>457</v>
      </c>
      <c r="G15">
        <f t="shared" si="1"/>
        <v>22</v>
      </c>
    </row>
    <row r="16" spans="1:15" x14ac:dyDescent="0.35">
      <c r="B16" s="47">
        <v>71</v>
      </c>
      <c r="C16" s="26" t="str">
        <f t="shared" si="0"/>
        <v>G</v>
      </c>
      <c r="F16" s="48" t="s">
        <v>458</v>
      </c>
      <c r="G16">
        <f t="shared" si="1"/>
        <v>23</v>
      </c>
    </row>
    <row r="17" spans="2:3" x14ac:dyDescent="0.35">
      <c r="B17" s="47">
        <v>72</v>
      </c>
      <c r="C17" s="26" t="str">
        <f t="shared" si="0"/>
        <v>H</v>
      </c>
    </row>
    <row r="18" spans="2:3" x14ac:dyDescent="0.35">
      <c r="B18" s="47">
        <v>73</v>
      </c>
      <c r="C18" s="26" t="str">
        <f t="shared" si="0"/>
        <v>I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C5" sqref="C5:C10"/>
    </sheetView>
  </sheetViews>
  <sheetFormatPr defaultRowHeight="14.5" x14ac:dyDescent="0.35"/>
  <cols>
    <col min="3" max="3" width="19.26953125" customWidth="1"/>
  </cols>
  <sheetData>
    <row r="1" spans="1:15" x14ac:dyDescent="0.35">
      <c r="A1" s="84" t="s">
        <v>471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35">
      <c r="A4" s="49" t="s">
        <v>465</v>
      </c>
      <c r="B4" s="49" t="s">
        <v>466</v>
      </c>
      <c r="C4" s="49" t="s">
        <v>467</v>
      </c>
    </row>
    <row r="5" spans="1:15" x14ac:dyDescent="0.35">
      <c r="A5" s="52" t="s">
        <v>433</v>
      </c>
      <c r="B5" s="52" t="s">
        <v>468</v>
      </c>
      <c r="C5" s="53" t="str">
        <f>CONCATENATE(A5," and ",B5)</f>
        <v>Alan and Jones</v>
      </c>
    </row>
    <row r="6" spans="1:15" x14ac:dyDescent="0.35">
      <c r="A6" s="52" t="s">
        <v>435</v>
      </c>
      <c r="B6" s="52" t="s">
        <v>469</v>
      </c>
      <c r="C6" s="53" t="str">
        <f t="shared" ref="C6:C10" si="0">CONCATENATE(A6," and ",B6)</f>
        <v>Bob and Williams</v>
      </c>
    </row>
    <row r="7" spans="1:15" x14ac:dyDescent="0.35">
      <c r="A7" s="52" t="s">
        <v>434</v>
      </c>
      <c r="B7" s="52" t="s">
        <v>470</v>
      </c>
      <c r="C7" s="53" t="str">
        <f t="shared" si="0"/>
        <v>Carol and Davies</v>
      </c>
    </row>
    <row r="8" spans="1:15" x14ac:dyDescent="0.35">
      <c r="A8" s="52" t="s">
        <v>433</v>
      </c>
      <c r="B8" s="52" t="s">
        <v>468</v>
      </c>
      <c r="C8" s="53" t="str">
        <f t="shared" si="0"/>
        <v>Alan and Jones</v>
      </c>
    </row>
    <row r="9" spans="1:15" x14ac:dyDescent="0.35">
      <c r="A9" s="52" t="s">
        <v>435</v>
      </c>
      <c r="B9" s="52" t="s">
        <v>469</v>
      </c>
      <c r="C9" s="53" t="str">
        <f t="shared" si="0"/>
        <v>Bob and Williams</v>
      </c>
    </row>
    <row r="10" spans="1:15" x14ac:dyDescent="0.35">
      <c r="A10" s="52" t="s">
        <v>434</v>
      </c>
      <c r="B10" s="52" t="s">
        <v>470</v>
      </c>
      <c r="C10" s="53" t="str">
        <f t="shared" si="0"/>
        <v>Carol and Davies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>
      <selection activeCell="B4" sqref="B4:B6"/>
    </sheetView>
  </sheetViews>
  <sheetFormatPr defaultRowHeight="14.5" x14ac:dyDescent="0.35"/>
  <cols>
    <col min="1" max="1" width="9.54296875" bestFit="1" customWidth="1"/>
    <col min="2" max="2" width="10.26953125" bestFit="1" customWidth="1"/>
  </cols>
  <sheetData>
    <row r="1" spans="1:15" x14ac:dyDescent="0.35">
      <c r="A1" s="84" t="s">
        <v>464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3" spans="1:15" x14ac:dyDescent="0.35">
      <c r="A3" s="49" t="s">
        <v>459</v>
      </c>
      <c r="B3" s="49" t="s">
        <v>460</v>
      </c>
    </row>
    <row r="4" spans="1:15" x14ac:dyDescent="0.35">
      <c r="A4" s="50" t="s">
        <v>461</v>
      </c>
      <c r="B4" s="51" t="str">
        <f>CLEAN(A4)</f>
        <v>Hello</v>
      </c>
    </row>
    <row r="5" spans="1:15" x14ac:dyDescent="0.35">
      <c r="A5" s="50" t="s">
        <v>462</v>
      </c>
      <c r="B5" s="51" t="str">
        <f t="shared" ref="B5:B6" si="0">CLEAN(A5)</f>
        <v>Hello</v>
      </c>
    </row>
    <row r="6" spans="1:15" x14ac:dyDescent="0.35">
      <c r="A6" s="50" t="s">
        <v>463</v>
      </c>
      <c r="B6" s="51" t="str">
        <f t="shared" si="0"/>
        <v>Hello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topLeftCell="A3" workbookViewId="0">
      <selection activeCell="C5" sqref="C5"/>
    </sheetView>
  </sheetViews>
  <sheetFormatPr defaultRowHeight="14.5" x14ac:dyDescent="0.35"/>
  <sheetData>
    <row r="1" spans="1:15" x14ac:dyDescent="0.35">
      <c r="A1" s="84" t="s">
        <v>474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3" spans="1:15" x14ac:dyDescent="0.35">
      <c r="A3" s="49" t="s">
        <v>472</v>
      </c>
      <c r="C3" s="49" t="s">
        <v>473</v>
      </c>
    </row>
    <row r="4" spans="1:15" x14ac:dyDescent="0.35">
      <c r="A4" s="52">
        <v>1</v>
      </c>
      <c r="C4" s="51">
        <f>COUNTBLANK(A4:A19)</f>
        <v>4</v>
      </c>
    </row>
    <row r="5" spans="1:15" x14ac:dyDescent="0.35">
      <c r="A5" s="52" t="s">
        <v>461</v>
      </c>
    </row>
    <row r="6" spans="1:15" x14ac:dyDescent="0.35">
      <c r="A6" s="52">
        <v>3</v>
      </c>
    </row>
    <row r="7" spans="1:15" x14ac:dyDescent="0.35">
      <c r="A7" s="52">
        <v>0</v>
      </c>
    </row>
    <row r="8" spans="1:15" x14ac:dyDescent="0.35">
      <c r="A8" s="52"/>
    </row>
    <row r="9" spans="1:15" x14ac:dyDescent="0.35">
      <c r="A9" s="54">
        <v>35796</v>
      </c>
    </row>
    <row r="10" spans="1:15" x14ac:dyDescent="0.35">
      <c r="A10" s="52"/>
    </row>
    <row r="11" spans="1:15" x14ac:dyDescent="0.35">
      <c r="A11" s="52">
        <v>5</v>
      </c>
    </row>
    <row r="12" spans="1:15" x14ac:dyDescent="0.35">
      <c r="A12" s="52">
        <v>5</v>
      </c>
    </row>
    <row r="13" spans="1:15" x14ac:dyDescent="0.35">
      <c r="A13" s="52" t="s">
        <v>206</v>
      </c>
    </row>
    <row r="14" spans="1:15" x14ac:dyDescent="0.35">
      <c r="A14" s="52">
        <v>3</v>
      </c>
    </row>
    <row r="15" spans="1:15" x14ac:dyDescent="0.35">
      <c r="A15" s="52">
        <v>0</v>
      </c>
    </row>
    <row r="16" spans="1:15" x14ac:dyDescent="0.35">
      <c r="A16" s="52"/>
    </row>
    <row r="17" spans="1:1" x14ac:dyDescent="0.35">
      <c r="A17" s="54" t="s">
        <v>475</v>
      </c>
    </row>
    <row r="18" spans="1:1" x14ac:dyDescent="0.35">
      <c r="A18" s="52"/>
    </row>
    <row r="19" spans="1:1" x14ac:dyDescent="0.35">
      <c r="A19" s="52">
        <v>5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>
      <selection activeCell="D4" sqref="D4:D6"/>
    </sheetView>
  </sheetViews>
  <sheetFormatPr defaultRowHeight="14.5" x14ac:dyDescent="0.35"/>
  <cols>
    <col min="4" max="4" width="11.26953125" bestFit="1" customWidth="1"/>
  </cols>
  <sheetData>
    <row r="1" spans="1:15" x14ac:dyDescent="0.35">
      <c r="A1" s="84" t="s">
        <v>479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3" spans="1:15" x14ac:dyDescent="0.35">
      <c r="A3" s="49" t="s">
        <v>476</v>
      </c>
      <c r="B3" s="49" t="s">
        <v>477</v>
      </c>
      <c r="C3" s="49" t="s">
        <v>478</v>
      </c>
      <c r="D3" s="49" t="s">
        <v>174</v>
      </c>
    </row>
    <row r="4" spans="1:15" x14ac:dyDescent="0.35">
      <c r="A4" s="52" t="s">
        <v>433</v>
      </c>
      <c r="B4" s="52">
        <v>1000</v>
      </c>
      <c r="C4" s="52">
        <v>5000</v>
      </c>
      <c r="D4" s="51" t="str">
        <f>IF(B4&gt;=C4,"Achieved","Not Achieved")</f>
        <v>Not Achieved</v>
      </c>
    </row>
    <row r="5" spans="1:15" x14ac:dyDescent="0.35">
      <c r="A5" s="52" t="s">
        <v>435</v>
      </c>
      <c r="B5" s="52">
        <v>6000</v>
      </c>
      <c r="C5" s="52">
        <v>5000</v>
      </c>
      <c r="D5" s="51" t="str">
        <f t="shared" ref="D5:D6" si="0">IF(B5&gt;=C5,"Achieved","Not Achieved")</f>
        <v>Achieved</v>
      </c>
    </row>
    <row r="6" spans="1:15" x14ac:dyDescent="0.35">
      <c r="A6" s="52" t="s">
        <v>434</v>
      </c>
      <c r="B6" s="52">
        <v>2000</v>
      </c>
      <c r="C6" s="52">
        <v>4000</v>
      </c>
      <c r="D6" s="51" t="str">
        <f t="shared" si="0"/>
        <v>Not Achieved</v>
      </c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workbookViewId="0">
      <selection activeCell="F7" sqref="F7"/>
    </sheetView>
  </sheetViews>
  <sheetFormatPr defaultRowHeight="14.5" x14ac:dyDescent="0.35"/>
  <sheetData>
    <row r="1" spans="1:15" x14ac:dyDescent="0.35">
      <c r="A1" s="84" t="s">
        <v>487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35">
      <c r="A4" s="49" t="s">
        <v>480</v>
      </c>
      <c r="B4" s="49" t="s">
        <v>481</v>
      </c>
      <c r="C4" s="49" t="s">
        <v>482</v>
      </c>
    </row>
    <row r="5" spans="1:15" x14ac:dyDescent="0.35">
      <c r="A5" s="49" t="s">
        <v>483</v>
      </c>
      <c r="B5" s="52">
        <v>5</v>
      </c>
      <c r="C5" s="52">
        <v>100</v>
      </c>
    </row>
    <row r="6" spans="1:15" x14ac:dyDescent="0.35">
      <c r="A6" s="49" t="s">
        <v>484</v>
      </c>
      <c r="B6" s="52">
        <v>2</v>
      </c>
      <c r="C6" s="52">
        <v>10</v>
      </c>
    </row>
    <row r="7" spans="1:15" x14ac:dyDescent="0.35">
      <c r="A7" s="49" t="s">
        <v>485</v>
      </c>
      <c r="B7" s="52">
        <v>3</v>
      </c>
      <c r="C7" s="52">
        <v>2</v>
      </c>
    </row>
    <row r="9" spans="1:15" x14ac:dyDescent="0.35">
      <c r="A9" s="55"/>
      <c r="B9" s="56" t="s">
        <v>486</v>
      </c>
      <c r="C9" s="51">
        <f>SUMPRODUCT(B4:B7,C4:C7)</f>
        <v>526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workbookViewId="0">
      <selection activeCell="L5" sqref="L5:L9"/>
    </sheetView>
  </sheetViews>
  <sheetFormatPr defaultRowHeight="14.5" x14ac:dyDescent="0.35"/>
  <sheetData>
    <row r="1" spans="1:17" x14ac:dyDescent="0.35">
      <c r="A1" s="84" t="s">
        <v>488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5" spans="1:17" x14ac:dyDescent="0.35">
      <c r="C5" s="49" t="s">
        <v>3</v>
      </c>
      <c r="D5" s="49" t="s">
        <v>5</v>
      </c>
      <c r="H5" s="49" t="s">
        <v>433</v>
      </c>
      <c r="I5" s="49" t="s">
        <v>435</v>
      </c>
      <c r="J5" s="49" t="s">
        <v>434</v>
      </c>
      <c r="K5" s="49" t="s">
        <v>130</v>
      </c>
      <c r="L5">
        <f t="array" ref="L5">TRANSPOSE(B5:D9)</f>
        <v>0</v>
      </c>
      <c r="M5" t="str">
        <f t="array" ref="M5">TRANSPOSE(C5:E9)</f>
        <v>Jan</v>
      </c>
      <c r="N5" t="str">
        <f t="array" ref="N5">TRANSPOSE(D5:F9)</f>
        <v>Feb</v>
      </c>
      <c r="O5">
        <f t="array" ref="O5">TRANSPOSE(E5:G9)</f>
        <v>0</v>
      </c>
      <c r="P5">
        <f t="array" ref="P5">TRANSPOSE(F5:H9)</f>
        <v>0</v>
      </c>
      <c r="Q5">
        <f t="array" ref="Q5">TRANSPOSE(G5:I9)</f>
        <v>0</v>
      </c>
    </row>
    <row r="6" spans="1:17" x14ac:dyDescent="0.35">
      <c r="B6" s="49" t="s">
        <v>433</v>
      </c>
      <c r="C6" s="52">
        <v>10</v>
      </c>
      <c r="D6" s="52">
        <v>30</v>
      </c>
      <c r="G6" s="49" t="s">
        <v>3</v>
      </c>
      <c r="H6" s="52">
        <v>10</v>
      </c>
      <c r="I6" s="52">
        <v>40</v>
      </c>
      <c r="J6" s="52">
        <v>70</v>
      </c>
      <c r="K6" s="51">
        <f>SUM(H6:J6)</f>
        <v>120</v>
      </c>
      <c r="L6" t="str">
        <f t="array" ref="L6">TRANSPOSE(B6:D10)</f>
        <v>Alan</v>
      </c>
    </row>
    <row r="7" spans="1:17" x14ac:dyDescent="0.35">
      <c r="B7" s="49" t="s">
        <v>435</v>
      </c>
      <c r="C7" s="52">
        <v>40</v>
      </c>
      <c r="D7" s="52">
        <v>50</v>
      </c>
      <c r="G7" s="49" t="s">
        <v>5</v>
      </c>
      <c r="H7" s="52">
        <v>30</v>
      </c>
      <c r="I7" s="52">
        <v>50</v>
      </c>
      <c r="J7" s="52">
        <v>80</v>
      </c>
      <c r="K7" s="51">
        <f>SUM(H7:J7)</f>
        <v>160</v>
      </c>
      <c r="L7" t="str">
        <f t="array" ref="L7">TRANSPOSE(B7:D11)</f>
        <v>Bob</v>
      </c>
    </row>
    <row r="8" spans="1:17" x14ac:dyDescent="0.35">
      <c r="B8" s="49" t="s">
        <v>434</v>
      </c>
      <c r="C8" s="52">
        <v>70</v>
      </c>
      <c r="D8" s="52">
        <v>80</v>
      </c>
      <c r="L8" t="str">
        <f t="array" ref="L8">TRANSPOSE(B8:D12)</f>
        <v>Carol</v>
      </c>
    </row>
    <row r="9" spans="1:17" x14ac:dyDescent="0.35">
      <c r="B9" s="49" t="s">
        <v>130</v>
      </c>
      <c r="C9" s="51">
        <f>SUM(C6:C8)</f>
        <v>120</v>
      </c>
      <c r="D9" s="51">
        <f>SUM(D6:D8)</f>
        <v>160</v>
      </c>
      <c r="L9" t="str">
        <f t="array" ref="L9">TRANSPOSE(B9:D13)</f>
        <v>Total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"/>
  <sheetViews>
    <sheetView workbookViewId="0">
      <selection activeCell="C5" sqref="C5:C8"/>
    </sheetView>
  </sheetViews>
  <sheetFormatPr defaultRowHeight="14.5" x14ac:dyDescent="0.35"/>
  <cols>
    <col min="2" max="2" width="16" bestFit="1" customWidth="1"/>
    <col min="3" max="3" width="13.453125" bestFit="1" customWidth="1"/>
  </cols>
  <sheetData>
    <row r="1" spans="1:15" x14ac:dyDescent="0.35">
      <c r="A1" s="84" t="s">
        <v>495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35">
      <c r="B4" s="47" t="s">
        <v>489</v>
      </c>
      <c r="C4" s="47" t="s">
        <v>490</v>
      </c>
    </row>
    <row r="5" spans="1:15" x14ac:dyDescent="0.35">
      <c r="B5" s="57" t="s">
        <v>491</v>
      </c>
      <c r="C5" s="48" t="str">
        <f>TRIM(B5)</f>
        <v>ABCD</v>
      </c>
    </row>
    <row r="6" spans="1:15" x14ac:dyDescent="0.35">
      <c r="B6" s="57" t="s">
        <v>492</v>
      </c>
      <c r="C6" s="48" t="str">
        <f t="shared" ref="C6:C8" si="0">TRIM(B6)</f>
        <v>A B C D</v>
      </c>
    </row>
    <row r="7" spans="1:15" x14ac:dyDescent="0.35">
      <c r="B7" s="57" t="s">
        <v>493</v>
      </c>
      <c r="C7" s="48" t="str">
        <f t="shared" si="0"/>
        <v>Alan Jones</v>
      </c>
    </row>
    <row r="8" spans="1:15" x14ac:dyDescent="0.35">
      <c r="B8" s="57" t="s">
        <v>494</v>
      </c>
      <c r="C8" s="48" t="str">
        <f t="shared" si="0"/>
        <v>ABCD</v>
      </c>
    </row>
  </sheetData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>
      <selection activeCell="H9" sqref="H9"/>
    </sheetView>
  </sheetViews>
  <sheetFormatPr defaultRowHeight="14.5" x14ac:dyDescent="0.35"/>
  <cols>
    <col min="3" max="3" width="13.7265625" customWidth="1"/>
    <col min="7" max="7" width="11" bestFit="1" customWidth="1"/>
    <col min="8" max="8" width="17.54296875" bestFit="1" customWidth="1"/>
  </cols>
  <sheetData>
    <row r="1" spans="1:15" x14ac:dyDescent="0.35">
      <c r="A1" s="84" t="s">
        <v>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3" spans="1:15" x14ac:dyDescent="0.35">
      <c r="A3" s="6" t="s">
        <v>0</v>
      </c>
      <c r="B3" s="6" t="s">
        <v>1</v>
      </c>
      <c r="C3" s="6" t="s">
        <v>8</v>
      </c>
      <c r="D3" s="6" t="s">
        <v>2</v>
      </c>
      <c r="E3" s="7" t="s">
        <v>11</v>
      </c>
      <c r="G3" s="1"/>
      <c r="H3" s="1"/>
    </row>
    <row r="4" spans="1:15" ht="15.5" x14ac:dyDescent="0.35">
      <c r="A4" s="2" t="s">
        <v>3</v>
      </c>
      <c r="B4" s="2">
        <v>41</v>
      </c>
      <c r="C4" s="2">
        <v>7</v>
      </c>
      <c r="D4" s="2">
        <v>15</v>
      </c>
      <c r="E4" s="2">
        <v>16</v>
      </c>
      <c r="G4" s="3" t="s">
        <v>4</v>
      </c>
      <c r="H4" s="3" t="s">
        <v>20</v>
      </c>
    </row>
    <row r="5" spans="1:15" ht="15.5" x14ac:dyDescent="0.35">
      <c r="A5" s="2" t="s">
        <v>5</v>
      </c>
      <c r="B5" s="2">
        <v>4</v>
      </c>
      <c r="C5" s="2">
        <v>10</v>
      </c>
      <c r="D5" s="2">
        <v>20</v>
      </c>
      <c r="E5" s="2">
        <v>35</v>
      </c>
      <c r="G5" s="4" t="s">
        <v>6</v>
      </c>
      <c r="H5" s="4">
        <f>SUM($B4:$B15)</f>
        <v>397</v>
      </c>
    </row>
    <row r="6" spans="1:15" ht="15.5" x14ac:dyDescent="0.35">
      <c r="A6" s="2" t="s">
        <v>7</v>
      </c>
      <c r="B6" s="2">
        <v>80</v>
      </c>
      <c r="C6" s="2">
        <v>15</v>
      </c>
      <c r="D6" s="2">
        <v>15</v>
      </c>
      <c r="E6" s="2">
        <v>28</v>
      </c>
      <c r="G6" s="4" t="s">
        <v>8</v>
      </c>
      <c r="H6" s="4">
        <f>SUM(C4:C15)</f>
        <v>165</v>
      </c>
    </row>
    <row r="7" spans="1:15" ht="15.5" x14ac:dyDescent="0.35">
      <c r="A7" s="2" t="s">
        <v>9</v>
      </c>
      <c r="B7" s="2">
        <v>67</v>
      </c>
      <c r="C7" s="2">
        <v>14</v>
      </c>
      <c r="D7" s="2">
        <v>23</v>
      </c>
      <c r="E7" s="2">
        <v>19</v>
      </c>
      <c r="G7" s="4" t="s">
        <v>2</v>
      </c>
      <c r="H7" s="4">
        <f>SUM(D4:D15)</f>
        <v>224</v>
      </c>
    </row>
    <row r="8" spans="1:15" ht="15.5" x14ac:dyDescent="0.35">
      <c r="A8" s="2" t="s">
        <v>10</v>
      </c>
      <c r="B8" s="2">
        <v>60</v>
      </c>
      <c r="C8" s="2">
        <v>15</v>
      </c>
      <c r="D8" s="2">
        <v>20</v>
      </c>
      <c r="E8" s="2">
        <v>22</v>
      </c>
      <c r="G8" s="4" t="s">
        <v>11</v>
      </c>
      <c r="H8" s="4">
        <f>SUM(E4:E15)</f>
        <v>380</v>
      </c>
    </row>
    <row r="9" spans="1:15" x14ac:dyDescent="0.35">
      <c r="A9" s="2" t="s">
        <v>12</v>
      </c>
      <c r="B9" s="2">
        <v>30</v>
      </c>
      <c r="C9" s="2">
        <v>5</v>
      </c>
      <c r="D9" s="2">
        <v>15</v>
      </c>
      <c r="E9" s="2">
        <v>24</v>
      </c>
      <c r="G9" s="5"/>
      <c r="H9" s="5"/>
    </row>
    <row r="10" spans="1:15" x14ac:dyDescent="0.35">
      <c r="A10" s="2" t="s">
        <v>13</v>
      </c>
      <c r="B10" s="2">
        <v>20</v>
      </c>
      <c r="C10" s="2">
        <v>7</v>
      </c>
      <c r="D10" s="2">
        <v>24</v>
      </c>
      <c r="E10" s="2">
        <v>38</v>
      </c>
    </row>
    <row r="11" spans="1:15" x14ac:dyDescent="0.35">
      <c r="A11" s="2" t="s">
        <v>14</v>
      </c>
      <c r="B11" s="2">
        <v>8</v>
      </c>
      <c r="C11" s="2">
        <v>14</v>
      </c>
      <c r="D11" s="2">
        <v>25</v>
      </c>
      <c r="E11" s="2">
        <v>39</v>
      </c>
    </row>
    <row r="12" spans="1:15" x14ac:dyDescent="0.35">
      <c r="A12" s="2" t="s">
        <v>15</v>
      </c>
      <c r="B12" s="2">
        <v>11</v>
      </c>
      <c r="C12" s="2">
        <v>25</v>
      </c>
      <c r="D12" s="2">
        <v>12</v>
      </c>
      <c r="E12" s="2">
        <v>25</v>
      </c>
    </row>
    <row r="13" spans="1:15" x14ac:dyDescent="0.35">
      <c r="A13" s="2" t="s">
        <v>16</v>
      </c>
      <c r="B13" s="2">
        <v>20</v>
      </c>
      <c r="C13" s="2">
        <v>13</v>
      </c>
      <c r="D13" s="2">
        <v>20</v>
      </c>
      <c r="E13" s="2">
        <v>46</v>
      </c>
    </row>
    <row r="14" spans="1:15" x14ac:dyDescent="0.35">
      <c r="A14" s="2" t="s">
        <v>17</v>
      </c>
      <c r="B14" s="2">
        <v>31</v>
      </c>
      <c r="C14" s="2">
        <v>20</v>
      </c>
      <c r="D14" s="2">
        <v>10</v>
      </c>
      <c r="E14" s="2">
        <v>40</v>
      </c>
    </row>
    <row r="15" spans="1:15" x14ac:dyDescent="0.35">
      <c r="A15" s="2" t="s">
        <v>18</v>
      </c>
      <c r="B15" s="2">
        <v>25</v>
      </c>
      <c r="C15" s="2">
        <v>20</v>
      </c>
      <c r="D15" s="2">
        <v>25</v>
      </c>
      <c r="E15" s="2">
        <v>48</v>
      </c>
    </row>
  </sheetData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8"/>
  <sheetViews>
    <sheetView workbookViewId="0">
      <selection activeCell="K9" sqref="K9"/>
    </sheetView>
  </sheetViews>
  <sheetFormatPr defaultColWidth="9.1796875" defaultRowHeight="14.5" x14ac:dyDescent="0.35"/>
  <cols>
    <col min="1" max="1" width="10.453125" bestFit="1" customWidth="1"/>
    <col min="2" max="2" width="12.26953125" customWidth="1"/>
    <col min="3" max="5" width="10.54296875" bestFit="1" customWidth="1"/>
    <col min="6" max="7" width="10.453125" bestFit="1" customWidth="1"/>
    <col min="8" max="8" width="7" bestFit="1" customWidth="1"/>
    <col min="9" max="9" width="12" bestFit="1" customWidth="1"/>
    <col min="10" max="10" width="10.453125" bestFit="1" customWidth="1"/>
  </cols>
  <sheetData>
    <row r="1" spans="1:14" x14ac:dyDescent="0.35">
      <c r="A1" s="17" t="s">
        <v>90</v>
      </c>
      <c r="B1" s="89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</row>
    <row r="2" spans="1:14" x14ac:dyDescent="0.35">
      <c r="A2" s="17"/>
      <c r="B2" s="20" t="s">
        <v>123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x14ac:dyDescent="0.35">
      <c r="A3" s="17"/>
      <c r="B3" s="86" t="s">
        <v>120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</row>
    <row r="4" spans="1:14" x14ac:dyDescent="0.35">
      <c r="A4" s="17"/>
      <c r="B4" s="86" t="s">
        <v>122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8"/>
    </row>
    <row r="5" spans="1:14" x14ac:dyDescent="0.35">
      <c r="A5" s="19"/>
      <c r="B5" s="86" t="s">
        <v>121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8"/>
    </row>
    <row r="6" spans="1:14" x14ac:dyDescent="0.35">
      <c r="A6" s="24"/>
    </row>
    <row r="8" spans="1:14" x14ac:dyDescent="0.35">
      <c r="A8" s="25" t="s">
        <v>59</v>
      </c>
      <c r="B8" s="25" t="s">
        <v>92</v>
      </c>
      <c r="C8" s="25" t="s">
        <v>93</v>
      </c>
      <c r="D8" s="25" t="s">
        <v>118</v>
      </c>
      <c r="E8" s="25" t="s">
        <v>119</v>
      </c>
      <c r="F8" s="25" t="s">
        <v>94</v>
      </c>
      <c r="G8" s="25" t="s">
        <v>95</v>
      </c>
      <c r="H8" s="25" t="s">
        <v>20</v>
      </c>
      <c r="I8" s="25" t="s">
        <v>96</v>
      </c>
      <c r="J8" s="25" t="s">
        <v>97</v>
      </c>
      <c r="K8" s="81" t="s">
        <v>7738</v>
      </c>
    </row>
    <row r="9" spans="1:14" x14ac:dyDescent="0.35">
      <c r="A9" s="26">
        <v>1</v>
      </c>
      <c r="B9" s="26" t="s">
        <v>98</v>
      </c>
      <c r="C9" s="26">
        <v>100000</v>
      </c>
      <c r="D9" s="26">
        <v>85000</v>
      </c>
      <c r="E9" s="26">
        <v>410000</v>
      </c>
      <c r="F9" s="26">
        <f>MIN(C9:E9)</f>
        <v>85000</v>
      </c>
      <c r="G9" s="26">
        <f>MAX(C9:E9)</f>
        <v>410000</v>
      </c>
      <c r="H9" s="26">
        <f>SUM(C9:E9)</f>
        <v>595000</v>
      </c>
      <c r="I9" s="79">
        <f>AVERAGE(C9:E9)</f>
        <v>198333.33333333334</v>
      </c>
      <c r="J9" s="80">
        <f>I9*10%</f>
        <v>19833.333333333336</v>
      </c>
      <c r="K9" t="str">
        <f>IF(I9&gt;100000,"15000","5000")</f>
        <v>15000</v>
      </c>
    </row>
    <row r="10" spans="1:14" x14ac:dyDescent="0.35">
      <c r="A10" s="26">
        <v>2</v>
      </c>
      <c r="B10" s="26" t="s">
        <v>99</v>
      </c>
      <c r="C10" s="26">
        <v>225000</v>
      </c>
      <c r="D10" s="26">
        <v>96000</v>
      </c>
      <c r="E10" s="26">
        <v>115000</v>
      </c>
      <c r="F10" s="26">
        <f t="shared" ref="F10:F28" si="0">MIN(C10:E10)</f>
        <v>96000</v>
      </c>
      <c r="G10" s="26">
        <f t="shared" ref="G10:G28" si="1">MAX(C10:E10)</f>
        <v>225000</v>
      </c>
      <c r="H10" s="26">
        <f t="shared" ref="H10:H28" si="2">SUM(C10:E10)</f>
        <v>436000</v>
      </c>
      <c r="I10" s="79">
        <f t="shared" ref="I10:I28" si="3">AVERAGE(C10:E10)</f>
        <v>145333.33333333334</v>
      </c>
      <c r="J10" s="80">
        <f t="shared" ref="J10:J28" si="4">I10*10%</f>
        <v>14533.333333333336</v>
      </c>
      <c r="K10" t="str">
        <f t="shared" ref="K10:K28" si="5">IF(I10&gt;100000,"15000","5000")</f>
        <v>15000</v>
      </c>
    </row>
    <row r="11" spans="1:14" x14ac:dyDescent="0.35">
      <c r="A11" s="26">
        <v>3</v>
      </c>
      <c r="B11" s="26" t="s">
        <v>100</v>
      </c>
      <c r="C11" s="26">
        <v>180000</v>
      </c>
      <c r="D11" s="26">
        <v>410000</v>
      </c>
      <c r="E11" s="26">
        <v>18000</v>
      </c>
      <c r="F11" s="26">
        <f t="shared" si="0"/>
        <v>18000</v>
      </c>
      <c r="G11" s="26">
        <f t="shared" si="1"/>
        <v>410000</v>
      </c>
      <c r="H11" s="26">
        <f t="shared" si="2"/>
        <v>608000</v>
      </c>
      <c r="I11" s="79">
        <f t="shared" si="3"/>
        <v>202666.66666666666</v>
      </c>
      <c r="J11" s="80">
        <f t="shared" si="4"/>
        <v>20266.666666666668</v>
      </c>
      <c r="K11" t="str">
        <f t="shared" si="5"/>
        <v>15000</v>
      </c>
    </row>
    <row r="12" spans="1:14" x14ac:dyDescent="0.35">
      <c r="A12" s="26">
        <v>4</v>
      </c>
      <c r="B12" s="26" t="s">
        <v>101</v>
      </c>
      <c r="C12" s="26">
        <v>85000</v>
      </c>
      <c r="D12" s="26">
        <v>115000</v>
      </c>
      <c r="E12" s="26">
        <v>100000</v>
      </c>
      <c r="F12" s="26">
        <f t="shared" si="0"/>
        <v>85000</v>
      </c>
      <c r="G12" s="26">
        <f t="shared" si="1"/>
        <v>115000</v>
      </c>
      <c r="H12" s="26">
        <f t="shared" si="2"/>
        <v>300000</v>
      </c>
      <c r="I12" s="79">
        <f t="shared" si="3"/>
        <v>100000</v>
      </c>
      <c r="J12" s="80">
        <f t="shared" si="4"/>
        <v>10000</v>
      </c>
      <c r="K12" t="str">
        <f t="shared" si="5"/>
        <v>5000</v>
      </c>
    </row>
    <row r="13" spans="1:14" x14ac:dyDescent="0.35">
      <c r="A13" s="26">
        <v>5</v>
      </c>
      <c r="B13" s="26" t="s">
        <v>102</v>
      </c>
      <c r="C13" s="26">
        <v>96000</v>
      </c>
      <c r="D13" s="26">
        <v>18000</v>
      </c>
      <c r="E13" s="26">
        <v>75000</v>
      </c>
      <c r="F13" s="26">
        <f t="shared" si="0"/>
        <v>18000</v>
      </c>
      <c r="G13" s="26">
        <f t="shared" si="1"/>
        <v>96000</v>
      </c>
      <c r="H13" s="26">
        <f t="shared" si="2"/>
        <v>189000</v>
      </c>
      <c r="I13" s="79">
        <f t="shared" si="3"/>
        <v>63000</v>
      </c>
      <c r="J13" s="80">
        <f t="shared" si="4"/>
        <v>6300</v>
      </c>
      <c r="K13" t="str">
        <f t="shared" si="5"/>
        <v>5000</v>
      </c>
    </row>
    <row r="14" spans="1:14" x14ac:dyDescent="0.35">
      <c r="A14" s="26">
        <v>6</v>
      </c>
      <c r="B14" s="26" t="s">
        <v>103</v>
      </c>
      <c r="C14" s="26">
        <v>410000</v>
      </c>
      <c r="D14" s="26">
        <v>10000</v>
      </c>
      <c r="E14" s="26">
        <v>80000</v>
      </c>
      <c r="F14" s="26">
        <f t="shared" si="0"/>
        <v>10000</v>
      </c>
      <c r="G14" s="26">
        <f t="shared" si="1"/>
        <v>410000</v>
      </c>
      <c r="H14" s="26">
        <f t="shared" si="2"/>
        <v>500000</v>
      </c>
      <c r="I14" s="79">
        <f t="shared" si="3"/>
        <v>166666.66666666666</v>
      </c>
      <c r="J14" s="80">
        <f t="shared" si="4"/>
        <v>16666.666666666668</v>
      </c>
      <c r="K14" t="str">
        <f t="shared" si="5"/>
        <v>15000</v>
      </c>
    </row>
    <row r="15" spans="1:14" x14ac:dyDescent="0.35">
      <c r="A15" s="26">
        <v>7</v>
      </c>
      <c r="B15" s="26" t="s">
        <v>104</v>
      </c>
      <c r="C15" s="26">
        <v>225000</v>
      </c>
      <c r="D15" s="26">
        <v>75000</v>
      </c>
      <c r="E15" s="26">
        <v>60000</v>
      </c>
      <c r="F15" s="26">
        <f t="shared" si="0"/>
        <v>60000</v>
      </c>
      <c r="G15" s="26">
        <f t="shared" si="1"/>
        <v>225000</v>
      </c>
      <c r="H15" s="26">
        <f t="shared" si="2"/>
        <v>360000</v>
      </c>
      <c r="I15" s="79">
        <f t="shared" si="3"/>
        <v>120000</v>
      </c>
      <c r="J15" s="80">
        <f t="shared" si="4"/>
        <v>12000</v>
      </c>
      <c r="K15" t="str">
        <f t="shared" si="5"/>
        <v>15000</v>
      </c>
    </row>
    <row r="16" spans="1:14" x14ac:dyDescent="0.35">
      <c r="A16" s="26">
        <v>8</v>
      </c>
      <c r="B16" s="26" t="s">
        <v>105</v>
      </c>
      <c r="C16" s="26">
        <v>125000</v>
      </c>
      <c r="D16" s="26">
        <v>80000</v>
      </c>
      <c r="E16" s="26">
        <v>74000</v>
      </c>
      <c r="F16" s="26">
        <f t="shared" si="0"/>
        <v>74000</v>
      </c>
      <c r="G16" s="26">
        <f t="shared" si="1"/>
        <v>125000</v>
      </c>
      <c r="H16" s="26">
        <f t="shared" si="2"/>
        <v>279000</v>
      </c>
      <c r="I16" s="79">
        <f t="shared" si="3"/>
        <v>93000</v>
      </c>
      <c r="J16" s="80">
        <f t="shared" si="4"/>
        <v>9300</v>
      </c>
      <c r="K16" t="str">
        <f t="shared" si="5"/>
        <v>5000</v>
      </c>
    </row>
    <row r="17" spans="1:11" x14ac:dyDescent="0.35">
      <c r="A17" s="26">
        <v>9</v>
      </c>
      <c r="B17" s="26" t="s">
        <v>106</v>
      </c>
      <c r="C17" s="26">
        <v>100000</v>
      </c>
      <c r="D17" s="26">
        <v>60000</v>
      </c>
      <c r="E17" s="26">
        <v>65000</v>
      </c>
      <c r="F17" s="26">
        <f t="shared" si="0"/>
        <v>60000</v>
      </c>
      <c r="G17" s="26">
        <f t="shared" si="1"/>
        <v>100000</v>
      </c>
      <c r="H17" s="26">
        <f t="shared" si="2"/>
        <v>225000</v>
      </c>
      <c r="I17" s="79">
        <f t="shared" si="3"/>
        <v>75000</v>
      </c>
      <c r="J17" s="80">
        <f t="shared" si="4"/>
        <v>7500</v>
      </c>
      <c r="K17" t="str">
        <f t="shared" si="5"/>
        <v>5000</v>
      </c>
    </row>
    <row r="18" spans="1:11" x14ac:dyDescent="0.35">
      <c r="A18" s="26">
        <v>10</v>
      </c>
      <c r="B18" s="26" t="s">
        <v>107</v>
      </c>
      <c r="C18" s="26">
        <v>225000</v>
      </c>
      <c r="D18" s="26">
        <v>74000</v>
      </c>
      <c r="E18" s="26">
        <v>78000</v>
      </c>
      <c r="F18" s="26">
        <f t="shared" si="0"/>
        <v>74000</v>
      </c>
      <c r="G18" s="26">
        <f t="shared" si="1"/>
        <v>225000</v>
      </c>
      <c r="H18" s="26">
        <f t="shared" si="2"/>
        <v>377000</v>
      </c>
      <c r="I18" s="79">
        <f t="shared" si="3"/>
        <v>125666.66666666667</v>
      </c>
      <c r="J18" s="80">
        <f t="shared" si="4"/>
        <v>12566.666666666668</v>
      </c>
      <c r="K18" t="str">
        <f t="shared" si="5"/>
        <v>15000</v>
      </c>
    </row>
    <row r="19" spans="1:11" x14ac:dyDescent="0.35">
      <c r="A19" s="26">
        <v>11</v>
      </c>
      <c r="B19" s="26" t="s">
        <v>108</v>
      </c>
      <c r="C19" s="26">
        <v>80000</v>
      </c>
      <c r="D19" s="26">
        <v>65000</v>
      </c>
      <c r="E19" s="26">
        <v>77000</v>
      </c>
      <c r="F19" s="26">
        <f t="shared" si="0"/>
        <v>65000</v>
      </c>
      <c r="G19" s="26">
        <f t="shared" si="1"/>
        <v>80000</v>
      </c>
      <c r="H19" s="26">
        <f t="shared" si="2"/>
        <v>222000</v>
      </c>
      <c r="I19" s="79">
        <f t="shared" si="3"/>
        <v>74000</v>
      </c>
      <c r="J19" s="80">
        <f t="shared" si="4"/>
        <v>7400</v>
      </c>
      <c r="K19" t="str">
        <f t="shared" si="5"/>
        <v>5000</v>
      </c>
    </row>
    <row r="20" spans="1:11" x14ac:dyDescent="0.35">
      <c r="A20" s="26">
        <v>12</v>
      </c>
      <c r="B20" s="26" t="s">
        <v>109</v>
      </c>
      <c r="C20" s="26">
        <v>140000</v>
      </c>
      <c r="D20" s="26">
        <v>78000</v>
      </c>
      <c r="E20" s="26">
        <v>127000</v>
      </c>
      <c r="F20" s="26">
        <f t="shared" si="0"/>
        <v>78000</v>
      </c>
      <c r="G20" s="26">
        <f t="shared" si="1"/>
        <v>140000</v>
      </c>
      <c r="H20" s="26">
        <f t="shared" si="2"/>
        <v>345000</v>
      </c>
      <c r="I20" s="79">
        <f t="shared" si="3"/>
        <v>115000</v>
      </c>
      <c r="J20" s="80">
        <f t="shared" si="4"/>
        <v>11500</v>
      </c>
      <c r="K20" t="str">
        <f t="shared" si="5"/>
        <v>15000</v>
      </c>
    </row>
    <row r="21" spans="1:11" x14ac:dyDescent="0.35">
      <c r="A21" s="26">
        <v>13</v>
      </c>
      <c r="B21" s="26" t="s">
        <v>110</v>
      </c>
      <c r="C21" s="26">
        <v>74000</v>
      </c>
      <c r="D21" s="26">
        <v>77000</v>
      </c>
      <c r="E21" s="26">
        <v>410000</v>
      </c>
      <c r="F21" s="26">
        <f t="shared" si="0"/>
        <v>74000</v>
      </c>
      <c r="G21" s="26">
        <f t="shared" si="1"/>
        <v>410000</v>
      </c>
      <c r="H21" s="26">
        <f t="shared" si="2"/>
        <v>561000</v>
      </c>
      <c r="I21" s="79">
        <f t="shared" si="3"/>
        <v>187000</v>
      </c>
      <c r="J21" s="80">
        <f t="shared" si="4"/>
        <v>18700</v>
      </c>
      <c r="K21" t="str">
        <f t="shared" si="5"/>
        <v>15000</v>
      </c>
    </row>
    <row r="22" spans="1:11" x14ac:dyDescent="0.35">
      <c r="A22" s="26">
        <v>14</v>
      </c>
      <c r="B22" s="26" t="s">
        <v>111</v>
      </c>
      <c r="C22" s="26">
        <v>65000</v>
      </c>
      <c r="D22" s="26">
        <v>127000</v>
      </c>
      <c r="E22" s="26">
        <v>115000</v>
      </c>
      <c r="F22" s="26">
        <f t="shared" si="0"/>
        <v>65000</v>
      </c>
      <c r="G22" s="26">
        <f t="shared" si="1"/>
        <v>127000</v>
      </c>
      <c r="H22" s="26">
        <f t="shared" si="2"/>
        <v>307000</v>
      </c>
      <c r="I22" s="79">
        <f t="shared" si="3"/>
        <v>102333.33333333333</v>
      </c>
      <c r="J22" s="80">
        <f t="shared" si="4"/>
        <v>10233.333333333334</v>
      </c>
      <c r="K22" t="str">
        <f t="shared" si="5"/>
        <v>15000</v>
      </c>
    </row>
    <row r="23" spans="1:11" x14ac:dyDescent="0.35">
      <c r="A23" s="26">
        <v>15</v>
      </c>
      <c r="B23" s="26" t="s">
        <v>112</v>
      </c>
      <c r="C23" s="26">
        <v>78000</v>
      </c>
      <c r="D23" s="26">
        <v>418000</v>
      </c>
      <c r="E23" s="26">
        <v>18000</v>
      </c>
      <c r="F23" s="26">
        <f t="shared" si="0"/>
        <v>18000</v>
      </c>
      <c r="G23" s="26">
        <f t="shared" si="1"/>
        <v>418000</v>
      </c>
      <c r="H23" s="26">
        <f t="shared" si="2"/>
        <v>514000</v>
      </c>
      <c r="I23" s="79">
        <f t="shared" si="3"/>
        <v>171333.33333333334</v>
      </c>
      <c r="J23" s="80">
        <f t="shared" si="4"/>
        <v>17133.333333333336</v>
      </c>
      <c r="K23" t="str">
        <f t="shared" si="5"/>
        <v>15000</v>
      </c>
    </row>
    <row r="24" spans="1:11" x14ac:dyDescent="0.35">
      <c r="A24" s="26">
        <v>16</v>
      </c>
      <c r="B24" s="26" t="s">
        <v>113</v>
      </c>
      <c r="C24" s="26">
        <v>77000</v>
      </c>
      <c r="D24" s="26">
        <v>115000</v>
      </c>
      <c r="E24" s="26">
        <v>100000</v>
      </c>
      <c r="F24" s="26">
        <f t="shared" si="0"/>
        <v>77000</v>
      </c>
      <c r="G24" s="26">
        <f t="shared" si="1"/>
        <v>115000</v>
      </c>
      <c r="H24" s="26">
        <f t="shared" si="2"/>
        <v>292000</v>
      </c>
      <c r="I24" s="79">
        <f t="shared" si="3"/>
        <v>97333.333333333328</v>
      </c>
      <c r="J24" s="80">
        <f t="shared" si="4"/>
        <v>9733.3333333333339</v>
      </c>
      <c r="K24" t="str">
        <f t="shared" si="5"/>
        <v>5000</v>
      </c>
    </row>
    <row r="25" spans="1:11" x14ac:dyDescent="0.35">
      <c r="A25" s="26">
        <v>17</v>
      </c>
      <c r="B25" s="26" t="s">
        <v>114</v>
      </c>
      <c r="C25" s="26">
        <v>127000</v>
      </c>
      <c r="D25" s="26">
        <v>18000</v>
      </c>
      <c r="E25" s="26">
        <v>175000</v>
      </c>
      <c r="F25" s="26">
        <f t="shared" si="0"/>
        <v>18000</v>
      </c>
      <c r="G25" s="26">
        <f t="shared" si="1"/>
        <v>175000</v>
      </c>
      <c r="H25" s="26">
        <f t="shared" si="2"/>
        <v>320000</v>
      </c>
      <c r="I25" s="79">
        <f t="shared" si="3"/>
        <v>106666.66666666667</v>
      </c>
      <c r="J25" s="80">
        <f t="shared" si="4"/>
        <v>10666.666666666668</v>
      </c>
      <c r="K25" t="str">
        <f t="shared" si="5"/>
        <v>15000</v>
      </c>
    </row>
    <row r="26" spans="1:11" x14ac:dyDescent="0.35">
      <c r="A26" s="26">
        <v>18</v>
      </c>
      <c r="B26" s="26" t="s">
        <v>115</v>
      </c>
      <c r="C26" s="26">
        <v>418000</v>
      </c>
      <c r="D26" s="26">
        <v>100000</v>
      </c>
      <c r="E26" s="26">
        <v>80000</v>
      </c>
      <c r="F26" s="26">
        <f t="shared" si="0"/>
        <v>80000</v>
      </c>
      <c r="G26" s="26">
        <f t="shared" si="1"/>
        <v>418000</v>
      </c>
      <c r="H26" s="26">
        <f t="shared" si="2"/>
        <v>598000</v>
      </c>
      <c r="I26" s="79">
        <f t="shared" si="3"/>
        <v>199333.33333333334</v>
      </c>
      <c r="J26" s="80">
        <f t="shared" si="4"/>
        <v>19933.333333333336</v>
      </c>
      <c r="K26" t="str">
        <f t="shared" si="5"/>
        <v>15000</v>
      </c>
    </row>
    <row r="27" spans="1:11" x14ac:dyDescent="0.35">
      <c r="A27" s="26">
        <v>19</v>
      </c>
      <c r="B27" s="26" t="s">
        <v>116</v>
      </c>
      <c r="C27" s="26">
        <v>515000</v>
      </c>
      <c r="D27" s="26">
        <v>75000</v>
      </c>
      <c r="E27" s="26">
        <v>60000</v>
      </c>
      <c r="F27" s="26">
        <f t="shared" si="0"/>
        <v>60000</v>
      </c>
      <c r="G27" s="26">
        <f t="shared" si="1"/>
        <v>515000</v>
      </c>
      <c r="H27" s="26">
        <f t="shared" si="2"/>
        <v>650000</v>
      </c>
      <c r="I27" s="79">
        <f t="shared" si="3"/>
        <v>216666.66666666666</v>
      </c>
      <c r="J27" s="80">
        <f t="shared" si="4"/>
        <v>21666.666666666668</v>
      </c>
      <c r="K27" t="str">
        <f t="shared" si="5"/>
        <v>15000</v>
      </c>
    </row>
    <row r="28" spans="1:11" x14ac:dyDescent="0.35">
      <c r="A28" s="26">
        <v>20</v>
      </c>
      <c r="B28" s="26" t="s">
        <v>117</v>
      </c>
      <c r="C28" s="26">
        <v>96000</v>
      </c>
      <c r="D28" s="26">
        <v>80000</v>
      </c>
      <c r="E28" s="26">
        <v>18000</v>
      </c>
      <c r="F28" s="26">
        <f t="shared" si="0"/>
        <v>18000</v>
      </c>
      <c r="G28" s="26">
        <f t="shared" si="1"/>
        <v>96000</v>
      </c>
      <c r="H28" s="26">
        <f t="shared" si="2"/>
        <v>194000</v>
      </c>
      <c r="I28" s="79">
        <f t="shared" si="3"/>
        <v>64666.666666666664</v>
      </c>
      <c r="J28" s="80">
        <f t="shared" si="4"/>
        <v>6466.666666666667</v>
      </c>
      <c r="K28" t="str">
        <f t="shared" si="5"/>
        <v>5000</v>
      </c>
    </row>
  </sheetData>
  <mergeCells count="4">
    <mergeCell ref="B3:N3"/>
    <mergeCell ref="B4:N4"/>
    <mergeCell ref="B5:N5"/>
    <mergeCell ref="B1:N1"/>
  </mergeCells>
  <conditionalFormatting sqref="J9:J28">
    <cfRule type="cellIs" dxfId="4" priority="1" operator="greaterThan">
      <formula>5000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2"/>
  <sheetViews>
    <sheetView zoomScale="59" workbookViewId="0">
      <selection activeCell="AK7" sqref="AK7:AK32"/>
    </sheetView>
  </sheetViews>
  <sheetFormatPr defaultRowHeight="14.5" x14ac:dyDescent="0.35"/>
  <cols>
    <col min="1" max="1" width="5.81640625" bestFit="1" customWidth="1"/>
    <col min="2" max="2" width="15.81640625" bestFit="1" customWidth="1"/>
    <col min="3" max="33" width="5.26953125" customWidth="1"/>
    <col min="34" max="34" width="7.81640625" bestFit="1" customWidth="1"/>
    <col min="35" max="35" width="7.26953125" bestFit="1" customWidth="1"/>
    <col min="37" max="37" width="11.1796875" bestFit="1" customWidth="1"/>
  </cols>
  <sheetData>
    <row r="1" spans="1:37" x14ac:dyDescent="0.35">
      <c r="E1" s="84" t="s">
        <v>160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37" x14ac:dyDescent="0.35">
      <c r="A2" s="92" t="s">
        <v>124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27"/>
      <c r="AK2" s="27"/>
    </row>
    <row r="3" spans="1:37" x14ac:dyDescent="0.3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27"/>
      <c r="AK3" s="27"/>
    </row>
    <row r="4" spans="1:37" x14ac:dyDescent="0.3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27"/>
      <c r="AK4" s="27"/>
    </row>
    <row r="5" spans="1:37" ht="17" x14ac:dyDescent="0.45">
      <c r="A5" s="28"/>
      <c r="B5" s="28"/>
      <c r="C5" s="93">
        <v>41334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28"/>
      <c r="AI5" s="28"/>
      <c r="AJ5" s="28"/>
      <c r="AK5" s="28"/>
    </row>
    <row r="6" spans="1:37" x14ac:dyDescent="0.35">
      <c r="A6" s="29" t="s">
        <v>125</v>
      </c>
      <c r="B6" s="29" t="s">
        <v>126</v>
      </c>
      <c r="C6" s="30">
        <v>1</v>
      </c>
      <c r="D6" s="30">
        <v>2</v>
      </c>
      <c r="E6" s="30">
        <v>3</v>
      </c>
      <c r="F6" s="30">
        <v>4</v>
      </c>
      <c r="G6" s="30">
        <v>5</v>
      </c>
      <c r="H6" s="30">
        <v>6</v>
      </c>
      <c r="I6" s="30">
        <v>7</v>
      </c>
      <c r="J6" s="30">
        <v>8</v>
      </c>
      <c r="K6" s="30">
        <v>9</v>
      </c>
      <c r="L6" s="30">
        <v>10</v>
      </c>
      <c r="M6" s="30">
        <v>11</v>
      </c>
      <c r="N6" s="30">
        <v>12</v>
      </c>
      <c r="O6" s="30">
        <v>13</v>
      </c>
      <c r="P6" s="30">
        <v>14</v>
      </c>
      <c r="Q6" s="30">
        <v>15</v>
      </c>
      <c r="R6" s="30">
        <v>16</v>
      </c>
      <c r="S6" s="30">
        <v>17</v>
      </c>
      <c r="T6" s="30">
        <v>18</v>
      </c>
      <c r="U6" s="30">
        <v>19</v>
      </c>
      <c r="V6" s="30">
        <v>20</v>
      </c>
      <c r="W6" s="30">
        <v>21</v>
      </c>
      <c r="X6" s="30">
        <v>22</v>
      </c>
      <c r="Y6" s="30">
        <v>23</v>
      </c>
      <c r="Z6" s="30">
        <v>24</v>
      </c>
      <c r="AA6" s="30">
        <v>25</v>
      </c>
      <c r="AB6" s="30">
        <v>26</v>
      </c>
      <c r="AC6" s="30">
        <v>27</v>
      </c>
      <c r="AD6" s="30">
        <v>28</v>
      </c>
      <c r="AE6" s="30">
        <v>29</v>
      </c>
      <c r="AF6" s="30">
        <v>30</v>
      </c>
      <c r="AG6" s="30">
        <v>31</v>
      </c>
      <c r="AH6" s="30" t="s">
        <v>127</v>
      </c>
      <c r="AI6" s="30" t="s">
        <v>128</v>
      </c>
      <c r="AJ6" s="30" t="s">
        <v>129</v>
      </c>
      <c r="AK6" s="30" t="s">
        <v>130</v>
      </c>
    </row>
    <row r="7" spans="1:37" ht="15.5" x14ac:dyDescent="0.35">
      <c r="A7" s="31">
        <v>1</v>
      </c>
      <c r="B7" s="32" t="s">
        <v>131</v>
      </c>
      <c r="C7" s="31" t="s">
        <v>132</v>
      </c>
      <c r="D7" s="95" t="s">
        <v>133</v>
      </c>
      <c r="E7" s="31" t="s">
        <v>132</v>
      </c>
      <c r="F7" s="31" t="s">
        <v>132</v>
      </c>
      <c r="G7" s="31" t="s">
        <v>132</v>
      </c>
      <c r="H7" s="31" t="s">
        <v>134</v>
      </c>
      <c r="I7" s="31" t="s">
        <v>132</v>
      </c>
      <c r="J7" s="31" t="s">
        <v>132</v>
      </c>
      <c r="K7" s="95" t="s">
        <v>133</v>
      </c>
      <c r="L7" s="31" t="s">
        <v>132</v>
      </c>
      <c r="M7" s="31" t="s">
        <v>132</v>
      </c>
      <c r="N7" s="31" t="s">
        <v>132</v>
      </c>
      <c r="O7" s="31" t="s">
        <v>132</v>
      </c>
      <c r="P7" s="31" t="s">
        <v>132</v>
      </c>
      <c r="Q7" s="31" t="s">
        <v>134</v>
      </c>
      <c r="R7" s="95" t="s">
        <v>133</v>
      </c>
      <c r="S7" s="31" t="s">
        <v>134</v>
      </c>
      <c r="T7" s="31" t="s">
        <v>132</v>
      </c>
      <c r="U7" s="31" t="s">
        <v>132</v>
      </c>
      <c r="V7" s="31" t="s">
        <v>132</v>
      </c>
      <c r="W7" s="31" t="s">
        <v>132</v>
      </c>
      <c r="X7" s="31" t="s">
        <v>132</v>
      </c>
      <c r="Y7" s="95" t="s">
        <v>133</v>
      </c>
      <c r="Z7" s="31" t="s">
        <v>132</v>
      </c>
      <c r="AA7" s="31" t="s">
        <v>134</v>
      </c>
      <c r="AB7" s="31" t="s">
        <v>132</v>
      </c>
      <c r="AC7" s="31" t="s">
        <v>132</v>
      </c>
      <c r="AD7" s="31" t="s">
        <v>132</v>
      </c>
      <c r="AE7" s="31" t="s">
        <v>132</v>
      </c>
      <c r="AF7" s="98" t="s">
        <v>133</v>
      </c>
      <c r="AG7" s="31" t="s">
        <v>132</v>
      </c>
      <c r="AH7" s="31">
        <f>COUNTIF(C7:AG32,"P")</f>
        <v>618</v>
      </c>
      <c r="AI7" s="31">
        <f>COUNTIF(C7:AG32,"A")</f>
        <v>58</v>
      </c>
      <c r="AJ7" s="31">
        <v>17000</v>
      </c>
      <c r="AK7" s="31">
        <f>AH7*AJ7</f>
        <v>10506000</v>
      </c>
    </row>
    <row r="8" spans="1:37" ht="15.5" x14ac:dyDescent="0.35">
      <c r="A8" s="31">
        <v>2</v>
      </c>
      <c r="B8" s="32" t="s">
        <v>135</v>
      </c>
      <c r="C8" s="31" t="s">
        <v>132</v>
      </c>
      <c r="D8" s="96"/>
      <c r="E8" s="31" t="s">
        <v>132</v>
      </c>
      <c r="F8" s="31" t="s">
        <v>132</v>
      </c>
      <c r="G8" s="31" t="s">
        <v>132</v>
      </c>
      <c r="H8" s="31" t="s">
        <v>132</v>
      </c>
      <c r="I8" s="31" t="s">
        <v>132</v>
      </c>
      <c r="J8" s="31" t="s">
        <v>132</v>
      </c>
      <c r="K8" s="96"/>
      <c r="L8" s="31" t="s">
        <v>132</v>
      </c>
      <c r="M8" s="31" t="s">
        <v>132</v>
      </c>
      <c r="N8" s="31" t="s">
        <v>132</v>
      </c>
      <c r="O8" s="31" t="s">
        <v>132</v>
      </c>
      <c r="P8" s="31" t="s">
        <v>132</v>
      </c>
      <c r="Q8" s="31" t="s">
        <v>132</v>
      </c>
      <c r="R8" s="96"/>
      <c r="S8" s="31" t="s">
        <v>132</v>
      </c>
      <c r="T8" s="31" t="s">
        <v>132</v>
      </c>
      <c r="U8" s="31" t="s">
        <v>132</v>
      </c>
      <c r="V8" s="31" t="s">
        <v>134</v>
      </c>
      <c r="W8" s="31" t="s">
        <v>132</v>
      </c>
      <c r="X8" s="31" t="s">
        <v>132</v>
      </c>
      <c r="Y8" s="96"/>
      <c r="Z8" s="31" t="s">
        <v>132</v>
      </c>
      <c r="AA8" s="31" t="s">
        <v>132</v>
      </c>
      <c r="AB8" s="31" t="s">
        <v>132</v>
      </c>
      <c r="AC8" s="31" t="s">
        <v>132</v>
      </c>
      <c r="AD8" s="31" t="s">
        <v>132</v>
      </c>
      <c r="AE8" s="31" t="s">
        <v>134</v>
      </c>
      <c r="AF8" s="99"/>
      <c r="AG8" s="31" t="s">
        <v>132</v>
      </c>
      <c r="AH8" s="31">
        <f t="shared" ref="AH8:AH32" si="0">COUNTIF(C8:AG33,"P")</f>
        <v>596</v>
      </c>
      <c r="AI8" s="31">
        <f t="shared" ref="AI8:AI32" si="1">COUNTIF(C8:AG33,"A")</f>
        <v>54</v>
      </c>
      <c r="AJ8" s="31">
        <v>17000</v>
      </c>
      <c r="AK8" s="31">
        <f t="shared" ref="AK8:AK32" si="2">AH8*AJ8</f>
        <v>10132000</v>
      </c>
    </row>
    <row r="9" spans="1:37" ht="15.5" x14ac:dyDescent="0.35">
      <c r="A9" s="31">
        <v>3</v>
      </c>
      <c r="B9" s="32" t="s">
        <v>136</v>
      </c>
      <c r="C9" s="31" t="s">
        <v>132</v>
      </c>
      <c r="D9" s="96"/>
      <c r="E9" s="31" t="s">
        <v>134</v>
      </c>
      <c r="F9" s="31" t="s">
        <v>132</v>
      </c>
      <c r="G9" s="31" t="s">
        <v>132</v>
      </c>
      <c r="H9" s="31" t="s">
        <v>132</v>
      </c>
      <c r="I9" s="31" t="s">
        <v>132</v>
      </c>
      <c r="J9" s="31" t="s">
        <v>132</v>
      </c>
      <c r="K9" s="96"/>
      <c r="L9" s="31" t="s">
        <v>132</v>
      </c>
      <c r="M9" s="31" t="s">
        <v>132</v>
      </c>
      <c r="N9" s="31" t="s">
        <v>132</v>
      </c>
      <c r="O9" s="31" t="s">
        <v>132</v>
      </c>
      <c r="P9" s="31" t="s">
        <v>132</v>
      </c>
      <c r="Q9" s="31" t="s">
        <v>132</v>
      </c>
      <c r="R9" s="96"/>
      <c r="S9" s="31" t="s">
        <v>132</v>
      </c>
      <c r="T9" s="31" t="s">
        <v>132</v>
      </c>
      <c r="U9" s="31" t="s">
        <v>132</v>
      </c>
      <c r="V9" s="31" t="s">
        <v>132</v>
      </c>
      <c r="W9" s="31" t="s">
        <v>132</v>
      </c>
      <c r="X9" s="31" t="s">
        <v>132</v>
      </c>
      <c r="Y9" s="96"/>
      <c r="Z9" s="31" t="s">
        <v>132</v>
      </c>
      <c r="AA9" s="31" t="s">
        <v>132</v>
      </c>
      <c r="AB9" s="31" t="s">
        <v>132</v>
      </c>
      <c r="AC9" s="31" t="s">
        <v>132</v>
      </c>
      <c r="AD9" s="31" t="s">
        <v>132</v>
      </c>
      <c r="AE9" s="31" t="s">
        <v>132</v>
      </c>
      <c r="AF9" s="99"/>
      <c r="AG9" s="31" t="s">
        <v>132</v>
      </c>
      <c r="AH9" s="31">
        <f t="shared" si="0"/>
        <v>572</v>
      </c>
      <c r="AI9" s="31">
        <f t="shared" si="1"/>
        <v>52</v>
      </c>
      <c r="AJ9" s="31">
        <v>17000</v>
      </c>
      <c r="AK9" s="31">
        <f t="shared" si="2"/>
        <v>9724000</v>
      </c>
    </row>
    <row r="10" spans="1:37" ht="15.5" x14ac:dyDescent="0.35">
      <c r="A10" s="31">
        <v>4</v>
      </c>
      <c r="B10" s="32" t="s">
        <v>137</v>
      </c>
      <c r="C10" s="31" t="s">
        <v>132</v>
      </c>
      <c r="D10" s="96"/>
      <c r="E10" s="31" t="s">
        <v>134</v>
      </c>
      <c r="F10" s="31" t="s">
        <v>132</v>
      </c>
      <c r="G10" s="31" t="s">
        <v>132</v>
      </c>
      <c r="H10" s="31" t="s">
        <v>132</v>
      </c>
      <c r="I10" s="31" t="s">
        <v>132</v>
      </c>
      <c r="J10" s="31" t="s">
        <v>132</v>
      </c>
      <c r="K10" s="96"/>
      <c r="L10" s="31" t="s">
        <v>132</v>
      </c>
      <c r="M10" s="31" t="s">
        <v>132</v>
      </c>
      <c r="N10" s="31" t="s">
        <v>132</v>
      </c>
      <c r="O10" s="31" t="s">
        <v>132</v>
      </c>
      <c r="P10" s="31" t="s">
        <v>132</v>
      </c>
      <c r="Q10" s="31" t="s">
        <v>132</v>
      </c>
      <c r="R10" s="96"/>
      <c r="S10" s="31" t="s">
        <v>132</v>
      </c>
      <c r="T10" s="31" t="s">
        <v>132</v>
      </c>
      <c r="U10" s="31" t="s">
        <v>132</v>
      </c>
      <c r="V10" s="31" t="s">
        <v>132</v>
      </c>
      <c r="W10" s="31" t="s">
        <v>132</v>
      </c>
      <c r="X10" s="31" t="s">
        <v>132</v>
      </c>
      <c r="Y10" s="96"/>
      <c r="Z10" s="31" t="s">
        <v>132</v>
      </c>
      <c r="AA10" s="31" t="s">
        <v>134</v>
      </c>
      <c r="AB10" s="31" t="s">
        <v>132</v>
      </c>
      <c r="AC10" s="31" t="s">
        <v>132</v>
      </c>
      <c r="AD10" s="31" t="s">
        <v>132</v>
      </c>
      <c r="AE10" s="31" t="s">
        <v>132</v>
      </c>
      <c r="AF10" s="99"/>
      <c r="AG10" s="31" t="s">
        <v>132</v>
      </c>
      <c r="AH10" s="31">
        <f t="shared" si="0"/>
        <v>547</v>
      </c>
      <c r="AI10" s="31">
        <f t="shared" si="1"/>
        <v>51</v>
      </c>
      <c r="AJ10" s="31">
        <v>17000</v>
      </c>
      <c r="AK10" s="31">
        <f t="shared" si="2"/>
        <v>9299000</v>
      </c>
    </row>
    <row r="11" spans="1:37" ht="15.5" x14ac:dyDescent="0.35">
      <c r="A11" s="31">
        <v>5</v>
      </c>
      <c r="B11" s="32" t="s">
        <v>138</v>
      </c>
      <c r="C11" s="31" t="s">
        <v>132</v>
      </c>
      <c r="D11" s="96"/>
      <c r="E11" s="31" t="s">
        <v>132</v>
      </c>
      <c r="F11" s="31" t="s">
        <v>132</v>
      </c>
      <c r="G11" s="31" t="s">
        <v>132</v>
      </c>
      <c r="H11" s="31" t="s">
        <v>132</v>
      </c>
      <c r="I11" s="31" t="s">
        <v>132</v>
      </c>
      <c r="J11" s="31" t="s">
        <v>132</v>
      </c>
      <c r="K11" s="96"/>
      <c r="L11" s="31" t="s">
        <v>132</v>
      </c>
      <c r="M11" s="31" t="s">
        <v>132</v>
      </c>
      <c r="N11" s="31" t="s">
        <v>132</v>
      </c>
      <c r="O11" s="31" t="s">
        <v>134</v>
      </c>
      <c r="P11" s="31" t="s">
        <v>132</v>
      </c>
      <c r="Q11" s="31" t="s">
        <v>132</v>
      </c>
      <c r="R11" s="96"/>
      <c r="S11" s="31" t="s">
        <v>132</v>
      </c>
      <c r="T11" s="31" t="s">
        <v>132</v>
      </c>
      <c r="U11" s="31" t="s">
        <v>132</v>
      </c>
      <c r="V11" s="31" t="s">
        <v>132</v>
      </c>
      <c r="W11" s="31" t="s">
        <v>132</v>
      </c>
      <c r="X11" s="31" t="s">
        <v>132</v>
      </c>
      <c r="Y11" s="96"/>
      <c r="Z11" s="31" t="s">
        <v>132</v>
      </c>
      <c r="AA11" s="31" t="s">
        <v>132</v>
      </c>
      <c r="AB11" s="31" t="s">
        <v>132</v>
      </c>
      <c r="AC11" s="31" t="s">
        <v>132</v>
      </c>
      <c r="AD11" s="31" t="s">
        <v>132</v>
      </c>
      <c r="AE11" s="31" t="s">
        <v>132</v>
      </c>
      <c r="AF11" s="99"/>
      <c r="AG11" s="31" t="s">
        <v>132</v>
      </c>
      <c r="AH11" s="31">
        <f t="shared" si="0"/>
        <v>523</v>
      </c>
      <c r="AI11" s="31">
        <f t="shared" si="1"/>
        <v>49</v>
      </c>
      <c r="AJ11" s="31">
        <v>17000</v>
      </c>
      <c r="AK11" s="31">
        <f t="shared" si="2"/>
        <v>8891000</v>
      </c>
    </row>
    <row r="12" spans="1:37" ht="15.5" x14ac:dyDescent="0.35">
      <c r="A12" s="31">
        <v>6</v>
      </c>
      <c r="B12" s="32" t="s">
        <v>139</v>
      </c>
      <c r="C12" s="31" t="s">
        <v>132</v>
      </c>
      <c r="D12" s="96"/>
      <c r="E12" s="31" t="s">
        <v>132</v>
      </c>
      <c r="F12" s="31" t="s">
        <v>132</v>
      </c>
      <c r="G12" s="31" t="s">
        <v>132</v>
      </c>
      <c r="H12" s="31" t="s">
        <v>132</v>
      </c>
      <c r="I12" s="31" t="s">
        <v>134</v>
      </c>
      <c r="J12" s="31" t="s">
        <v>132</v>
      </c>
      <c r="K12" s="96"/>
      <c r="L12" s="31" t="s">
        <v>132</v>
      </c>
      <c r="M12" s="31" t="s">
        <v>132</v>
      </c>
      <c r="N12" s="31" t="s">
        <v>132</v>
      </c>
      <c r="O12" s="31" t="s">
        <v>132</v>
      </c>
      <c r="P12" s="31" t="s">
        <v>132</v>
      </c>
      <c r="Q12" s="31" t="s">
        <v>132</v>
      </c>
      <c r="R12" s="96"/>
      <c r="S12" s="31" t="s">
        <v>132</v>
      </c>
      <c r="T12" s="31" t="s">
        <v>132</v>
      </c>
      <c r="U12" s="31" t="s">
        <v>132</v>
      </c>
      <c r="V12" s="31" t="s">
        <v>132</v>
      </c>
      <c r="W12" s="31" t="s">
        <v>132</v>
      </c>
      <c r="X12" s="31" t="s">
        <v>132</v>
      </c>
      <c r="Y12" s="96"/>
      <c r="Z12" s="31" t="s">
        <v>134</v>
      </c>
      <c r="AA12" s="31" t="s">
        <v>132</v>
      </c>
      <c r="AB12" s="31" t="s">
        <v>132</v>
      </c>
      <c r="AC12" s="31" t="s">
        <v>132</v>
      </c>
      <c r="AD12" s="31" t="s">
        <v>132</v>
      </c>
      <c r="AE12" s="31" t="s">
        <v>132</v>
      </c>
      <c r="AF12" s="99"/>
      <c r="AG12" s="31" t="s">
        <v>132</v>
      </c>
      <c r="AH12" s="31">
        <f t="shared" si="0"/>
        <v>498</v>
      </c>
      <c r="AI12" s="31">
        <f t="shared" si="1"/>
        <v>48</v>
      </c>
      <c r="AJ12" s="31">
        <v>17000</v>
      </c>
      <c r="AK12" s="31">
        <f t="shared" si="2"/>
        <v>8466000</v>
      </c>
    </row>
    <row r="13" spans="1:37" ht="15.5" x14ac:dyDescent="0.35">
      <c r="A13" s="31">
        <v>7</v>
      </c>
      <c r="B13" s="32" t="s">
        <v>140</v>
      </c>
      <c r="C13" s="31" t="s">
        <v>132</v>
      </c>
      <c r="D13" s="96"/>
      <c r="E13" s="31" t="s">
        <v>132</v>
      </c>
      <c r="F13" s="31" t="s">
        <v>132</v>
      </c>
      <c r="G13" s="31" t="s">
        <v>134</v>
      </c>
      <c r="H13" s="31" t="s">
        <v>132</v>
      </c>
      <c r="I13" s="31" t="s">
        <v>132</v>
      </c>
      <c r="J13" s="31" t="s">
        <v>132</v>
      </c>
      <c r="K13" s="96"/>
      <c r="L13" s="31" t="s">
        <v>134</v>
      </c>
      <c r="M13" s="31" t="s">
        <v>132</v>
      </c>
      <c r="N13" s="31" t="s">
        <v>132</v>
      </c>
      <c r="O13" s="31" t="s">
        <v>132</v>
      </c>
      <c r="P13" s="31" t="s">
        <v>134</v>
      </c>
      <c r="Q13" s="31" t="s">
        <v>132</v>
      </c>
      <c r="R13" s="96"/>
      <c r="S13" s="31" t="s">
        <v>132</v>
      </c>
      <c r="T13" s="31" t="s">
        <v>134</v>
      </c>
      <c r="U13" s="31" t="s">
        <v>132</v>
      </c>
      <c r="V13" s="31" t="s">
        <v>132</v>
      </c>
      <c r="W13" s="31" t="s">
        <v>134</v>
      </c>
      <c r="X13" s="31" t="s">
        <v>132</v>
      </c>
      <c r="Y13" s="96"/>
      <c r="Z13" s="31" t="s">
        <v>132</v>
      </c>
      <c r="AA13" s="31" t="s">
        <v>132</v>
      </c>
      <c r="AB13" s="31" t="s">
        <v>132</v>
      </c>
      <c r="AC13" s="31" t="s">
        <v>132</v>
      </c>
      <c r="AD13" s="31" t="s">
        <v>134</v>
      </c>
      <c r="AE13" s="31" t="s">
        <v>132</v>
      </c>
      <c r="AF13" s="99"/>
      <c r="AG13" s="31" t="s">
        <v>132</v>
      </c>
      <c r="AH13" s="31">
        <f t="shared" si="0"/>
        <v>474</v>
      </c>
      <c r="AI13" s="31">
        <f t="shared" si="1"/>
        <v>46</v>
      </c>
      <c r="AJ13" s="31">
        <v>17000</v>
      </c>
      <c r="AK13" s="31">
        <f t="shared" si="2"/>
        <v>8058000</v>
      </c>
    </row>
    <row r="14" spans="1:37" ht="15.5" x14ac:dyDescent="0.35">
      <c r="A14" s="31">
        <v>8</v>
      </c>
      <c r="B14" s="32" t="s">
        <v>141</v>
      </c>
      <c r="C14" s="31" t="s">
        <v>132</v>
      </c>
      <c r="D14" s="96"/>
      <c r="E14" s="31" t="s">
        <v>132</v>
      </c>
      <c r="F14" s="31" t="s">
        <v>132</v>
      </c>
      <c r="G14" s="31" t="s">
        <v>132</v>
      </c>
      <c r="H14" s="31" t="s">
        <v>132</v>
      </c>
      <c r="I14" s="31" t="s">
        <v>134</v>
      </c>
      <c r="J14" s="31" t="s">
        <v>132</v>
      </c>
      <c r="K14" s="96"/>
      <c r="L14" s="31" t="s">
        <v>132</v>
      </c>
      <c r="M14" s="31" t="s">
        <v>132</v>
      </c>
      <c r="N14" s="31" t="s">
        <v>134</v>
      </c>
      <c r="O14" s="31" t="s">
        <v>132</v>
      </c>
      <c r="P14" s="31" t="s">
        <v>132</v>
      </c>
      <c r="Q14" s="31" t="s">
        <v>132</v>
      </c>
      <c r="R14" s="96"/>
      <c r="S14" s="31" t="s">
        <v>132</v>
      </c>
      <c r="T14" s="31" t="s">
        <v>134</v>
      </c>
      <c r="U14" s="31" t="s">
        <v>132</v>
      </c>
      <c r="V14" s="31" t="s">
        <v>132</v>
      </c>
      <c r="W14" s="31" t="s">
        <v>132</v>
      </c>
      <c r="X14" s="31" t="s">
        <v>132</v>
      </c>
      <c r="Y14" s="96"/>
      <c r="Z14" s="31" t="s">
        <v>132</v>
      </c>
      <c r="AA14" s="31" t="s">
        <v>132</v>
      </c>
      <c r="AB14" s="31" t="s">
        <v>132</v>
      </c>
      <c r="AC14" s="31" t="s">
        <v>132</v>
      </c>
      <c r="AD14" s="31" t="s">
        <v>132</v>
      </c>
      <c r="AE14" s="31" t="s">
        <v>132</v>
      </c>
      <c r="AF14" s="99"/>
      <c r="AG14" s="31" t="s">
        <v>132</v>
      </c>
      <c r="AH14" s="31">
        <f t="shared" si="0"/>
        <v>454</v>
      </c>
      <c r="AI14" s="31">
        <f t="shared" si="1"/>
        <v>40</v>
      </c>
      <c r="AJ14" s="31">
        <v>17000</v>
      </c>
      <c r="AK14" s="31">
        <f t="shared" si="2"/>
        <v>7718000</v>
      </c>
    </row>
    <row r="15" spans="1:37" ht="15.5" x14ac:dyDescent="0.35">
      <c r="A15" s="31">
        <v>9</v>
      </c>
      <c r="B15" s="32" t="s">
        <v>142</v>
      </c>
      <c r="C15" s="31" t="s">
        <v>134</v>
      </c>
      <c r="D15" s="96"/>
      <c r="E15" s="31" t="s">
        <v>132</v>
      </c>
      <c r="F15" s="31" t="s">
        <v>132</v>
      </c>
      <c r="G15" s="31" t="s">
        <v>132</v>
      </c>
      <c r="H15" s="31" t="s">
        <v>132</v>
      </c>
      <c r="I15" s="31" t="s">
        <v>132</v>
      </c>
      <c r="J15" s="31" t="s">
        <v>132</v>
      </c>
      <c r="K15" s="96"/>
      <c r="L15" s="31" t="s">
        <v>132</v>
      </c>
      <c r="M15" s="31" t="s">
        <v>132</v>
      </c>
      <c r="N15" s="31" t="s">
        <v>132</v>
      </c>
      <c r="O15" s="31" t="s">
        <v>132</v>
      </c>
      <c r="P15" s="31" t="s">
        <v>132</v>
      </c>
      <c r="Q15" s="31" t="s">
        <v>132</v>
      </c>
      <c r="R15" s="96"/>
      <c r="S15" s="31" t="s">
        <v>132</v>
      </c>
      <c r="T15" s="31" t="s">
        <v>132</v>
      </c>
      <c r="U15" s="31" t="s">
        <v>132</v>
      </c>
      <c r="V15" s="31" t="s">
        <v>132</v>
      </c>
      <c r="W15" s="31" t="s">
        <v>132</v>
      </c>
      <c r="X15" s="31" t="s">
        <v>132</v>
      </c>
      <c r="Y15" s="96"/>
      <c r="Z15" s="31" t="s">
        <v>132</v>
      </c>
      <c r="AA15" s="31" t="s">
        <v>132</v>
      </c>
      <c r="AB15" s="31" t="s">
        <v>132</v>
      </c>
      <c r="AC15" s="31" t="s">
        <v>132</v>
      </c>
      <c r="AD15" s="31" t="s">
        <v>132</v>
      </c>
      <c r="AE15" s="31" t="s">
        <v>132</v>
      </c>
      <c r="AF15" s="99"/>
      <c r="AG15" s="31" t="s">
        <v>132</v>
      </c>
      <c r="AH15" s="31">
        <f t="shared" si="0"/>
        <v>431</v>
      </c>
      <c r="AI15" s="31">
        <f t="shared" si="1"/>
        <v>37</v>
      </c>
      <c r="AJ15" s="31">
        <v>17000</v>
      </c>
      <c r="AK15" s="31">
        <f t="shared" si="2"/>
        <v>7327000</v>
      </c>
    </row>
    <row r="16" spans="1:37" ht="15.5" x14ac:dyDescent="0.35">
      <c r="A16" s="31">
        <v>10</v>
      </c>
      <c r="B16" s="32" t="s">
        <v>143</v>
      </c>
      <c r="C16" s="31" t="s">
        <v>132</v>
      </c>
      <c r="D16" s="96"/>
      <c r="E16" s="31" t="s">
        <v>132</v>
      </c>
      <c r="F16" s="31" t="s">
        <v>132</v>
      </c>
      <c r="G16" s="31" t="s">
        <v>132</v>
      </c>
      <c r="H16" s="31" t="s">
        <v>132</v>
      </c>
      <c r="I16" s="31" t="s">
        <v>132</v>
      </c>
      <c r="J16" s="31" t="s">
        <v>134</v>
      </c>
      <c r="K16" s="96"/>
      <c r="L16" s="31" t="s">
        <v>132</v>
      </c>
      <c r="M16" s="31" t="s">
        <v>132</v>
      </c>
      <c r="N16" s="31" t="s">
        <v>132</v>
      </c>
      <c r="O16" s="31" t="s">
        <v>132</v>
      </c>
      <c r="P16" s="31" t="s">
        <v>132</v>
      </c>
      <c r="Q16" s="31" t="s">
        <v>132</v>
      </c>
      <c r="R16" s="96"/>
      <c r="S16" s="31" t="s">
        <v>132</v>
      </c>
      <c r="T16" s="31" t="s">
        <v>132</v>
      </c>
      <c r="U16" s="31" t="s">
        <v>132</v>
      </c>
      <c r="V16" s="31" t="s">
        <v>132</v>
      </c>
      <c r="W16" s="31" t="s">
        <v>132</v>
      </c>
      <c r="X16" s="31" t="s">
        <v>132</v>
      </c>
      <c r="Y16" s="96"/>
      <c r="Z16" s="31" t="s">
        <v>132</v>
      </c>
      <c r="AA16" s="31" t="s">
        <v>132</v>
      </c>
      <c r="AB16" s="31" t="s">
        <v>132</v>
      </c>
      <c r="AC16" s="31" t="s">
        <v>132</v>
      </c>
      <c r="AD16" s="31" t="s">
        <v>132</v>
      </c>
      <c r="AE16" s="31" t="s">
        <v>132</v>
      </c>
      <c r="AF16" s="99"/>
      <c r="AG16" s="31" t="s">
        <v>132</v>
      </c>
      <c r="AH16" s="31">
        <f t="shared" si="0"/>
        <v>406</v>
      </c>
      <c r="AI16" s="31">
        <f t="shared" si="1"/>
        <v>36</v>
      </c>
      <c r="AJ16" s="31">
        <v>17000</v>
      </c>
      <c r="AK16" s="31">
        <f t="shared" si="2"/>
        <v>6902000</v>
      </c>
    </row>
    <row r="17" spans="1:37" ht="15.5" x14ac:dyDescent="0.35">
      <c r="A17" s="31">
        <v>11</v>
      </c>
      <c r="B17" s="32" t="s">
        <v>144</v>
      </c>
      <c r="C17" s="31" t="s">
        <v>132</v>
      </c>
      <c r="D17" s="96"/>
      <c r="E17" s="31" t="s">
        <v>132</v>
      </c>
      <c r="F17" s="31" t="s">
        <v>132</v>
      </c>
      <c r="G17" s="31" t="s">
        <v>132</v>
      </c>
      <c r="H17" s="31" t="s">
        <v>132</v>
      </c>
      <c r="I17" s="31" t="s">
        <v>132</v>
      </c>
      <c r="J17" s="31" t="s">
        <v>132</v>
      </c>
      <c r="K17" s="96"/>
      <c r="L17" s="31" t="s">
        <v>132</v>
      </c>
      <c r="M17" s="31" t="s">
        <v>132</v>
      </c>
      <c r="N17" s="31" t="s">
        <v>132</v>
      </c>
      <c r="O17" s="31" t="s">
        <v>132</v>
      </c>
      <c r="P17" s="31" t="s">
        <v>132</v>
      </c>
      <c r="Q17" s="31" t="s">
        <v>132</v>
      </c>
      <c r="R17" s="96"/>
      <c r="S17" s="31" t="s">
        <v>132</v>
      </c>
      <c r="T17" s="31" t="s">
        <v>132</v>
      </c>
      <c r="U17" s="31" t="s">
        <v>132</v>
      </c>
      <c r="V17" s="31" t="s">
        <v>132</v>
      </c>
      <c r="W17" s="31" t="s">
        <v>132</v>
      </c>
      <c r="X17" s="31" t="s">
        <v>132</v>
      </c>
      <c r="Y17" s="96"/>
      <c r="Z17" s="31" t="s">
        <v>132</v>
      </c>
      <c r="AA17" s="31" t="s">
        <v>132</v>
      </c>
      <c r="AB17" s="31" t="s">
        <v>132</v>
      </c>
      <c r="AC17" s="31" t="s">
        <v>132</v>
      </c>
      <c r="AD17" s="31" t="s">
        <v>132</v>
      </c>
      <c r="AE17" s="31" t="s">
        <v>132</v>
      </c>
      <c r="AF17" s="99"/>
      <c r="AG17" s="31" t="s">
        <v>132</v>
      </c>
      <c r="AH17" s="31">
        <f t="shared" si="0"/>
        <v>381</v>
      </c>
      <c r="AI17" s="31">
        <f t="shared" si="1"/>
        <v>35</v>
      </c>
      <c r="AJ17" s="31">
        <v>17000</v>
      </c>
      <c r="AK17" s="31">
        <f t="shared" si="2"/>
        <v>6477000</v>
      </c>
    </row>
    <row r="18" spans="1:37" ht="15.5" x14ac:dyDescent="0.35">
      <c r="A18" s="31">
        <v>12</v>
      </c>
      <c r="B18" s="32" t="s">
        <v>145</v>
      </c>
      <c r="C18" s="31" t="s">
        <v>132</v>
      </c>
      <c r="D18" s="96"/>
      <c r="E18" s="31" t="s">
        <v>132</v>
      </c>
      <c r="F18" s="31" t="s">
        <v>132</v>
      </c>
      <c r="G18" s="31" t="s">
        <v>132</v>
      </c>
      <c r="H18" s="31" t="s">
        <v>132</v>
      </c>
      <c r="I18" s="31" t="s">
        <v>132</v>
      </c>
      <c r="J18" s="31" t="s">
        <v>132</v>
      </c>
      <c r="K18" s="96"/>
      <c r="L18" s="31" t="s">
        <v>134</v>
      </c>
      <c r="M18" s="31" t="s">
        <v>132</v>
      </c>
      <c r="N18" s="31" t="s">
        <v>132</v>
      </c>
      <c r="O18" s="31" t="s">
        <v>132</v>
      </c>
      <c r="P18" s="31" t="s">
        <v>132</v>
      </c>
      <c r="Q18" s="31" t="s">
        <v>132</v>
      </c>
      <c r="R18" s="96"/>
      <c r="S18" s="31" t="s">
        <v>132</v>
      </c>
      <c r="T18" s="31" t="s">
        <v>132</v>
      </c>
      <c r="U18" s="31" t="s">
        <v>132</v>
      </c>
      <c r="V18" s="31" t="s">
        <v>132</v>
      </c>
      <c r="W18" s="31" t="s">
        <v>132</v>
      </c>
      <c r="X18" s="31" t="s">
        <v>132</v>
      </c>
      <c r="Y18" s="96"/>
      <c r="Z18" s="31" t="s">
        <v>132</v>
      </c>
      <c r="AA18" s="31" t="s">
        <v>132</v>
      </c>
      <c r="AB18" s="31" t="s">
        <v>132</v>
      </c>
      <c r="AC18" s="31" t="s">
        <v>132</v>
      </c>
      <c r="AD18" s="31" t="s">
        <v>132</v>
      </c>
      <c r="AE18" s="31" t="s">
        <v>134</v>
      </c>
      <c r="AF18" s="99"/>
      <c r="AG18" s="31" t="s">
        <v>132</v>
      </c>
      <c r="AH18" s="31">
        <f t="shared" si="0"/>
        <v>355</v>
      </c>
      <c r="AI18" s="31">
        <f t="shared" si="1"/>
        <v>35</v>
      </c>
      <c r="AJ18" s="31">
        <v>17000</v>
      </c>
      <c r="AK18" s="31">
        <f t="shared" si="2"/>
        <v>6035000</v>
      </c>
    </row>
    <row r="19" spans="1:37" ht="15.5" x14ac:dyDescent="0.35">
      <c r="A19" s="31">
        <v>13</v>
      </c>
      <c r="B19" s="32" t="s">
        <v>146</v>
      </c>
      <c r="C19" s="31" t="s">
        <v>134</v>
      </c>
      <c r="D19" s="96"/>
      <c r="E19" s="31" t="s">
        <v>132</v>
      </c>
      <c r="F19" s="31" t="s">
        <v>132</v>
      </c>
      <c r="G19" s="31" t="s">
        <v>134</v>
      </c>
      <c r="H19" s="31" t="s">
        <v>132</v>
      </c>
      <c r="I19" s="31" t="s">
        <v>132</v>
      </c>
      <c r="J19" s="31" t="s">
        <v>132</v>
      </c>
      <c r="K19" s="96"/>
      <c r="L19" s="31" t="s">
        <v>132</v>
      </c>
      <c r="M19" s="31" t="s">
        <v>132</v>
      </c>
      <c r="N19" s="31" t="s">
        <v>132</v>
      </c>
      <c r="O19" s="31" t="s">
        <v>132</v>
      </c>
      <c r="P19" s="31" t="s">
        <v>132</v>
      </c>
      <c r="Q19" s="31" t="s">
        <v>134</v>
      </c>
      <c r="R19" s="96"/>
      <c r="S19" s="31" t="s">
        <v>132</v>
      </c>
      <c r="T19" s="31" t="s">
        <v>132</v>
      </c>
      <c r="U19" s="31" t="s">
        <v>132</v>
      </c>
      <c r="V19" s="31" t="s">
        <v>132</v>
      </c>
      <c r="W19" s="31" t="s">
        <v>132</v>
      </c>
      <c r="X19" s="31" t="s">
        <v>132</v>
      </c>
      <c r="Y19" s="96"/>
      <c r="Z19" s="31" t="s">
        <v>132</v>
      </c>
      <c r="AA19" s="31" t="s">
        <v>134</v>
      </c>
      <c r="AB19" s="31" t="s">
        <v>132</v>
      </c>
      <c r="AC19" s="31" t="s">
        <v>132</v>
      </c>
      <c r="AD19" s="31" t="s">
        <v>132</v>
      </c>
      <c r="AE19" s="31" t="s">
        <v>132</v>
      </c>
      <c r="AF19" s="99"/>
      <c r="AG19" s="31" t="s">
        <v>132</v>
      </c>
      <c r="AH19" s="31">
        <f t="shared" si="0"/>
        <v>331</v>
      </c>
      <c r="AI19" s="31">
        <f t="shared" si="1"/>
        <v>33</v>
      </c>
      <c r="AJ19" s="31">
        <v>17000</v>
      </c>
      <c r="AK19" s="31">
        <f t="shared" si="2"/>
        <v>5627000</v>
      </c>
    </row>
    <row r="20" spans="1:37" ht="15.5" x14ac:dyDescent="0.35">
      <c r="A20" s="31">
        <v>14</v>
      </c>
      <c r="B20" s="32" t="s">
        <v>147</v>
      </c>
      <c r="C20" s="31" t="s">
        <v>132</v>
      </c>
      <c r="D20" s="96"/>
      <c r="E20" s="31" t="s">
        <v>132</v>
      </c>
      <c r="F20" s="31" t="s">
        <v>132</v>
      </c>
      <c r="G20" s="31" t="s">
        <v>132</v>
      </c>
      <c r="H20" s="31" t="s">
        <v>134</v>
      </c>
      <c r="I20" s="31" t="s">
        <v>132</v>
      </c>
      <c r="J20" s="31" t="s">
        <v>132</v>
      </c>
      <c r="K20" s="96"/>
      <c r="L20" s="31" t="s">
        <v>132</v>
      </c>
      <c r="M20" s="31" t="s">
        <v>132</v>
      </c>
      <c r="N20" s="31" t="s">
        <v>132</v>
      </c>
      <c r="O20" s="31" t="s">
        <v>132</v>
      </c>
      <c r="P20" s="31" t="s">
        <v>132</v>
      </c>
      <c r="Q20" s="31" t="s">
        <v>134</v>
      </c>
      <c r="R20" s="96"/>
      <c r="S20" s="31" t="s">
        <v>134</v>
      </c>
      <c r="T20" s="31" t="s">
        <v>132</v>
      </c>
      <c r="U20" s="31" t="s">
        <v>132</v>
      </c>
      <c r="V20" s="31" t="s">
        <v>132</v>
      </c>
      <c r="W20" s="31" t="s">
        <v>132</v>
      </c>
      <c r="X20" s="31" t="s">
        <v>132</v>
      </c>
      <c r="Y20" s="96"/>
      <c r="Z20" s="31" t="s">
        <v>132</v>
      </c>
      <c r="AA20" s="31" t="s">
        <v>134</v>
      </c>
      <c r="AB20" s="31" t="s">
        <v>132</v>
      </c>
      <c r="AC20" s="31" t="s">
        <v>132</v>
      </c>
      <c r="AD20" s="31" t="s">
        <v>132</v>
      </c>
      <c r="AE20" s="31" t="s">
        <v>132</v>
      </c>
      <c r="AF20" s="99"/>
      <c r="AG20" s="31" t="s">
        <v>132</v>
      </c>
      <c r="AH20" s="31">
        <f t="shared" si="0"/>
        <v>309</v>
      </c>
      <c r="AI20" s="31">
        <f t="shared" si="1"/>
        <v>29</v>
      </c>
      <c r="AJ20" s="31">
        <v>17000</v>
      </c>
      <c r="AK20" s="31">
        <f t="shared" si="2"/>
        <v>5253000</v>
      </c>
    </row>
    <row r="21" spans="1:37" ht="15.5" x14ac:dyDescent="0.35">
      <c r="A21" s="31">
        <v>15</v>
      </c>
      <c r="B21" s="32" t="s">
        <v>148</v>
      </c>
      <c r="C21" s="31" t="s">
        <v>132</v>
      </c>
      <c r="D21" s="96"/>
      <c r="E21" s="31" t="s">
        <v>132</v>
      </c>
      <c r="F21" s="31" t="s">
        <v>132</v>
      </c>
      <c r="G21" s="31" t="s">
        <v>132</v>
      </c>
      <c r="H21" s="31" t="s">
        <v>132</v>
      </c>
      <c r="I21" s="31" t="s">
        <v>132</v>
      </c>
      <c r="J21" s="31" t="s">
        <v>132</v>
      </c>
      <c r="K21" s="96"/>
      <c r="L21" s="31" t="s">
        <v>132</v>
      </c>
      <c r="M21" s="31" t="s">
        <v>132</v>
      </c>
      <c r="N21" s="31" t="s">
        <v>132</v>
      </c>
      <c r="O21" s="31" t="s">
        <v>132</v>
      </c>
      <c r="P21" s="31" t="s">
        <v>132</v>
      </c>
      <c r="Q21" s="31" t="s">
        <v>132</v>
      </c>
      <c r="R21" s="96"/>
      <c r="S21" s="31" t="s">
        <v>132</v>
      </c>
      <c r="T21" s="31" t="s">
        <v>132</v>
      </c>
      <c r="U21" s="31" t="s">
        <v>132</v>
      </c>
      <c r="V21" s="31" t="s">
        <v>134</v>
      </c>
      <c r="W21" s="31" t="s">
        <v>132</v>
      </c>
      <c r="X21" s="31" t="s">
        <v>132</v>
      </c>
      <c r="Y21" s="96"/>
      <c r="Z21" s="31" t="s">
        <v>132</v>
      </c>
      <c r="AA21" s="31" t="s">
        <v>132</v>
      </c>
      <c r="AB21" s="31" t="s">
        <v>132</v>
      </c>
      <c r="AC21" s="31" t="s">
        <v>132</v>
      </c>
      <c r="AD21" s="31" t="s">
        <v>132</v>
      </c>
      <c r="AE21" s="31" t="s">
        <v>134</v>
      </c>
      <c r="AF21" s="99"/>
      <c r="AG21" s="31" t="s">
        <v>132</v>
      </c>
      <c r="AH21" s="31">
        <f t="shared" si="0"/>
        <v>287</v>
      </c>
      <c r="AI21" s="31">
        <f t="shared" si="1"/>
        <v>25</v>
      </c>
      <c r="AJ21" s="31">
        <v>17000</v>
      </c>
      <c r="AK21" s="31">
        <f t="shared" si="2"/>
        <v>4879000</v>
      </c>
    </row>
    <row r="22" spans="1:37" ht="15.5" x14ac:dyDescent="0.35">
      <c r="A22" s="31">
        <v>16</v>
      </c>
      <c r="B22" s="32" t="s">
        <v>149</v>
      </c>
      <c r="C22" s="31" t="s">
        <v>132</v>
      </c>
      <c r="D22" s="96"/>
      <c r="E22" s="31" t="s">
        <v>134</v>
      </c>
      <c r="F22" s="31" t="s">
        <v>132</v>
      </c>
      <c r="G22" s="31" t="s">
        <v>132</v>
      </c>
      <c r="H22" s="31" t="s">
        <v>132</v>
      </c>
      <c r="I22" s="31" t="s">
        <v>132</v>
      </c>
      <c r="J22" s="31" t="s">
        <v>132</v>
      </c>
      <c r="K22" s="96"/>
      <c r="L22" s="31" t="s">
        <v>132</v>
      </c>
      <c r="M22" s="31" t="s">
        <v>132</v>
      </c>
      <c r="N22" s="31" t="s">
        <v>132</v>
      </c>
      <c r="O22" s="31" t="s">
        <v>132</v>
      </c>
      <c r="P22" s="31" t="s">
        <v>132</v>
      </c>
      <c r="Q22" s="31" t="s">
        <v>132</v>
      </c>
      <c r="R22" s="96"/>
      <c r="S22" s="31" t="s">
        <v>132</v>
      </c>
      <c r="T22" s="31" t="s">
        <v>132</v>
      </c>
      <c r="U22" s="31" t="s">
        <v>132</v>
      </c>
      <c r="V22" s="31" t="s">
        <v>132</v>
      </c>
      <c r="W22" s="31" t="s">
        <v>132</v>
      </c>
      <c r="X22" s="31" t="s">
        <v>132</v>
      </c>
      <c r="Y22" s="96"/>
      <c r="Z22" s="31" t="s">
        <v>132</v>
      </c>
      <c r="AA22" s="31" t="s">
        <v>132</v>
      </c>
      <c r="AB22" s="31" t="s">
        <v>132</v>
      </c>
      <c r="AC22" s="31" t="s">
        <v>132</v>
      </c>
      <c r="AD22" s="31" t="s">
        <v>132</v>
      </c>
      <c r="AE22" s="31" t="s">
        <v>132</v>
      </c>
      <c r="AF22" s="99"/>
      <c r="AG22" s="31" t="s">
        <v>132</v>
      </c>
      <c r="AH22" s="31">
        <f t="shared" si="0"/>
        <v>263</v>
      </c>
      <c r="AI22" s="31">
        <f t="shared" si="1"/>
        <v>23</v>
      </c>
      <c r="AJ22" s="31">
        <v>17000</v>
      </c>
      <c r="AK22" s="31">
        <f t="shared" si="2"/>
        <v>4471000</v>
      </c>
    </row>
    <row r="23" spans="1:37" ht="15.5" x14ac:dyDescent="0.35">
      <c r="A23" s="31">
        <v>17</v>
      </c>
      <c r="B23" s="32" t="s">
        <v>150</v>
      </c>
      <c r="C23" s="31" t="s">
        <v>132</v>
      </c>
      <c r="D23" s="96"/>
      <c r="E23" s="31" t="s">
        <v>134</v>
      </c>
      <c r="F23" s="31" t="s">
        <v>132</v>
      </c>
      <c r="G23" s="31" t="s">
        <v>132</v>
      </c>
      <c r="H23" s="31" t="s">
        <v>132</v>
      </c>
      <c r="I23" s="31" t="s">
        <v>132</v>
      </c>
      <c r="J23" s="31" t="s">
        <v>132</v>
      </c>
      <c r="K23" s="96"/>
      <c r="L23" s="31" t="s">
        <v>132</v>
      </c>
      <c r="M23" s="31" t="s">
        <v>132</v>
      </c>
      <c r="N23" s="31" t="s">
        <v>132</v>
      </c>
      <c r="O23" s="31" t="s">
        <v>132</v>
      </c>
      <c r="P23" s="31" t="s">
        <v>132</v>
      </c>
      <c r="Q23" s="31" t="s">
        <v>132</v>
      </c>
      <c r="R23" s="96"/>
      <c r="S23" s="31" t="s">
        <v>132</v>
      </c>
      <c r="T23" s="31" t="s">
        <v>132</v>
      </c>
      <c r="U23" s="31" t="s">
        <v>132</v>
      </c>
      <c r="V23" s="31" t="s">
        <v>132</v>
      </c>
      <c r="W23" s="31" t="s">
        <v>132</v>
      </c>
      <c r="X23" s="31" t="s">
        <v>132</v>
      </c>
      <c r="Y23" s="96"/>
      <c r="Z23" s="31" t="s">
        <v>132</v>
      </c>
      <c r="AA23" s="31" t="s">
        <v>134</v>
      </c>
      <c r="AB23" s="31" t="s">
        <v>132</v>
      </c>
      <c r="AC23" s="31" t="s">
        <v>132</v>
      </c>
      <c r="AD23" s="31" t="s">
        <v>132</v>
      </c>
      <c r="AE23" s="31" t="s">
        <v>132</v>
      </c>
      <c r="AF23" s="99"/>
      <c r="AG23" s="31" t="s">
        <v>132</v>
      </c>
      <c r="AH23" s="31">
        <f t="shared" si="0"/>
        <v>238</v>
      </c>
      <c r="AI23" s="31">
        <f t="shared" si="1"/>
        <v>22</v>
      </c>
      <c r="AJ23" s="31">
        <v>17000</v>
      </c>
      <c r="AK23" s="31">
        <f t="shared" si="2"/>
        <v>4046000</v>
      </c>
    </row>
    <row r="24" spans="1:37" ht="15.5" x14ac:dyDescent="0.35">
      <c r="A24" s="31">
        <v>18</v>
      </c>
      <c r="B24" s="32" t="s">
        <v>151</v>
      </c>
      <c r="C24" s="31" t="s">
        <v>132</v>
      </c>
      <c r="D24" s="96"/>
      <c r="E24" s="31" t="s">
        <v>132</v>
      </c>
      <c r="F24" s="31" t="s">
        <v>132</v>
      </c>
      <c r="G24" s="31" t="s">
        <v>132</v>
      </c>
      <c r="H24" s="31" t="s">
        <v>132</v>
      </c>
      <c r="I24" s="31" t="s">
        <v>132</v>
      </c>
      <c r="J24" s="31" t="s">
        <v>132</v>
      </c>
      <c r="K24" s="96"/>
      <c r="L24" s="31" t="s">
        <v>132</v>
      </c>
      <c r="M24" s="31" t="s">
        <v>132</v>
      </c>
      <c r="N24" s="31" t="s">
        <v>132</v>
      </c>
      <c r="O24" s="31" t="s">
        <v>134</v>
      </c>
      <c r="P24" s="31" t="s">
        <v>132</v>
      </c>
      <c r="Q24" s="31" t="s">
        <v>132</v>
      </c>
      <c r="R24" s="96"/>
      <c r="S24" s="31" t="s">
        <v>132</v>
      </c>
      <c r="T24" s="31" t="s">
        <v>132</v>
      </c>
      <c r="U24" s="31" t="s">
        <v>132</v>
      </c>
      <c r="V24" s="31" t="s">
        <v>132</v>
      </c>
      <c r="W24" s="31" t="s">
        <v>132</v>
      </c>
      <c r="X24" s="31" t="s">
        <v>132</v>
      </c>
      <c r="Y24" s="96"/>
      <c r="Z24" s="31" t="s">
        <v>132</v>
      </c>
      <c r="AA24" s="31" t="s">
        <v>132</v>
      </c>
      <c r="AB24" s="31" t="s">
        <v>132</v>
      </c>
      <c r="AC24" s="31" t="s">
        <v>132</v>
      </c>
      <c r="AD24" s="31" t="s">
        <v>132</v>
      </c>
      <c r="AE24" s="31" t="s">
        <v>132</v>
      </c>
      <c r="AF24" s="99"/>
      <c r="AG24" s="31" t="s">
        <v>132</v>
      </c>
      <c r="AH24" s="31">
        <f t="shared" si="0"/>
        <v>214</v>
      </c>
      <c r="AI24" s="31">
        <f t="shared" si="1"/>
        <v>20</v>
      </c>
      <c r="AJ24" s="31">
        <v>17000</v>
      </c>
      <c r="AK24" s="31">
        <f t="shared" si="2"/>
        <v>3638000</v>
      </c>
    </row>
    <row r="25" spans="1:37" ht="15.5" x14ac:dyDescent="0.35">
      <c r="A25" s="31">
        <v>19</v>
      </c>
      <c r="B25" s="32" t="s">
        <v>152</v>
      </c>
      <c r="C25" s="31" t="s">
        <v>132</v>
      </c>
      <c r="D25" s="96"/>
      <c r="E25" s="31" t="s">
        <v>132</v>
      </c>
      <c r="F25" s="31" t="s">
        <v>132</v>
      </c>
      <c r="G25" s="31" t="s">
        <v>132</v>
      </c>
      <c r="H25" s="31" t="s">
        <v>132</v>
      </c>
      <c r="I25" s="31" t="s">
        <v>134</v>
      </c>
      <c r="J25" s="31" t="s">
        <v>132</v>
      </c>
      <c r="K25" s="96"/>
      <c r="L25" s="31" t="s">
        <v>132</v>
      </c>
      <c r="M25" s="31" t="s">
        <v>132</v>
      </c>
      <c r="N25" s="31" t="s">
        <v>132</v>
      </c>
      <c r="O25" s="31" t="s">
        <v>132</v>
      </c>
      <c r="P25" s="31" t="s">
        <v>132</v>
      </c>
      <c r="Q25" s="31" t="s">
        <v>132</v>
      </c>
      <c r="R25" s="96"/>
      <c r="S25" s="31" t="s">
        <v>132</v>
      </c>
      <c r="T25" s="31" t="s">
        <v>132</v>
      </c>
      <c r="U25" s="31" t="s">
        <v>132</v>
      </c>
      <c r="V25" s="31" t="s">
        <v>132</v>
      </c>
      <c r="W25" s="31" t="s">
        <v>132</v>
      </c>
      <c r="X25" s="31" t="s">
        <v>132</v>
      </c>
      <c r="Y25" s="96"/>
      <c r="Z25" s="31" t="s">
        <v>134</v>
      </c>
      <c r="AA25" s="31" t="s">
        <v>132</v>
      </c>
      <c r="AB25" s="31" t="s">
        <v>132</v>
      </c>
      <c r="AC25" s="31" t="s">
        <v>132</v>
      </c>
      <c r="AD25" s="31" t="s">
        <v>132</v>
      </c>
      <c r="AE25" s="31" t="s">
        <v>132</v>
      </c>
      <c r="AF25" s="99"/>
      <c r="AG25" s="31" t="s">
        <v>132</v>
      </c>
      <c r="AH25" s="31">
        <f t="shared" si="0"/>
        <v>189</v>
      </c>
      <c r="AI25" s="31">
        <f t="shared" si="1"/>
        <v>19</v>
      </c>
      <c r="AJ25" s="31">
        <v>17000</v>
      </c>
      <c r="AK25" s="31">
        <f t="shared" si="2"/>
        <v>3213000</v>
      </c>
    </row>
    <row r="26" spans="1:37" ht="15.5" x14ac:dyDescent="0.35">
      <c r="A26" s="31">
        <v>20</v>
      </c>
      <c r="B26" s="32" t="s">
        <v>153</v>
      </c>
      <c r="C26" s="31" t="s">
        <v>132</v>
      </c>
      <c r="D26" s="96"/>
      <c r="E26" s="31" t="s">
        <v>132</v>
      </c>
      <c r="F26" s="31" t="s">
        <v>132</v>
      </c>
      <c r="G26" s="31" t="s">
        <v>134</v>
      </c>
      <c r="H26" s="31" t="s">
        <v>132</v>
      </c>
      <c r="I26" s="31" t="s">
        <v>132</v>
      </c>
      <c r="J26" s="31" t="s">
        <v>132</v>
      </c>
      <c r="K26" s="96"/>
      <c r="L26" s="31" t="s">
        <v>134</v>
      </c>
      <c r="M26" s="31" t="s">
        <v>132</v>
      </c>
      <c r="N26" s="31" t="s">
        <v>132</v>
      </c>
      <c r="O26" s="31" t="s">
        <v>132</v>
      </c>
      <c r="P26" s="31" t="s">
        <v>134</v>
      </c>
      <c r="Q26" s="31" t="s">
        <v>132</v>
      </c>
      <c r="R26" s="96"/>
      <c r="S26" s="31" t="s">
        <v>132</v>
      </c>
      <c r="T26" s="31" t="s">
        <v>134</v>
      </c>
      <c r="U26" s="31" t="s">
        <v>132</v>
      </c>
      <c r="V26" s="31" t="s">
        <v>132</v>
      </c>
      <c r="W26" s="31" t="s">
        <v>134</v>
      </c>
      <c r="X26" s="31" t="s">
        <v>132</v>
      </c>
      <c r="Y26" s="96"/>
      <c r="Z26" s="31" t="s">
        <v>132</v>
      </c>
      <c r="AA26" s="31" t="s">
        <v>132</v>
      </c>
      <c r="AB26" s="31" t="s">
        <v>132</v>
      </c>
      <c r="AC26" s="31" t="s">
        <v>132</v>
      </c>
      <c r="AD26" s="31" t="s">
        <v>134</v>
      </c>
      <c r="AE26" s="31" t="s">
        <v>132</v>
      </c>
      <c r="AF26" s="99"/>
      <c r="AG26" s="31" t="s">
        <v>132</v>
      </c>
      <c r="AH26" s="31">
        <f t="shared" si="0"/>
        <v>165</v>
      </c>
      <c r="AI26" s="31">
        <f t="shared" si="1"/>
        <v>17</v>
      </c>
      <c r="AJ26" s="31">
        <v>17000</v>
      </c>
      <c r="AK26" s="31">
        <f t="shared" si="2"/>
        <v>2805000</v>
      </c>
    </row>
    <row r="27" spans="1:37" ht="15.5" x14ac:dyDescent="0.35">
      <c r="A27" s="31">
        <v>21</v>
      </c>
      <c r="B27" s="32" t="s">
        <v>154</v>
      </c>
      <c r="C27" s="31" t="s">
        <v>132</v>
      </c>
      <c r="D27" s="96"/>
      <c r="E27" s="31" t="s">
        <v>132</v>
      </c>
      <c r="F27" s="31" t="s">
        <v>132</v>
      </c>
      <c r="G27" s="31" t="s">
        <v>132</v>
      </c>
      <c r="H27" s="31" t="s">
        <v>132</v>
      </c>
      <c r="I27" s="31" t="s">
        <v>134</v>
      </c>
      <c r="J27" s="31" t="s">
        <v>132</v>
      </c>
      <c r="K27" s="96"/>
      <c r="L27" s="31" t="s">
        <v>132</v>
      </c>
      <c r="M27" s="31" t="s">
        <v>132</v>
      </c>
      <c r="N27" s="31" t="s">
        <v>134</v>
      </c>
      <c r="O27" s="31" t="s">
        <v>132</v>
      </c>
      <c r="P27" s="31" t="s">
        <v>132</v>
      </c>
      <c r="Q27" s="31" t="s">
        <v>132</v>
      </c>
      <c r="R27" s="96"/>
      <c r="S27" s="31" t="s">
        <v>132</v>
      </c>
      <c r="T27" s="31" t="s">
        <v>134</v>
      </c>
      <c r="U27" s="31" t="s">
        <v>132</v>
      </c>
      <c r="V27" s="31" t="s">
        <v>132</v>
      </c>
      <c r="W27" s="31" t="s">
        <v>132</v>
      </c>
      <c r="X27" s="31" t="s">
        <v>132</v>
      </c>
      <c r="Y27" s="96"/>
      <c r="Z27" s="31" t="s">
        <v>132</v>
      </c>
      <c r="AA27" s="31" t="s">
        <v>132</v>
      </c>
      <c r="AB27" s="31" t="s">
        <v>132</v>
      </c>
      <c r="AC27" s="31" t="s">
        <v>132</v>
      </c>
      <c r="AD27" s="31" t="s">
        <v>132</v>
      </c>
      <c r="AE27" s="31" t="s">
        <v>132</v>
      </c>
      <c r="AF27" s="99"/>
      <c r="AG27" s="31" t="s">
        <v>132</v>
      </c>
      <c r="AH27" s="31">
        <f t="shared" si="0"/>
        <v>145</v>
      </c>
      <c r="AI27" s="31">
        <f t="shared" si="1"/>
        <v>11</v>
      </c>
      <c r="AJ27" s="31">
        <v>17000</v>
      </c>
      <c r="AK27" s="31">
        <f t="shared" si="2"/>
        <v>2465000</v>
      </c>
    </row>
    <row r="28" spans="1:37" ht="15.5" x14ac:dyDescent="0.35">
      <c r="A28" s="31">
        <v>22</v>
      </c>
      <c r="B28" s="32" t="s">
        <v>155</v>
      </c>
      <c r="C28" s="31" t="s">
        <v>134</v>
      </c>
      <c r="D28" s="96"/>
      <c r="E28" s="31" t="s">
        <v>132</v>
      </c>
      <c r="F28" s="31" t="s">
        <v>132</v>
      </c>
      <c r="G28" s="31" t="s">
        <v>132</v>
      </c>
      <c r="H28" s="31" t="s">
        <v>132</v>
      </c>
      <c r="I28" s="31" t="s">
        <v>132</v>
      </c>
      <c r="J28" s="31" t="s">
        <v>132</v>
      </c>
      <c r="K28" s="96"/>
      <c r="L28" s="31" t="s">
        <v>132</v>
      </c>
      <c r="M28" s="31" t="s">
        <v>132</v>
      </c>
      <c r="N28" s="31" t="s">
        <v>132</v>
      </c>
      <c r="O28" s="31" t="s">
        <v>132</v>
      </c>
      <c r="P28" s="31" t="s">
        <v>132</v>
      </c>
      <c r="Q28" s="31" t="s">
        <v>132</v>
      </c>
      <c r="R28" s="96"/>
      <c r="S28" s="31" t="s">
        <v>132</v>
      </c>
      <c r="T28" s="31" t="s">
        <v>132</v>
      </c>
      <c r="U28" s="31" t="s">
        <v>132</v>
      </c>
      <c r="V28" s="31" t="s">
        <v>132</v>
      </c>
      <c r="W28" s="31" t="s">
        <v>132</v>
      </c>
      <c r="X28" s="31" t="s">
        <v>132</v>
      </c>
      <c r="Y28" s="96"/>
      <c r="Z28" s="31" t="s">
        <v>132</v>
      </c>
      <c r="AA28" s="31" t="s">
        <v>132</v>
      </c>
      <c r="AB28" s="31" t="s">
        <v>132</v>
      </c>
      <c r="AC28" s="31" t="s">
        <v>132</v>
      </c>
      <c r="AD28" s="31" t="s">
        <v>132</v>
      </c>
      <c r="AE28" s="31" t="s">
        <v>132</v>
      </c>
      <c r="AF28" s="99"/>
      <c r="AG28" s="31" t="s">
        <v>132</v>
      </c>
      <c r="AH28" s="31">
        <f t="shared" si="0"/>
        <v>122</v>
      </c>
      <c r="AI28" s="31">
        <f t="shared" si="1"/>
        <v>8</v>
      </c>
      <c r="AJ28" s="31">
        <v>17000</v>
      </c>
      <c r="AK28" s="31">
        <f t="shared" si="2"/>
        <v>2074000</v>
      </c>
    </row>
    <row r="29" spans="1:37" ht="15.5" x14ac:dyDescent="0.35">
      <c r="A29" s="31">
        <v>23</v>
      </c>
      <c r="B29" s="32" t="s">
        <v>156</v>
      </c>
      <c r="C29" s="31" t="s">
        <v>132</v>
      </c>
      <c r="D29" s="96"/>
      <c r="E29" s="31" t="s">
        <v>132</v>
      </c>
      <c r="F29" s="31" t="s">
        <v>132</v>
      </c>
      <c r="G29" s="31" t="s">
        <v>132</v>
      </c>
      <c r="H29" s="31" t="s">
        <v>132</v>
      </c>
      <c r="I29" s="31" t="s">
        <v>132</v>
      </c>
      <c r="J29" s="31" t="s">
        <v>134</v>
      </c>
      <c r="K29" s="96"/>
      <c r="L29" s="31" t="s">
        <v>132</v>
      </c>
      <c r="M29" s="31" t="s">
        <v>132</v>
      </c>
      <c r="N29" s="31" t="s">
        <v>132</v>
      </c>
      <c r="O29" s="31" t="s">
        <v>132</v>
      </c>
      <c r="P29" s="31" t="s">
        <v>132</v>
      </c>
      <c r="Q29" s="31" t="s">
        <v>132</v>
      </c>
      <c r="R29" s="96"/>
      <c r="S29" s="31" t="s">
        <v>132</v>
      </c>
      <c r="T29" s="31" t="s">
        <v>132</v>
      </c>
      <c r="U29" s="31" t="s">
        <v>132</v>
      </c>
      <c r="V29" s="31" t="s">
        <v>132</v>
      </c>
      <c r="W29" s="31" t="s">
        <v>132</v>
      </c>
      <c r="X29" s="31" t="s">
        <v>132</v>
      </c>
      <c r="Y29" s="96"/>
      <c r="Z29" s="31" t="s">
        <v>132</v>
      </c>
      <c r="AA29" s="31" t="s">
        <v>132</v>
      </c>
      <c r="AB29" s="31" t="s">
        <v>132</v>
      </c>
      <c r="AC29" s="31" t="s">
        <v>132</v>
      </c>
      <c r="AD29" s="31" t="s">
        <v>132</v>
      </c>
      <c r="AE29" s="31" t="s">
        <v>132</v>
      </c>
      <c r="AF29" s="99"/>
      <c r="AG29" s="31" t="s">
        <v>132</v>
      </c>
      <c r="AH29" s="31">
        <f t="shared" si="0"/>
        <v>97</v>
      </c>
      <c r="AI29" s="31">
        <f t="shared" si="1"/>
        <v>7</v>
      </c>
      <c r="AJ29" s="31">
        <v>17000</v>
      </c>
      <c r="AK29" s="31">
        <f t="shared" si="2"/>
        <v>1649000</v>
      </c>
    </row>
    <row r="30" spans="1:37" ht="15.5" x14ac:dyDescent="0.35">
      <c r="A30" s="31">
        <v>24</v>
      </c>
      <c r="B30" s="32" t="s">
        <v>157</v>
      </c>
      <c r="C30" s="31" t="s">
        <v>132</v>
      </c>
      <c r="D30" s="96"/>
      <c r="E30" s="31" t="s">
        <v>132</v>
      </c>
      <c r="F30" s="31" t="s">
        <v>132</v>
      </c>
      <c r="G30" s="31" t="s">
        <v>132</v>
      </c>
      <c r="H30" s="31" t="s">
        <v>132</v>
      </c>
      <c r="I30" s="31" t="s">
        <v>132</v>
      </c>
      <c r="J30" s="31" t="s">
        <v>132</v>
      </c>
      <c r="K30" s="96"/>
      <c r="L30" s="31" t="s">
        <v>132</v>
      </c>
      <c r="M30" s="31" t="s">
        <v>132</v>
      </c>
      <c r="N30" s="31" t="s">
        <v>132</v>
      </c>
      <c r="O30" s="31" t="s">
        <v>132</v>
      </c>
      <c r="P30" s="31" t="s">
        <v>132</v>
      </c>
      <c r="Q30" s="31" t="s">
        <v>132</v>
      </c>
      <c r="R30" s="96"/>
      <c r="S30" s="31" t="s">
        <v>132</v>
      </c>
      <c r="T30" s="31" t="s">
        <v>132</v>
      </c>
      <c r="U30" s="31" t="s">
        <v>132</v>
      </c>
      <c r="V30" s="31" t="s">
        <v>132</v>
      </c>
      <c r="W30" s="31" t="s">
        <v>132</v>
      </c>
      <c r="X30" s="31" t="s">
        <v>132</v>
      </c>
      <c r="Y30" s="96"/>
      <c r="Z30" s="31" t="s">
        <v>132</v>
      </c>
      <c r="AA30" s="31" t="s">
        <v>132</v>
      </c>
      <c r="AB30" s="31" t="s">
        <v>132</v>
      </c>
      <c r="AC30" s="31" t="s">
        <v>132</v>
      </c>
      <c r="AD30" s="31" t="s">
        <v>132</v>
      </c>
      <c r="AE30" s="31" t="s">
        <v>132</v>
      </c>
      <c r="AF30" s="99"/>
      <c r="AG30" s="31" t="s">
        <v>132</v>
      </c>
      <c r="AH30" s="31">
        <f t="shared" si="0"/>
        <v>72</v>
      </c>
      <c r="AI30" s="31">
        <f t="shared" si="1"/>
        <v>6</v>
      </c>
      <c r="AJ30" s="31">
        <v>17000</v>
      </c>
      <c r="AK30" s="31">
        <f t="shared" si="2"/>
        <v>1224000</v>
      </c>
    </row>
    <row r="31" spans="1:37" ht="15.5" x14ac:dyDescent="0.35">
      <c r="A31" s="31">
        <v>25</v>
      </c>
      <c r="B31" s="32" t="s">
        <v>158</v>
      </c>
      <c r="C31" s="31" t="s">
        <v>132</v>
      </c>
      <c r="D31" s="96"/>
      <c r="E31" s="31" t="s">
        <v>132</v>
      </c>
      <c r="F31" s="31" t="s">
        <v>132</v>
      </c>
      <c r="G31" s="31" t="s">
        <v>132</v>
      </c>
      <c r="H31" s="31" t="s">
        <v>132</v>
      </c>
      <c r="I31" s="31" t="s">
        <v>132</v>
      </c>
      <c r="J31" s="31" t="s">
        <v>132</v>
      </c>
      <c r="K31" s="96"/>
      <c r="L31" s="31" t="s">
        <v>134</v>
      </c>
      <c r="M31" s="31" t="s">
        <v>132</v>
      </c>
      <c r="N31" s="31" t="s">
        <v>132</v>
      </c>
      <c r="O31" s="31" t="s">
        <v>132</v>
      </c>
      <c r="P31" s="31" t="s">
        <v>132</v>
      </c>
      <c r="Q31" s="31" t="s">
        <v>132</v>
      </c>
      <c r="R31" s="96"/>
      <c r="S31" s="31" t="s">
        <v>132</v>
      </c>
      <c r="T31" s="31" t="s">
        <v>132</v>
      </c>
      <c r="U31" s="31" t="s">
        <v>132</v>
      </c>
      <c r="V31" s="31" t="s">
        <v>132</v>
      </c>
      <c r="W31" s="31" t="s">
        <v>132</v>
      </c>
      <c r="X31" s="31" t="s">
        <v>132</v>
      </c>
      <c r="Y31" s="96"/>
      <c r="Z31" s="31" t="s">
        <v>132</v>
      </c>
      <c r="AA31" s="31" t="s">
        <v>132</v>
      </c>
      <c r="AB31" s="31" t="s">
        <v>132</v>
      </c>
      <c r="AC31" s="31" t="s">
        <v>132</v>
      </c>
      <c r="AD31" s="31" t="s">
        <v>132</v>
      </c>
      <c r="AE31" s="31" t="s">
        <v>134</v>
      </c>
      <c r="AF31" s="99"/>
      <c r="AG31" s="31" t="s">
        <v>132</v>
      </c>
      <c r="AH31" s="31">
        <f t="shared" si="0"/>
        <v>46</v>
      </c>
      <c r="AI31" s="31">
        <f t="shared" si="1"/>
        <v>6</v>
      </c>
      <c r="AJ31" s="31">
        <v>17000</v>
      </c>
      <c r="AK31" s="31">
        <f t="shared" si="2"/>
        <v>782000</v>
      </c>
    </row>
    <row r="32" spans="1:37" ht="15.5" x14ac:dyDescent="0.35">
      <c r="A32" s="31">
        <v>26</v>
      </c>
      <c r="B32" s="32" t="s">
        <v>159</v>
      </c>
      <c r="C32" s="31" t="s">
        <v>134</v>
      </c>
      <c r="D32" s="97"/>
      <c r="E32" s="31" t="s">
        <v>132</v>
      </c>
      <c r="F32" s="31" t="s">
        <v>132</v>
      </c>
      <c r="G32" s="31" t="s">
        <v>134</v>
      </c>
      <c r="H32" s="31" t="s">
        <v>132</v>
      </c>
      <c r="I32" s="31" t="s">
        <v>132</v>
      </c>
      <c r="J32" s="31" t="s">
        <v>132</v>
      </c>
      <c r="K32" s="97"/>
      <c r="L32" s="31" t="s">
        <v>132</v>
      </c>
      <c r="M32" s="31" t="s">
        <v>132</v>
      </c>
      <c r="N32" s="31" t="s">
        <v>132</v>
      </c>
      <c r="O32" s="31" t="s">
        <v>132</v>
      </c>
      <c r="P32" s="31" t="s">
        <v>132</v>
      </c>
      <c r="Q32" s="31" t="s">
        <v>134</v>
      </c>
      <c r="R32" s="97"/>
      <c r="S32" s="31" t="s">
        <v>132</v>
      </c>
      <c r="T32" s="31" t="s">
        <v>132</v>
      </c>
      <c r="U32" s="31" t="s">
        <v>132</v>
      </c>
      <c r="V32" s="31" t="s">
        <v>132</v>
      </c>
      <c r="W32" s="31" t="s">
        <v>132</v>
      </c>
      <c r="X32" s="31" t="s">
        <v>132</v>
      </c>
      <c r="Y32" s="97"/>
      <c r="Z32" s="31" t="s">
        <v>132</v>
      </c>
      <c r="AA32" s="31" t="s">
        <v>134</v>
      </c>
      <c r="AB32" s="31" t="s">
        <v>132</v>
      </c>
      <c r="AC32" s="31" t="s">
        <v>132</v>
      </c>
      <c r="AD32" s="31" t="s">
        <v>132</v>
      </c>
      <c r="AE32" s="31" t="s">
        <v>132</v>
      </c>
      <c r="AF32" s="100"/>
      <c r="AG32" s="31" t="s">
        <v>132</v>
      </c>
      <c r="AH32" s="31">
        <f t="shared" si="0"/>
        <v>22</v>
      </c>
      <c r="AI32" s="31">
        <f t="shared" si="1"/>
        <v>4</v>
      </c>
      <c r="AJ32" s="31">
        <v>17000</v>
      </c>
      <c r="AK32" s="31">
        <f t="shared" si="2"/>
        <v>374000</v>
      </c>
    </row>
  </sheetData>
  <mergeCells count="8">
    <mergeCell ref="E1:S1"/>
    <mergeCell ref="A2:AI4"/>
    <mergeCell ref="C5:AG5"/>
    <mergeCell ref="D7:D32"/>
    <mergeCell ref="K7:K32"/>
    <mergeCell ref="R7:R32"/>
    <mergeCell ref="Y7:Y32"/>
    <mergeCell ref="AF7:AF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P341"/>
  <sheetViews>
    <sheetView workbookViewId="0">
      <selection activeCell="P1" sqref="P1:P1048576"/>
    </sheetView>
  </sheetViews>
  <sheetFormatPr defaultColWidth="9.1796875" defaultRowHeight="14.5" x14ac:dyDescent="0.35"/>
  <sheetData>
    <row r="1" spans="1:16" x14ac:dyDescent="0.35">
      <c r="A1" s="84" t="s">
        <v>414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6" hidden="1" x14ac:dyDescent="0.35">
      <c r="A2" t="s">
        <v>415</v>
      </c>
    </row>
    <row r="3" spans="1:16" hidden="1" x14ac:dyDescent="0.35"/>
    <row r="4" spans="1:16" hidden="1" x14ac:dyDescent="0.35">
      <c r="A4" s="101" t="s">
        <v>161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</row>
    <row r="5" spans="1:16" hidden="1" x14ac:dyDescent="0.35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6" ht="15.5" hidden="1" x14ac:dyDescent="0.35">
      <c r="A6" s="33" t="s">
        <v>162</v>
      </c>
      <c r="B6" s="33" t="s">
        <v>163</v>
      </c>
      <c r="C6" s="33" t="s">
        <v>164</v>
      </c>
      <c r="D6" s="33" t="s">
        <v>165</v>
      </c>
      <c r="E6" s="33" t="s">
        <v>166</v>
      </c>
      <c r="F6" s="33" t="s">
        <v>167</v>
      </c>
      <c r="G6" s="33" t="s">
        <v>168</v>
      </c>
      <c r="H6" s="33" t="s">
        <v>169</v>
      </c>
      <c r="I6" s="33" t="s">
        <v>170</v>
      </c>
      <c r="J6" s="33" t="s">
        <v>171</v>
      </c>
      <c r="K6" s="33" t="s">
        <v>172</v>
      </c>
      <c r="L6" s="33" t="s">
        <v>130</v>
      </c>
      <c r="M6" s="33" t="s">
        <v>173</v>
      </c>
      <c r="N6" s="33" t="s">
        <v>174</v>
      </c>
      <c r="O6" s="33" t="s">
        <v>175</v>
      </c>
      <c r="P6" s="33" t="s">
        <v>176</v>
      </c>
    </row>
    <row r="7" spans="1:16" ht="15.5" hidden="1" x14ac:dyDescent="0.35">
      <c r="A7" s="34">
        <v>1</v>
      </c>
      <c r="B7" s="35" t="s">
        <v>177</v>
      </c>
      <c r="C7" s="35" t="s">
        <v>178</v>
      </c>
      <c r="D7" s="35" t="s">
        <v>179</v>
      </c>
      <c r="E7" s="35">
        <v>90</v>
      </c>
      <c r="F7" s="35">
        <v>45</v>
      </c>
      <c r="G7" s="35">
        <v>75</v>
      </c>
      <c r="H7" s="35">
        <v>56</v>
      </c>
      <c r="I7" s="35">
        <v>89</v>
      </c>
      <c r="J7" s="35">
        <v>87</v>
      </c>
      <c r="K7" s="35">
        <v>50</v>
      </c>
      <c r="L7" s="35">
        <f>SUM(E7:K7)</f>
        <v>492</v>
      </c>
      <c r="M7" s="36">
        <f>AVERAGE(E7:K7)</f>
        <v>70.285714285714292</v>
      </c>
      <c r="N7" s="35" t="str">
        <f>IF(MIN(E7:K7)&gt;=60,"PASS","FAIL")</f>
        <v>FAIL</v>
      </c>
      <c r="O7" t="str">
        <f>IF(M2&gt;=85,"Distinction",IF(M2&gt;=75,"First Class",IF(M2&gt;=65,"Second Class",IF(M2&gt;=60,"Pass","Fail"))))</f>
        <v>Fail</v>
      </c>
      <c r="P7" t="str">
        <f>IF(M2&gt;=85,"Yes","No")</f>
        <v>No</v>
      </c>
    </row>
    <row r="8" spans="1:16" ht="15.5" hidden="1" x14ac:dyDescent="0.35">
      <c r="A8" s="34">
        <v>2</v>
      </c>
      <c r="B8" s="35" t="s">
        <v>180</v>
      </c>
      <c r="C8" s="35" t="s">
        <v>178</v>
      </c>
      <c r="D8" s="35" t="s">
        <v>181</v>
      </c>
      <c r="E8" s="35">
        <v>76</v>
      </c>
      <c r="F8" s="35">
        <v>68</v>
      </c>
      <c r="G8" s="35">
        <v>79</v>
      </c>
      <c r="H8" s="35">
        <v>36</v>
      </c>
      <c r="I8" s="35">
        <v>91</v>
      </c>
      <c r="J8" s="35">
        <v>94</v>
      </c>
      <c r="K8" s="35">
        <v>79</v>
      </c>
      <c r="L8" s="35">
        <f t="shared" ref="L8:L71" si="0">SUM(E8:K8)</f>
        <v>523</v>
      </c>
      <c r="M8" s="36">
        <f t="shared" ref="M8:M71" si="1">AVERAGE(E8:K8)</f>
        <v>74.714285714285708</v>
      </c>
      <c r="N8" s="35" t="str">
        <f t="shared" ref="N8:N71" si="2">IF(MIN(E8:K8)&gt;=60,"PASS","FAIL")</f>
        <v>FAIL</v>
      </c>
      <c r="O8" t="str">
        <f t="shared" ref="O8:O71" si="3">IF(M3&gt;=85,"Distinction",IF(M3&gt;=75,"First Class",IF(M3&gt;=65,"Second Class",IF(M3&gt;=60,"Pass","Fail"))))</f>
        <v>Fail</v>
      </c>
      <c r="P8" t="str">
        <f t="shared" ref="P8:P71" si="4">IF(M3&gt;=85,"Yes","No")</f>
        <v>No</v>
      </c>
    </row>
    <row r="9" spans="1:16" ht="15.5" hidden="1" x14ac:dyDescent="0.35">
      <c r="A9" s="34">
        <v>3</v>
      </c>
      <c r="B9" s="35" t="s">
        <v>182</v>
      </c>
      <c r="C9" s="35" t="s">
        <v>183</v>
      </c>
      <c r="D9" s="35" t="s">
        <v>181</v>
      </c>
      <c r="E9" s="35">
        <v>75</v>
      </c>
      <c r="F9" s="35">
        <v>71</v>
      </c>
      <c r="G9" s="35">
        <v>85</v>
      </c>
      <c r="H9" s="35">
        <v>73</v>
      </c>
      <c r="I9" s="35">
        <v>58</v>
      </c>
      <c r="J9" s="35">
        <v>83</v>
      </c>
      <c r="K9" s="35">
        <v>73</v>
      </c>
      <c r="L9" s="35">
        <f t="shared" si="0"/>
        <v>518</v>
      </c>
      <c r="M9" s="36">
        <f t="shared" si="1"/>
        <v>74</v>
      </c>
      <c r="N9" s="35" t="str">
        <f t="shared" si="2"/>
        <v>FAIL</v>
      </c>
      <c r="O9" t="str">
        <f t="shared" si="3"/>
        <v>Fail</v>
      </c>
      <c r="P9" t="str">
        <f t="shared" si="4"/>
        <v>No</v>
      </c>
    </row>
    <row r="10" spans="1:16" ht="15.5" hidden="1" x14ac:dyDescent="0.35">
      <c r="A10" s="34">
        <v>4</v>
      </c>
      <c r="B10" s="35" t="s">
        <v>184</v>
      </c>
      <c r="C10" s="35" t="s">
        <v>183</v>
      </c>
      <c r="D10" s="35" t="s">
        <v>185</v>
      </c>
      <c r="E10" s="35">
        <v>58</v>
      </c>
      <c r="F10" s="35">
        <v>69</v>
      </c>
      <c r="G10" s="35">
        <v>84</v>
      </c>
      <c r="H10" s="35">
        <v>72</v>
      </c>
      <c r="I10" s="35">
        <v>70</v>
      </c>
      <c r="J10" s="35">
        <v>87</v>
      </c>
      <c r="K10" s="35">
        <v>87</v>
      </c>
      <c r="L10" s="35">
        <f t="shared" si="0"/>
        <v>527</v>
      </c>
      <c r="M10" s="36">
        <f t="shared" si="1"/>
        <v>75.285714285714292</v>
      </c>
      <c r="N10" s="35" t="str">
        <f t="shared" si="2"/>
        <v>FAIL</v>
      </c>
      <c r="O10" t="str">
        <f t="shared" si="3"/>
        <v>Fail</v>
      </c>
      <c r="P10" t="str">
        <f t="shared" si="4"/>
        <v>No</v>
      </c>
    </row>
    <row r="11" spans="1:16" ht="15.5" x14ac:dyDescent="0.35">
      <c r="A11" s="34">
        <v>5</v>
      </c>
      <c r="B11" s="35" t="s">
        <v>186</v>
      </c>
      <c r="C11" s="35" t="s">
        <v>187</v>
      </c>
      <c r="D11" s="35" t="s">
        <v>185</v>
      </c>
      <c r="E11" s="35">
        <v>52</v>
      </c>
      <c r="F11" s="35">
        <v>62</v>
      </c>
      <c r="G11" s="35">
        <v>72</v>
      </c>
      <c r="H11" s="35">
        <v>84</v>
      </c>
      <c r="I11" s="35">
        <v>55</v>
      </c>
      <c r="J11" s="35">
        <v>82</v>
      </c>
      <c r="K11" s="35">
        <v>78</v>
      </c>
      <c r="L11" s="35">
        <f t="shared" si="0"/>
        <v>485</v>
      </c>
      <c r="M11" s="36">
        <f t="shared" si="1"/>
        <v>69.285714285714292</v>
      </c>
      <c r="N11" s="35" t="str">
        <f t="shared" si="2"/>
        <v>FAIL</v>
      </c>
      <c r="O11" t="str">
        <f t="shared" si="3"/>
        <v>Distinction</v>
      </c>
      <c r="P11" t="str">
        <f t="shared" si="4"/>
        <v>Yes</v>
      </c>
    </row>
    <row r="12" spans="1:16" ht="15.5" hidden="1" x14ac:dyDescent="0.35">
      <c r="A12" s="34">
        <v>6</v>
      </c>
      <c r="B12" s="35" t="s">
        <v>188</v>
      </c>
      <c r="C12" s="35" t="s">
        <v>187</v>
      </c>
      <c r="D12" s="35" t="s">
        <v>179</v>
      </c>
      <c r="E12" s="35">
        <v>51</v>
      </c>
      <c r="F12" s="35">
        <v>62</v>
      </c>
      <c r="G12" s="35">
        <v>77</v>
      </c>
      <c r="H12" s="35">
        <v>65</v>
      </c>
      <c r="I12" s="35">
        <v>97</v>
      </c>
      <c r="J12" s="35">
        <v>96</v>
      </c>
      <c r="K12" s="35">
        <v>80</v>
      </c>
      <c r="L12" s="35">
        <f t="shared" si="0"/>
        <v>528</v>
      </c>
      <c r="M12" s="36">
        <f t="shared" si="1"/>
        <v>75.428571428571431</v>
      </c>
      <c r="N12" s="35" t="str">
        <f t="shared" si="2"/>
        <v>FAIL</v>
      </c>
      <c r="O12" t="str">
        <f t="shared" si="3"/>
        <v>Second Class</v>
      </c>
      <c r="P12" t="str">
        <f t="shared" si="4"/>
        <v>No</v>
      </c>
    </row>
    <row r="13" spans="1:16" ht="15.5" hidden="1" x14ac:dyDescent="0.35">
      <c r="A13" s="34">
        <v>7</v>
      </c>
      <c r="B13" s="35" t="s">
        <v>189</v>
      </c>
      <c r="C13" s="35" t="s">
        <v>187</v>
      </c>
      <c r="D13" s="35" t="s">
        <v>185</v>
      </c>
      <c r="E13" s="35">
        <v>35</v>
      </c>
      <c r="F13" s="35">
        <v>72</v>
      </c>
      <c r="G13" s="35">
        <v>87</v>
      </c>
      <c r="H13" s="35">
        <v>75</v>
      </c>
      <c r="I13" s="35">
        <v>79</v>
      </c>
      <c r="J13" s="35">
        <v>90</v>
      </c>
      <c r="K13" s="35">
        <v>90</v>
      </c>
      <c r="L13" s="35">
        <f t="shared" si="0"/>
        <v>528</v>
      </c>
      <c r="M13" s="36">
        <f t="shared" si="1"/>
        <v>75.428571428571431</v>
      </c>
      <c r="N13" s="35" t="str">
        <f t="shared" si="2"/>
        <v>FAIL</v>
      </c>
      <c r="O13" t="str">
        <f t="shared" si="3"/>
        <v>Second Class</v>
      </c>
      <c r="P13" t="str">
        <f t="shared" si="4"/>
        <v>No</v>
      </c>
    </row>
    <row r="14" spans="1:16" ht="15.5" hidden="1" x14ac:dyDescent="0.35">
      <c r="A14" s="34">
        <v>8</v>
      </c>
      <c r="B14" s="35" t="s">
        <v>190</v>
      </c>
      <c r="C14" s="35" t="s">
        <v>191</v>
      </c>
      <c r="D14" s="35" t="s">
        <v>185</v>
      </c>
      <c r="E14" s="35">
        <v>77</v>
      </c>
      <c r="F14" s="35">
        <v>73</v>
      </c>
      <c r="G14" s="35">
        <v>87</v>
      </c>
      <c r="H14" s="35">
        <v>75</v>
      </c>
      <c r="I14" s="35">
        <v>64</v>
      </c>
      <c r="J14" s="35">
        <v>85</v>
      </c>
      <c r="K14" s="35">
        <v>75</v>
      </c>
      <c r="L14" s="35">
        <f t="shared" si="0"/>
        <v>536</v>
      </c>
      <c r="M14" s="36">
        <f t="shared" si="1"/>
        <v>76.571428571428569</v>
      </c>
      <c r="N14" s="35" t="str">
        <f t="shared" si="2"/>
        <v>PASS</v>
      </c>
      <c r="O14" t="str">
        <f t="shared" si="3"/>
        <v>Second Class</v>
      </c>
      <c r="P14" t="str">
        <f t="shared" si="4"/>
        <v>No</v>
      </c>
    </row>
    <row r="15" spans="1:16" ht="15.5" hidden="1" x14ac:dyDescent="0.35">
      <c r="A15" s="34">
        <v>9</v>
      </c>
      <c r="B15" s="35" t="s">
        <v>192</v>
      </c>
      <c r="C15" s="35" t="s">
        <v>191</v>
      </c>
      <c r="D15" s="35" t="s">
        <v>179</v>
      </c>
      <c r="E15" s="35">
        <v>60</v>
      </c>
      <c r="F15" s="35">
        <v>71</v>
      </c>
      <c r="G15" s="35">
        <v>86</v>
      </c>
      <c r="H15" s="35">
        <v>75</v>
      </c>
      <c r="I15" s="35">
        <v>76</v>
      </c>
      <c r="J15" s="35">
        <v>39</v>
      </c>
      <c r="K15" s="35">
        <v>68</v>
      </c>
      <c r="L15" s="35">
        <f t="shared" si="0"/>
        <v>475</v>
      </c>
      <c r="M15" s="36">
        <f t="shared" si="1"/>
        <v>67.857142857142861</v>
      </c>
      <c r="N15" s="35" t="str">
        <f t="shared" si="2"/>
        <v>FAIL</v>
      </c>
      <c r="O15" t="str">
        <f t="shared" si="3"/>
        <v>First Class</v>
      </c>
      <c r="P15" t="str">
        <f t="shared" si="4"/>
        <v>No</v>
      </c>
    </row>
    <row r="16" spans="1:16" ht="15.5" hidden="1" x14ac:dyDescent="0.35">
      <c r="A16" s="34">
        <v>10</v>
      </c>
      <c r="B16" s="35" t="s">
        <v>193</v>
      </c>
      <c r="C16" s="35" t="s">
        <v>194</v>
      </c>
      <c r="D16" s="35" t="s">
        <v>179</v>
      </c>
      <c r="E16" s="35">
        <v>54</v>
      </c>
      <c r="F16" s="35">
        <v>64</v>
      </c>
      <c r="G16" s="35">
        <v>74</v>
      </c>
      <c r="H16" s="35">
        <v>86</v>
      </c>
      <c r="I16" s="35">
        <v>61</v>
      </c>
      <c r="J16" s="35">
        <v>84</v>
      </c>
      <c r="K16" s="35">
        <v>80</v>
      </c>
      <c r="L16" s="35">
        <f t="shared" si="0"/>
        <v>503</v>
      </c>
      <c r="M16" s="36">
        <f t="shared" si="1"/>
        <v>71.857142857142861</v>
      </c>
      <c r="N16" s="35" t="str">
        <f t="shared" si="2"/>
        <v>FAIL</v>
      </c>
      <c r="O16" t="str">
        <f t="shared" si="3"/>
        <v>Second Class</v>
      </c>
      <c r="P16" t="str">
        <f t="shared" si="4"/>
        <v>No</v>
      </c>
    </row>
    <row r="17" spans="1:16" ht="15.5" hidden="1" x14ac:dyDescent="0.35">
      <c r="A17" s="34">
        <v>11</v>
      </c>
      <c r="B17" s="35" t="s">
        <v>195</v>
      </c>
      <c r="C17" s="35" t="s">
        <v>194</v>
      </c>
      <c r="D17" s="35" t="s">
        <v>179</v>
      </c>
      <c r="E17" s="35">
        <v>63</v>
      </c>
      <c r="F17" s="35">
        <v>74</v>
      </c>
      <c r="G17" s="35">
        <v>89</v>
      </c>
      <c r="H17" s="35">
        <v>77</v>
      </c>
      <c r="I17" s="35">
        <v>85</v>
      </c>
      <c r="J17" s="35">
        <v>92</v>
      </c>
      <c r="K17" s="35">
        <v>71</v>
      </c>
      <c r="L17" s="35">
        <f t="shared" si="0"/>
        <v>551</v>
      </c>
      <c r="M17" s="36">
        <f t="shared" si="1"/>
        <v>78.714285714285708</v>
      </c>
      <c r="N17" s="35" t="str">
        <f t="shared" si="2"/>
        <v>PASS</v>
      </c>
      <c r="O17" t="str">
        <f t="shared" si="3"/>
        <v>First Class</v>
      </c>
      <c r="P17" t="str">
        <f t="shared" si="4"/>
        <v>No</v>
      </c>
    </row>
    <row r="18" spans="1:16" ht="15.5" hidden="1" x14ac:dyDescent="0.35">
      <c r="A18" s="34">
        <v>12</v>
      </c>
      <c r="B18" s="35" t="s">
        <v>196</v>
      </c>
      <c r="C18" s="35" t="s">
        <v>197</v>
      </c>
      <c r="D18" s="35" t="s">
        <v>179</v>
      </c>
      <c r="E18" s="35">
        <v>66</v>
      </c>
      <c r="F18" s="35">
        <v>77</v>
      </c>
      <c r="G18" s="35">
        <v>92</v>
      </c>
      <c r="H18" s="35">
        <v>80</v>
      </c>
      <c r="I18" s="35">
        <v>94</v>
      </c>
      <c r="J18" s="35">
        <v>95</v>
      </c>
      <c r="K18" s="35">
        <v>74</v>
      </c>
      <c r="L18" s="35">
        <f t="shared" si="0"/>
        <v>578</v>
      </c>
      <c r="M18" s="36">
        <f t="shared" si="1"/>
        <v>82.571428571428569</v>
      </c>
      <c r="N18" s="35" t="str">
        <f t="shared" si="2"/>
        <v>PASS</v>
      </c>
      <c r="O18" t="str">
        <f t="shared" si="3"/>
        <v>First Class</v>
      </c>
      <c r="P18" t="str">
        <f t="shared" si="4"/>
        <v>No</v>
      </c>
    </row>
    <row r="19" spans="1:16" ht="15.5" hidden="1" x14ac:dyDescent="0.35">
      <c r="A19" s="34">
        <v>13</v>
      </c>
      <c r="B19" s="35" t="s">
        <v>198</v>
      </c>
      <c r="C19" s="35" t="s">
        <v>199</v>
      </c>
      <c r="D19" s="35" t="s">
        <v>179</v>
      </c>
      <c r="E19" s="35">
        <v>79</v>
      </c>
      <c r="F19" s="35">
        <v>75</v>
      </c>
      <c r="G19" s="35">
        <v>89</v>
      </c>
      <c r="H19" s="35">
        <v>77</v>
      </c>
      <c r="I19" s="35">
        <v>70</v>
      </c>
      <c r="J19" s="35">
        <v>87</v>
      </c>
      <c r="K19" s="35">
        <v>77</v>
      </c>
      <c r="L19" s="35">
        <f t="shared" si="0"/>
        <v>554</v>
      </c>
      <c r="M19" s="36">
        <f t="shared" si="1"/>
        <v>79.142857142857139</v>
      </c>
      <c r="N19" s="35" t="str">
        <f t="shared" si="2"/>
        <v>PASS</v>
      </c>
      <c r="O19" t="str">
        <f t="shared" si="3"/>
        <v>First Class</v>
      </c>
      <c r="P19" t="str">
        <f t="shared" si="4"/>
        <v>No</v>
      </c>
    </row>
    <row r="20" spans="1:16" ht="15.5" hidden="1" x14ac:dyDescent="0.35">
      <c r="A20" s="34">
        <v>14</v>
      </c>
      <c r="B20" s="35" t="s">
        <v>200</v>
      </c>
      <c r="C20" s="35" t="s">
        <v>199</v>
      </c>
      <c r="D20" s="35" t="s">
        <v>185</v>
      </c>
      <c r="E20" s="35">
        <v>52</v>
      </c>
      <c r="F20" s="35">
        <v>63</v>
      </c>
      <c r="G20" s="35">
        <v>78</v>
      </c>
      <c r="H20" s="35">
        <v>66</v>
      </c>
      <c r="I20" s="35">
        <v>52</v>
      </c>
      <c r="J20" s="35">
        <v>81</v>
      </c>
      <c r="K20" s="35">
        <v>81</v>
      </c>
      <c r="L20" s="35">
        <f t="shared" si="0"/>
        <v>473</v>
      </c>
      <c r="M20" s="36">
        <f t="shared" si="1"/>
        <v>67.571428571428569</v>
      </c>
      <c r="N20" s="35" t="str">
        <f t="shared" si="2"/>
        <v>FAIL</v>
      </c>
      <c r="O20" t="str">
        <f t="shared" si="3"/>
        <v>Second Class</v>
      </c>
      <c r="P20" t="str">
        <f t="shared" si="4"/>
        <v>No</v>
      </c>
    </row>
    <row r="21" spans="1:16" ht="15.5" hidden="1" x14ac:dyDescent="0.35">
      <c r="A21" s="34">
        <v>15</v>
      </c>
      <c r="B21" s="35" t="s">
        <v>201</v>
      </c>
      <c r="C21" s="35" t="s">
        <v>199</v>
      </c>
      <c r="D21" s="35" t="s">
        <v>181</v>
      </c>
      <c r="E21" s="35">
        <v>62</v>
      </c>
      <c r="F21" s="35">
        <v>73</v>
      </c>
      <c r="G21" s="35">
        <v>88</v>
      </c>
      <c r="H21" s="35">
        <v>76</v>
      </c>
      <c r="I21" s="35">
        <v>82</v>
      </c>
      <c r="J21" s="35">
        <v>91</v>
      </c>
      <c r="K21" s="35">
        <v>91</v>
      </c>
      <c r="L21" s="35">
        <f t="shared" si="0"/>
        <v>563</v>
      </c>
      <c r="M21" s="36">
        <f t="shared" si="1"/>
        <v>80.428571428571431</v>
      </c>
      <c r="N21" s="35" t="str">
        <f t="shared" si="2"/>
        <v>PASS</v>
      </c>
      <c r="O21" t="str">
        <f t="shared" si="3"/>
        <v>Second Class</v>
      </c>
      <c r="P21" t="str">
        <f t="shared" si="4"/>
        <v>No</v>
      </c>
    </row>
    <row r="22" spans="1:16" ht="15.5" hidden="1" x14ac:dyDescent="0.35">
      <c r="A22" s="34">
        <v>16</v>
      </c>
      <c r="B22" s="35" t="s">
        <v>202</v>
      </c>
      <c r="C22" s="35" t="s">
        <v>203</v>
      </c>
      <c r="D22" s="35" t="s">
        <v>185</v>
      </c>
      <c r="E22" s="35">
        <v>55</v>
      </c>
      <c r="F22" s="35">
        <v>66</v>
      </c>
      <c r="G22" s="35">
        <v>81</v>
      </c>
      <c r="H22" s="35">
        <v>69</v>
      </c>
      <c r="I22" s="35">
        <v>61</v>
      </c>
      <c r="J22" s="35">
        <v>84</v>
      </c>
      <c r="K22" s="35">
        <v>84</v>
      </c>
      <c r="L22" s="35">
        <f t="shared" si="0"/>
        <v>500</v>
      </c>
      <c r="M22" s="36">
        <f t="shared" si="1"/>
        <v>71.428571428571431</v>
      </c>
      <c r="N22" s="35" t="str">
        <f t="shared" si="2"/>
        <v>FAIL</v>
      </c>
      <c r="O22" t="str">
        <f t="shared" si="3"/>
        <v>First Class</v>
      </c>
      <c r="P22" t="str">
        <f t="shared" si="4"/>
        <v>No</v>
      </c>
    </row>
    <row r="23" spans="1:16" ht="15.5" hidden="1" x14ac:dyDescent="0.35">
      <c r="A23" s="34">
        <v>17</v>
      </c>
      <c r="B23" s="35" t="s">
        <v>204</v>
      </c>
      <c r="C23" s="35" t="s">
        <v>203</v>
      </c>
      <c r="D23" s="35" t="s">
        <v>181</v>
      </c>
      <c r="E23" s="35">
        <v>65</v>
      </c>
      <c r="F23" s="35">
        <v>76</v>
      </c>
      <c r="G23" s="35">
        <v>91</v>
      </c>
      <c r="H23" s="35">
        <v>79</v>
      </c>
      <c r="I23" s="35">
        <v>91</v>
      </c>
      <c r="J23" s="35">
        <v>94</v>
      </c>
      <c r="K23" s="35">
        <v>73</v>
      </c>
      <c r="L23" s="35">
        <f t="shared" si="0"/>
        <v>569</v>
      </c>
      <c r="M23" s="36">
        <f t="shared" si="1"/>
        <v>81.285714285714292</v>
      </c>
      <c r="N23" s="35" t="str">
        <f t="shared" si="2"/>
        <v>PASS</v>
      </c>
      <c r="O23" t="str">
        <f t="shared" si="3"/>
        <v>First Class</v>
      </c>
      <c r="P23" t="str">
        <f t="shared" si="4"/>
        <v>No</v>
      </c>
    </row>
    <row r="24" spans="1:16" ht="15.5" hidden="1" x14ac:dyDescent="0.35">
      <c r="A24" s="34">
        <v>18</v>
      </c>
      <c r="B24" s="35" t="s">
        <v>205</v>
      </c>
      <c r="C24" s="35" t="s">
        <v>206</v>
      </c>
      <c r="D24" s="35" t="s">
        <v>185</v>
      </c>
      <c r="E24" s="35">
        <v>91</v>
      </c>
      <c r="F24" s="35">
        <v>92</v>
      </c>
      <c r="G24" s="35">
        <v>93</v>
      </c>
      <c r="H24" s="35">
        <v>94</v>
      </c>
      <c r="I24" s="35">
        <v>95</v>
      </c>
      <c r="J24" s="35">
        <v>96</v>
      </c>
      <c r="K24" s="35">
        <v>97</v>
      </c>
      <c r="L24" s="35">
        <f t="shared" si="0"/>
        <v>658</v>
      </c>
      <c r="M24" s="36">
        <f t="shared" si="1"/>
        <v>94</v>
      </c>
      <c r="N24" s="35" t="str">
        <f t="shared" si="2"/>
        <v>PASS</v>
      </c>
      <c r="O24" t="str">
        <f t="shared" si="3"/>
        <v>First Class</v>
      </c>
      <c r="P24" t="str">
        <f t="shared" si="4"/>
        <v>No</v>
      </c>
    </row>
    <row r="25" spans="1:16" ht="15.5" hidden="1" x14ac:dyDescent="0.35">
      <c r="A25" s="34">
        <v>19</v>
      </c>
      <c r="B25" s="35" t="s">
        <v>207</v>
      </c>
      <c r="C25" s="35" t="s">
        <v>206</v>
      </c>
      <c r="D25" s="35" t="s">
        <v>181</v>
      </c>
      <c r="E25" s="35">
        <v>65</v>
      </c>
      <c r="F25" s="35">
        <v>75</v>
      </c>
      <c r="G25" s="35">
        <v>85</v>
      </c>
      <c r="H25" s="35">
        <v>60</v>
      </c>
      <c r="I25" s="35">
        <v>94</v>
      </c>
      <c r="J25" s="35">
        <v>95</v>
      </c>
      <c r="K25" s="35">
        <v>91</v>
      </c>
      <c r="L25" s="35">
        <f t="shared" si="0"/>
        <v>565</v>
      </c>
      <c r="M25" s="36">
        <f t="shared" si="1"/>
        <v>80.714285714285708</v>
      </c>
      <c r="N25" s="35" t="str">
        <f t="shared" si="2"/>
        <v>PASS</v>
      </c>
      <c r="O25" t="str">
        <f t="shared" si="3"/>
        <v>Second Class</v>
      </c>
      <c r="P25" t="str">
        <f t="shared" si="4"/>
        <v>No</v>
      </c>
    </row>
    <row r="26" spans="1:16" ht="15.5" hidden="1" x14ac:dyDescent="0.35">
      <c r="A26" s="34">
        <v>20</v>
      </c>
      <c r="B26" s="35" t="s">
        <v>208</v>
      </c>
      <c r="C26" s="35" t="s">
        <v>209</v>
      </c>
      <c r="D26" s="35" t="s">
        <v>185</v>
      </c>
      <c r="E26" s="35">
        <v>58</v>
      </c>
      <c r="F26" s="35">
        <v>68</v>
      </c>
      <c r="G26" s="35">
        <v>78</v>
      </c>
      <c r="H26" s="35">
        <v>53</v>
      </c>
      <c r="I26" s="35">
        <v>73</v>
      </c>
      <c r="J26" s="35">
        <v>88</v>
      </c>
      <c r="K26" s="35">
        <v>84</v>
      </c>
      <c r="L26" s="35">
        <f t="shared" si="0"/>
        <v>502</v>
      </c>
      <c r="M26" s="36">
        <f t="shared" si="1"/>
        <v>71.714285714285708</v>
      </c>
      <c r="N26" s="35" t="str">
        <f t="shared" si="2"/>
        <v>FAIL</v>
      </c>
      <c r="O26" t="str">
        <f t="shared" si="3"/>
        <v>First Class</v>
      </c>
      <c r="P26" t="str">
        <f t="shared" si="4"/>
        <v>No</v>
      </c>
    </row>
    <row r="27" spans="1:16" ht="15.5" hidden="1" x14ac:dyDescent="0.35">
      <c r="A27" s="34">
        <v>21</v>
      </c>
      <c r="B27" s="35" t="s">
        <v>210</v>
      </c>
      <c r="C27" s="35" t="s">
        <v>211</v>
      </c>
      <c r="D27" s="35" t="s">
        <v>179</v>
      </c>
      <c r="E27" s="35">
        <v>45</v>
      </c>
      <c r="F27" s="35">
        <v>87</v>
      </c>
      <c r="G27" s="35">
        <v>70</v>
      </c>
      <c r="H27" s="35">
        <v>90</v>
      </c>
      <c r="I27" s="35">
        <v>75</v>
      </c>
      <c r="J27" s="35">
        <v>76</v>
      </c>
      <c r="K27" s="35">
        <v>79</v>
      </c>
      <c r="L27" s="35">
        <f t="shared" si="0"/>
        <v>522</v>
      </c>
      <c r="M27" s="36">
        <f t="shared" si="1"/>
        <v>74.571428571428569</v>
      </c>
      <c r="N27" s="35" t="str">
        <f t="shared" si="2"/>
        <v>FAIL</v>
      </c>
      <c r="O27" t="str">
        <f t="shared" si="3"/>
        <v>Second Class</v>
      </c>
      <c r="P27" t="str">
        <f t="shared" si="4"/>
        <v>No</v>
      </c>
    </row>
    <row r="28" spans="1:16" ht="15.5" hidden="1" x14ac:dyDescent="0.35">
      <c r="A28" s="34">
        <v>22</v>
      </c>
      <c r="B28" s="35" t="s">
        <v>212</v>
      </c>
      <c r="C28" s="35" t="s">
        <v>213</v>
      </c>
      <c r="D28" s="35" t="s">
        <v>181</v>
      </c>
      <c r="E28" s="35">
        <v>68</v>
      </c>
      <c r="F28" s="35">
        <v>94</v>
      </c>
      <c r="G28" s="35">
        <v>55</v>
      </c>
      <c r="H28" s="35">
        <v>76</v>
      </c>
      <c r="I28" s="35">
        <v>79</v>
      </c>
      <c r="J28" s="35">
        <v>92</v>
      </c>
      <c r="K28" s="35">
        <v>64</v>
      </c>
      <c r="L28" s="35">
        <f t="shared" si="0"/>
        <v>528</v>
      </c>
      <c r="M28" s="36">
        <f t="shared" si="1"/>
        <v>75.428571428571431</v>
      </c>
      <c r="N28" s="35" t="str">
        <f t="shared" si="2"/>
        <v>FAIL</v>
      </c>
      <c r="O28" t="str">
        <f t="shared" si="3"/>
        <v>First Class</v>
      </c>
      <c r="P28" t="str">
        <f t="shared" si="4"/>
        <v>No</v>
      </c>
    </row>
    <row r="29" spans="1:16" ht="15.5" x14ac:dyDescent="0.35">
      <c r="A29" s="34">
        <v>23</v>
      </c>
      <c r="B29" s="35" t="s">
        <v>214</v>
      </c>
      <c r="C29" s="35" t="s">
        <v>206</v>
      </c>
      <c r="D29" s="35" t="s">
        <v>181</v>
      </c>
      <c r="E29" s="35">
        <v>71</v>
      </c>
      <c r="F29" s="35">
        <v>83</v>
      </c>
      <c r="G29" s="35">
        <v>97</v>
      </c>
      <c r="H29" s="35">
        <v>75</v>
      </c>
      <c r="I29" s="35">
        <v>85</v>
      </c>
      <c r="J29" s="35">
        <v>75</v>
      </c>
      <c r="K29" s="35">
        <v>76</v>
      </c>
      <c r="L29" s="35">
        <f t="shared" si="0"/>
        <v>562</v>
      </c>
      <c r="M29" s="36">
        <f t="shared" si="1"/>
        <v>80.285714285714292</v>
      </c>
      <c r="N29" s="35" t="str">
        <f t="shared" si="2"/>
        <v>PASS</v>
      </c>
      <c r="O29" t="str">
        <f t="shared" si="3"/>
        <v>Distinction</v>
      </c>
      <c r="P29" t="str">
        <f t="shared" si="4"/>
        <v>Yes</v>
      </c>
    </row>
    <row r="30" spans="1:16" ht="15.5" hidden="1" x14ac:dyDescent="0.35">
      <c r="A30" s="34">
        <v>24</v>
      </c>
      <c r="B30" s="35" t="s">
        <v>215</v>
      </c>
      <c r="C30" s="35" t="s">
        <v>206</v>
      </c>
      <c r="D30" s="35" t="s">
        <v>185</v>
      </c>
      <c r="E30" s="35">
        <v>69</v>
      </c>
      <c r="F30" s="35">
        <v>87</v>
      </c>
      <c r="G30" s="35">
        <v>79</v>
      </c>
      <c r="H30" s="35">
        <v>58</v>
      </c>
      <c r="I30" s="35">
        <v>84</v>
      </c>
      <c r="J30" s="35">
        <v>68</v>
      </c>
      <c r="K30" s="35">
        <v>61</v>
      </c>
      <c r="L30" s="35">
        <f t="shared" si="0"/>
        <v>506</v>
      </c>
      <c r="M30" s="36">
        <f t="shared" si="1"/>
        <v>72.285714285714292</v>
      </c>
      <c r="N30" s="35" t="str">
        <f t="shared" si="2"/>
        <v>FAIL</v>
      </c>
      <c r="O30" t="str">
        <f t="shared" si="3"/>
        <v>First Class</v>
      </c>
      <c r="P30" t="str">
        <f t="shared" si="4"/>
        <v>No</v>
      </c>
    </row>
    <row r="31" spans="1:16" ht="15.5" hidden="1" x14ac:dyDescent="0.35">
      <c r="A31" s="34">
        <v>25</v>
      </c>
      <c r="B31" s="35" t="s">
        <v>216</v>
      </c>
      <c r="C31" s="35" t="s">
        <v>217</v>
      </c>
      <c r="D31" s="35" t="s">
        <v>185</v>
      </c>
      <c r="E31" s="35">
        <v>62</v>
      </c>
      <c r="F31" s="35">
        <v>82</v>
      </c>
      <c r="G31" s="35">
        <v>64</v>
      </c>
      <c r="H31" s="35">
        <v>52</v>
      </c>
      <c r="I31" s="35">
        <v>72</v>
      </c>
      <c r="J31" s="35">
        <v>87</v>
      </c>
      <c r="K31" s="35">
        <v>85</v>
      </c>
      <c r="L31" s="35">
        <f t="shared" si="0"/>
        <v>504</v>
      </c>
      <c r="M31" s="36">
        <f t="shared" si="1"/>
        <v>72</v>
      </c>
      <c r="N31" s="35" t="str">
        <f t="shared" si="2"/>
        <v>FAIL</v>
      </c>
      <c r="O31" t="str">
        <f t="shared" si="3"/>
        <v>Second Class</v>
      </c>
      <c r="P31" t="str">
        <f t="shared" si="4"/>
        <v>No</v>
      </c>
    </row>
    <row r="32" spans="1:16" ht="15.5" hidden="1" x14ac:dyDescent="0.35">
      <c r="A32" s="34">
        <v>26</v>
      </c>
      <c r="B32" s="35" t="s">
        <v>218</v>
      </c>
      <c r="C32" s="35" t="s">
        <v>219</v>
      </c>
      <c r="D32" s="35" t="s">
        <v>179</v>
      </c>
      <c r="E32" s="35">
        <v>62</v>
      </c>
      <c r="F32" s="35">
        <v>96</v>
      </c>
      <c r="G32" s="35">
        <v>76</v>
      </c>
      <c r="H32" s="35">
        <v>51</v>
      </c>
      <c r="I32" s="35">
        <v>77</v>
      </c>
      <c r="J32" s="35">
        <v>94</v>
      </c>
      <c r="K32" s="35">
        <v>94</v>
      </c>
      <c r="L32" s="35">
        <f t="shared" si="0"/>
        <v>550</v>
      </c>
      <c r="M32" s="36">
        <f t="shared" si="1"/>
        <v>78.571428571428569</v>
      </c>
      <c r="N32" s="35" t="str">
        <f t="shared" si="2"/>
        <v>FAIL</v>
      </c>
      <c r="O32" t="str">
        <f t="shared" si="3"/>
        <v>Second Class</v>
      </c>
      <c r="P32" t="str">
        <f t="shared" si="4"/>
        <v>No</v>
      </c>
    </row>
    <row r="33" spans="1:16" ht="15.5" hidden="1" x14ac:dyDescent="0.35">
      <c r="A33" s="34">
        <v>27</v>
      </c>
      <c r="B33" s="35" t="s">
        <v>220</v>
      </c>
      <c r="C33" s="35" t="s">
        <v>221</v>
      </c>
      <c r="D33" s="35" t="s">
        <v>185</v>
      </c>
      <c r="E33" s="35">
        <v>72</v>
      </c>
      <c r="F33" s="35">
        <v>90</v>
      </c>
      <c r="G33" s="35">
        <v>61</v>
      </c>
      <c r="H33" s="35">
        <v>35</v>
      </c>
      <c r="I33" s="35">
        <v>87</v>
      </c>
      <c r="J33" s="35">
        <v>83</v>
      </c>
      <c r="K33" s="35">
        <v>70</v>
      </c>
      <c r="L33" s="35">
        <f t="shared" si="0"/>
        <v>498</v>
      </c>
      <c r="M33" s="36">
        <f t="shared" si="1"/>
        <v>71.142857142857139</v>
      </c>
      <c r="N33" s="35" t="str">
        <f t="shared" si="2"/>
        <v>FAIL</v>
      </c>
      <c r="O33" t="str">
        <f t="shared" si="3"/>
        <v>First Class</v>
      </c>
      <c r="P33" t="str">
        <f t="shared" si="4"/>
        <v>No</v>
      </c>
    </row>
    <row r="34" spans="1:16" ht="15.5" hidden="1" x14ac:dyDescent="0.35">
      <c r="A34" s="34">
        <v>28</v>
      </c>
      <c r="B34" s="35" t="s">
        <v>222</v>
      </c>
      <c r="C34" s="35" t="s">
        <v>223</v>
      </c>
      <c r="D34" s="35" t="s">
        <v>185</v>
      </c>
      <c r="E34" s="35">
        <v>73</v>
      </c>
      <c r="F34" s="35">
        <v>85</v>
      </c>
      <c r="G34" s="35">
        <v>85</v>
      </c>
      <c r="H34" s="35">
        <v>77</v>
      </c>
      <c r="I34" s="35">
        <v>87</v>
      </c>
      <c r="J34" s="35">
        <v>87</v>
      </c>
      <c r="K34" s="35">
        <v>75</v>
      </c>
      <c r="L34" s="35">
        <f t="shared" si="0"/>
        <v>569</v>
      </c>
      <c r="M34" s="36">
        <f t="shared" si="1"/>
        <v>81.285714285714292</v>
      </c>
      <c r="N34" s="35" t="str">
        <f t="shared" si="2"/>
        <v>PASS</v>
      </c>
      <c r="O34" t="str">
        <f t="shared" si="3"/>
        <v>First Class</v>
      </c>
      <c r="P34" t="str">
        <f t="shared" si="4"/>
        <v>No</v>
      </c>
    </row>
    <row r="35" spans="1:16" ht="15.5" hidden="1" x14ac:dyDescent="0.35">
      <c r="A35" s="34">
        <v>29</v>
      </c>
      <c r="B35" s="35" t="s">
        <v>224</v>
      </c>
      <c r="C35" s="35" t="s">
        <v>225</v>
      </c>
      <c r="D35" s="35" t="s">
        <v>179</v>
      </c>
      <c r="E35" s="35">
        <v>71</v>
      </c>
      <c r="F35" s="35">
        <v>39</v>
      </c>
      <c r="G35" s="35">
        <v>94</v>
      </c>
      <c r="H35" s="35">
        <v>60</v>
      </c>
      <c r="I35" s="35">
        <v>86</v>
      </c>
      <c r="J35" s="35">
        <v>82</v>
      </c>
      <c r="K35" s="35">
        <v>79</v>
      </c>
      <c r="L35" s="35">
        <f t="shared" si="0"/>
        <v>511</v>
      </c>
      <c r="M35" s="36">
        <f t="shared" si="1"/>
        <v>73</v>
      </c>
      <c r="N35" s="35" t="str">
        <f t="shared" si="2"/>
        <v>FAIL</v>
      </c>
      <c r="O35" t="str">
        <f t="shared" si="3"/>
        <v>Second Class</v>
      </c>
      <c r="P35" t="str">
        <f t="shared" si="4"/>
        <v>No</v>
      </c>
    </row>
    <row r="36" spans="1:16" ht="15.5" hidden="1" x14ac:dyDescent="0.35">
      <c r="A36" s="34">
        <v>30</v>
      </c>
      <c r="B36" s="35" t="s">
        <v>226</v>
      </c>
      <c r="C36" s="35" t="s">
        <v>227</v>
      </c>
      <c r="D36" s="35" t="s">
        <v>179</v>
      </c>
      <c r="E36" s="35">
        <v>64</v>
      </c>
      <c r="F36" s="35">
        <v>84</v>
      </c>
      <c r="G36" s="35">
        <v>70</v>
      </c>
      <c r="H36" s="35">
        <v>54</v>
      </c>
      <c r="I36" s="35">
        <v>74</v>
      </c>
      <c r="J36" s="35">
        <v>96</v>
      </c>
      <c r="K36" s="35">
        <v>85</v>
      </c>
      <c r="L36" s="35">
        <f t="shared" si="0"/>
        <v>527</v>
      </c>
      <c r="M36" s="36">
        <f t="shared" si="1"/>
        <v>75.285714285714292</v>
      </c>
      <c r="N36" s="35" t="str">
        <f t="shared" si="2"/>
        <v>FAIL</v>
      </c>
      <c r="O36" t="str">
        <f t="shared" si="3"/>
        <v>Second Class</v>
      </c>
      <c r="P36" t="str">
        <f t="shared" si="4"/>
        <v>No</v>
      </c>
    </row>
    <row r="37" spans="1:16" ht="15.5" hidden="1" x14ac:dyDescent="0.35">
      <c r="A37" s="34">
        <v>31</v>
      </c>
      <c r="B37" s="35" t="s">
        <v>228</v>
      </c>
      <c r="C37" s="35" t="s">
        <v>229</v>
      </c>
      <c r="D37" s="35" t="s">
        <v>179</v>
      </c>
      <c r="E37" s="35">
        <v>74</v>
      </c>
      <c r="F37" s="35">
        <v>92</v>
      </c>
      <c r="G37" s="35">
        <v>52</v>
      </c>
      <c r="H37" s="35">
        <v>63</v>
      </c>
      <c r="I37" s="35">
        <v>89</v>
      </c>
      <c r="J37" s="35">
        <v>90</v>
      </c>
      <c r="K37" s="35">
        <v>84</v>
      </c>
      <c r="L37" s="35">
        <f t="shared" si="0"/>
        <v>544</v>
      </c>
      <c r="M37" s="36">
        <f t="shared" si="1"/>
        <v>77.714285714285708</v>
      </c>
      <c r="N37" s="35" t="str">
        <f t="shared" si="2"/>
        <v>FAIL</v>
      </c>
      <c r="O37" t="str">
        <f t="shared" si="3"/>
        <v>First Class</v>
      </c>
      <c r="P37" t="str">
        <f t="shared" si="4"/>
        <v>No</v>
      </c>
    </row>
    <row r="38" spans="1:16" ht="15.5" hidden="1" x14ac:dyDescent="0.35">
      <c r="A38" s="34">
        <v>32</v>
      </c>
      <c r="B38" s="35" t="s">
        <v>230</v>
      </c>
      <c r="C38" s="35" t="s">
        <v>231</v>
      </c>
      <c r="D38" s="35" t="s">
        <v>179</v>
      </c>
      <c r="E38" s="35">
        <v>77</v>
      </c>
      <c r="F38" s="35">
        <v>95</v>
      </c>
      <c r="G38" s="35">
        <v>63</v>
      </c>
      <c r="H38" s="35">
        <v>66</v>
      </c>
      <c r="I38" s="35">
        <v>92</v>
      </c>
      <c r="J38" s="35">
        <v>85</v>
      </c>
      <c r="K38" s="35">
        <v>72</v>
      </c>
      <c r="L38" s="35">
        <f t="shared" si="0"/>
        <v>550</v>
      </c>
      <c r="M38" s="36">
        <f t="shared" si="1"/>
        <v>78.571428571428569</v>
      </c>
      <c r="N38" s="35" t="str">
        <f t="shared" si="2"/>
        <v>PASS</v>
      </c>
      <c r="O38" t="str">
        <f t="shared" si="3"/>
        <v>Second Class</v>
      </c>
      <c r="P38" t="str">
        <f t="shared" si="4"/>
        <v>No</v>
      </c>
    </row>
    <row r="39" spans="1:16" ht="15.5" hidden="1" x14ac:dyDescent="0.35">
      <c r="A39" s="34">
        <v>33</v>
      </c>
      <c r="B39" s="35" t="s">
        <v>218</v>
      </c>
      <c r="C39" s="35" t="s">
        <v>232</v>
      </c>
      <c r="D39" s="35" t="s">
        <v>179</v>
      </c>
      <c r="E39" s="35">
        <v>75</v>
      </c>
      <c r="F39" s="35">
        <v>87</v>
      </c>
      <c r="G39" s="35">
        <v>78</v>
      </c>
      <c r="H39" s="35">
        <v>79</v>
      </c>
      <c r="I39" s="35">
        <v>89</v>
      </c>
      <c r="J39" s="35">
        <v>39</v>
      </c>
      <c r="K39" s="35">
        <v>77</v>
      </c>
      <c r="L39" s="35">
        <f t="shared" si="0"/>
        <v>524</v>
      </c>
      <c r="M39" s="36">
        <f t="shared" si="1"/>
        <v>74.857142857142861</v>
      </c>
      <c r="N39" s="35" t="str">
        <f t="shared" si="2"/>
        <v>FAIL</v>
      </c>
      <c r="O39" t="str">
        <f t="shared" si="3"/>
        <v>First Class</v>
      </c>
      <c r="P39" t="str">
        <f t="shared" si="4"/>
        <v>No</v>
      </c>
    </row>
    <row r="40" spans="1:16" ht="15.5" hidden="1" x14ac:dyDescent="0.35">
      <c r="A40" s="34">
        <v>34</v>
      </c>
      <c r="B40" s="35" t="s">
        <v>233</v>
      </c>
      <c r="C40" s="35" t="s">
        <v>187</v>
      </c>
      <c r="D40" s="35" t="s">
        <v>185</v>
      </c>
      <c r="E40" s="35">
        <v>63</v>
      </c>
      <c r="F40" s="35">
        <v>81</v>
      </c>
      <c r="G40" s="35">
        <v>66</v>
      </c>
      <c r="H40" s="35">
        <v>52</v>
      </c>
      <c r="I40" s="35">
        <v>78</v>
      </c>
      <c r="J40" s="35">
        <v>84</v>
      </c>
      <c r="K40" s="35">
        <v>87</v>
      </c>
      <c r="L40" s="35">
        <f t="shared" si="0"/>
        <v>511</v>
      </c>
      <c r="M40" s="36">
        <f t="shared" si="1"/>
        <v>73</v>
      </c>
      <c r="N40" s="35" t="str">
        <f t="shared" si="2"/>
        <v>FAIL</v>
      </c>
      <c r="O40" t="str">
        <f t="shared" si="3"/>
        <v>Second Class</v>
      </c>
      <c r="P40" t="str">
        <f t="shared" si="4"/>
        <v>No</v>
      </c>
    </row>
    <row r="41" spans="1:16" ht="15.5" hidden="1" x14ac:dyDescent="0.35">
      <c r="A41" s="34">
        <v>35</v>
      </c>
      <c r="B41" s="35" t="s">
        <v>234</v>
      </c>
      <c r="C41" s="35" t="s">
        <v>191</v>
      </c>
      <c r="D41" s="35" t="s">
        <v>181</v>
      </c>
      <c r="E41" s="35">
        <v>73</v>
      </c>
      <c r="F41" s="35">
        <v>91</v>
      </c>
      <c r="G41" s="35">
        <v>52</v>
      </c>
      <c r="H41" s="35">
        <v>62</v>
      </c>
      <c r="I41" s="35">
        <v>88</v>
      </c>
      <c r="J41" s="35">
        <v>87</v>
      </c>
      <c r="K41" s="35">
        <v>87</v>
      </c>
      <c r="L41" s="35">
        <f t="shared" si="0"/>
        <v>540</v>
      </c>
      <c r="M41" s="36">
        <f t="shared" si="1"/>
        <v>77.142857142857139</v>
      </c>
      <c r="N41" s="35" t="str">
        <f t="shared" si="2"/>
        <v>FAIL</v>
      </c>
      <c r="O41" t="str">
        <f t="shared" si="3"/>
        <v>First Class</v>
      </c>
      <c r="P41" t="str">
        <f t="shared" si="4"/>
        <v>No</v>
      </c>
    </row>
    <row r="42" spans="1:16" ht="15.5" hidden="1" x14ac:dyDescent="0.35">
      <c r="A42" s="34">
        <v>36</v>
      </c>
      <c r="B42" s="35" t="s">
        <v>235</v>
      </c>
      <c r="C42" s="35" t="s">
        <v>191</v>
      </c>
      <c r="D42" s="35" t="s">
        <v>185</v>
      </c>
      <c r="E42" s="35">
        <v>66</v>
      </c>
      <c r="F42" s="35">
        <v>84</v>
      </c>
      <c r="G42" s="35">
        <v>81</v>
      </c>
      <c r="H42" s="35">
        <v>55</v>
      </c>
      <c r="I42" s="35">
        <v>81</v>
      </c>
      <c r="J42" s="35">
        <v>87</v>
      </c>
      <c r="K42" s="35">
        <v>86</v>
      </c>
      <c r="L42" s="35">
        <f t="shared" si="0"/>
        <v>540</v>
      </c>
      <c r="M42" s="36">
        <f t="shared" si="1"/>
        <v>77.142857142857139</v>
      </c>
      <c r="N42" s="35" t="str">
        <f t="shared" si="2"/>
        <v>FAIL</v>
      </c>
      <c r="O42" t="str">
        <f t="shared" si="3"/>
        <v>First Class</v>
      </c>
      <c r="P42" t="str">
        <f t="shared" si="4"/>
        <v>No</v>
      </c>
    </row>
    <row r="43" spans="1:16" ht="15.5" hidden="1" x14ac:dyDescent="0.35">
      <c r="A43" s="34">
        <v>37</v>
      </c>
      <c r="B43" s="35" t="s">
        <v>236</v>
      </c>
      <c r="C43" s="35" t="s">
        <v>194</v>
      </c>
      <c r="D43" s="35" t="s">
        <v>181</v>
      </c>
      <c r="E43" s="35">
        <v>76</v>
      </c>
      <c r="F43" s="35">
        <v>94</v>
      </c>
      <c r="G43" s="35">
        <v>81</v>
      </c>
      <c r="H43" s="35">
        <v>65</v>
      </c>
      <c r="I43" s="35">
        <v>91</v>
      </c>
      <c r="J43" s="35">
        <v>86</v>
      </c>
      <c r="K43" s="35">
        <v>74</v>
      </c>
      <c r="L43" s="35">
        <f t="shared" si="0"/>
        <v>567</v>
      </c>
      <c r="M43" s="36">
        <f t="shared" si="1"/>
        <v>81</v>
      </c>
      <c r="N43" s="35" t="str">
        <f t="shared" si="2"/>
        <v>PASS</v>
      </c>
      <c r="O43" t="str">
        <f t="shared" si="3"/>
        <v>First Class</v>
      </c>
      <c r="P43" t="str">
        <f t="shared" si="4"/>
        <v>No</v>
      </c>
    </row>
    <row r="44" spans="1:16" ht="15.5" hidden="1" x14ac:dyDescent="0.35">
      <c r="A44" s="34">
        <v>38</v>
      </c>
      <c r="B44" s="35" t="s">
        <v>237</v>
      </c>
      <c r="C44" s="35" t="s">
        <v>194</v>
      </c>
      <c r="D44" s="35" t="s">
        <v>185</v>
      </c>
      <c r="E44" s="35">
        <v>92</v>
      </c>
      <c r="F44" s="35">
        <v>96</v>
      </c>
      <c r="G44" s="35">
        <v>54</v>
      </c>
      <c r="H44" s="35">
        <v>91</v>
      </c>
      <c r="I44" s="35">
        <v>93</v>
      </c>
      <c r="J44" s="35">
        <v>74</v>
      </c>
      <c r="K44" s="35">
        <v>89</v>
      </c>
      <c r="L44" s="35">
        <f t="shared" si="0"/>
        <v>589</v>
      </c>
      <c r="M44" s="36">
        <f t="shared" si="1"/>
        <v>84.142857142857139</v>
      </c>
      <c r="N44" s="35" t="str">
        <f t="shared" si="2"/>
        <v>FAIL</v>
      </c>
      <c r="O44" t="str">
        <f t="shared" si="3"/>
        <v>Second Class</v>
      </c>
      <c r="P44" t="str">
        <f t="shared" si="4"/>
        <v>No</v>
      </c>
    </row>
    <row r="45" spans="1:16" ht="15.5" hidden="1" x14ac:dyDescent="0.35">
      <c r="A45" s="34">
        <v>39</v>
      </c>
      <c r="B45" s="35" t="s">
        <v>238</v>
      </c>
      <c r="C45" s="35" t="s">
        <v>197</v>
      </c>
      <c r="D45" s="35" t="s">
        <v>181</v>
      </c>
      <c r="E45" s="35">
        <v>75</v>
      </c>
      <c r="F45" s="35">
        <v>95</v>
      </c>
      <c r="G45" s="35">
        <v>63</v>
      </c>
      <c r="H45" s="35">
        <v>65</v>
      </c>
      <c r="I45" s="35">
        <v>85</v>
      </c>
      <c r="J45" s="35">
        <v>89</v>
      </c>
      <c r="K45" s="35">
        <v>92</v>
      </c>
      <c r="L45" s="35">
        <f t="shared" si="0"/>
        <v>564</v>
      </c>
      <c r="M45" s="36">
        <f t="shared" si="1"/>
        <v>80.571428571428569</v>
      </c>
      <c r="N45" s="35" t="str">
        <f t="shared" si="2"/>
        <v>PASS</v>
      </c>
      <c r="O45" t="str">
        <f t="shared" si="3"/>
        <v>Second Class</v>
      </c>
      <c r="P45" t="str">
        <f t="shared" si="4"/>
        <v>No</v>
      </c>
    </row>
    <row r="46" spans="1:16" ht="15.5" hidden="1" x14ac:dyDescent="0.35">
      <c r="A46" s="34">
        <v>40</v>
      </c>
      <c r="B46" s="35" t="s">
        <v>218</v>
      </c>
      <c r="C46" s="35" t="s">
        <v>199</v>
      </c>
      <c r="D46" s="35" t="s">
        <v>185</v>
      </c>
      <c r="E46" s="35">
        <v>68</v>
      </c>
      <c r="F46" s="35">
        <v>88</v>
      </c>
      <c r="G46" s="35">
        <v>56</v>
      </c>
      <c r="H46" s="35">
        <v>58</v>
      </c>
      <c r="I46" s="35">
        <v>78</v>
      </c>
      <c r="J46" s="35">
        <v>92</v>
      </c>
      <c r="K46" s="35">
        <v>89</v>
      </c>
      <c r="L46" s="35">
        <f t="shared" si="0"/>
        <v>529</v>
      </c>
      <c r="M46" s="36">
        <f t="shared" si="1"/>
        <v>75.571428571428569</v>
      </c>
      <c r="N46" s="35" t="str">
        <f t="shared" si="2"/>
        <v>FAIL</v>
      </c>
      <c r="O46" t="str">
        <f t="shared" si="3"/>
        <v>First Class</v>
      </c>
      <c r="P46" t="str">
        <f t="shared" si="4"/>
        <v>No</v>
      </c>
    </row>
    <row r="47" spans="1:16" ht="15.5" hidden="1" x14ac:dyDescent="0.35">
      <c r="A47" s="34">
        <v>41</v>
      </c>
      <c r="B47" s="35" t="s">
        <v>239</v>
      </c>
      <c r="C47" s="35" t="s">
        <v>199</v>
      </c>
      <c r="D47" s="35" t="s">
        <v>179</v>
      </c>
      <c r="E47" s="35">
        <v>75</v>
      </c>
      <c r="F47" s="35">
        <v>50</v>
      </c>
      <c r="G47" s="35">
        <v>42</v>
      </c>
      <c r="H47" s="35">
        <v>45</v>
      </c>
      <c r="I47" s="35">
        <v>70</v>
      </c>
      <c r="J47" s="35">
        <v>89</v>
      </c>
      <c r="K47" s="35">
        <v>78</v>
      </c>
      <c r="L47" s="35">
        <f t="shared" si="0"/>
        <v>449</v>
      </c>
      <c r="M47" s="36">
        <f t="shared" si="1"/>
        <v>64.142857142857139</v>
      </c>
      <c r="N47" s="35" t="str">
        <f t="shared" si="2"/>
        <v>FAIL</v>
      </c>
      <c r="O47" t="str">
        <f t="shared" si="3"/>
        <v>First Class</v>
      </c>
      <c r="P47" t="str">
        <f t="shared" si="4"/>
        <v>No</v>
      </c>
    </row>
    <row r="48" spans="1:16" ht="15.5" hidden="1" x14ac:dyDescent="0.35">
      <c r="A48" s="34">
        <v>42</v>
      </c>
      <c r="B48" s="35" t="s">
        <v>240</v>
      </c>
      <c r="C48" s="35" t="s">
        <v>219</v>
      </c>
      <c r="D48" s="35" t="s">
        <v>181</v>
      </c>
      <c r="E48" s="35">
        <v>79</v>
      </c>
      <c r="F48" s="35">
        <v>79</v>
      </c>
      <c r="G48" s="35">
        <v>90</v>
      </c>
      <c r="H48" s="35">
        <v>68</v>
      </c>
      <c r="I48" s="35">
        <v>55</v>
      </c>
      <c r="J48" s="35">
        <v>78</v>
      </c>
      <c r="K48" s="35">
        <v>88</v>
      </c>
      <c r="L48" s="35">
        <f t="shared" si="0"/>
        <v>537</v>
      </c>
      <c r="M48" s="36">
        <f t="shared" si="1"/>
        <v>76.714285714285708</v>
      </c>
      <c r="N48" s="35" t="str">
        <f t="shared" si="2"/>
        <v>FAIL</v>
      </c>
      <c r="O48" t="str">
        <f t="shared" si="3"/>
        <v>First Class</v>
      </c>
      <c r="P48" t="str">
        <f t="shared" si="4"/>
        <v>No</v>
      </c>
    </row>
    <row r="49" spans="1:16" ht="15.5" hidden="1" x14ac:dyDescent="0.35">
      <c r="A49" s="34">
        <v>43</v>
      </c>
      <c r="B49" s="35" t="s">
        <v>241</v>
      </c>
      <c r="C49" s="35" t="s">
        <v>221</v>
      </c>
      <c r="D49" s="35" t="s">
        <v>181</v>
      </c>
      <c r="E49" s="35">
        <v>85</v>
      </c>
      <c r="F49" s="35">
        <v>73</v>
      </c>
      <c r="G49" s="35">
        <v>76</v>
      </c>
      <c r="H49" s="35">
        <v>71</v>
      </c>
      <c r="I49" s="35">
        <v>97</v>
      </c>
      <c r="J49" s="35">
        <v>88</v>
      </c>
      <c r="K49" s="35">
        <v>81</v>
      </c>
      <c r="L49" s="35">
        <f t="shared" si="0"/>
        <v>571</v>
      </c>
      <c r="M49" s="36">
        <f t="shared" si="1"/>
        <v>81.571428571428569</v>
      </c>
      <c r="N49" s="35" t="str">
        <f t="shared" si="2"/>
        <v>PASS</v>
      </c>
      <c r="O49" t="str">
        <f t="shared" si="3"/>
        <v>First Class</v>
      </c>
      <c r="P49" t="str">
        <f t="shared" si="4"/>
        <v>No</v>
      </c>
    </row>
    <row r="50" spans="1:16" ht="15.5" hidden="1" x14ac:dyDescent="0.35">
      <c r="A50" s="34">
        <v>44</v>
      </c>
      <c r="B50" s="35" t="s">
        <v>242</v>
      </c>
      <c r="C50" s="35" t="s">
        <v>223</v>
      </c>
      <c r="D50" s="35" t="s">
        <v>185</v>
      </c>
      <c r="E50" s="35">
        <v>84</v>
      </c>
      <c r="F50" s="35">
        <v>87</v>
      </c>
      <c r="G50" s="35">
        <v>75</v>
      </c>
      <c r="H50" s="35">
        <v>69</v>
      </c>
      <c r="I50" s="35">
        <v>79</v>
      </c>
      <c r="J50" s="35">
        <v>81</v>
      </c>
      <c r="K50" s="35">
        <v>91</v>
      </c>
      <c r="L50" s="35">
        <f t="shared" si="0"/>
        <v>566</v>
      </c>
      <c r="M50" s="36">
        <f t="shared" si="1"/>
        <v>80.857142857142861</v>
      </c>
      <c r="N50" s="35" t="str">
        <f t="shared" si="2"/>
        <v>PASS</v>
      </c>
      <c r="O50" t="str">
        <f t="shared" si="3"/>
        <v>First Class</v>
      </c>
      <c r="P50" t="str">
        <f t="shared" si="4"/>
        <v>No</v>
      </c>
    </row>
    <row r="51" spans="1:16" ht="15.5" hidden="1" x14ac:dyDescent="0.35">
      <c r="A51" s="34">
        <v>45</v>
      </c>
      <c r="B51" s="35" t="s">
        <v>243</v>
      </c>
      <c r="C51" s="35" t="s">
        <v>225</v>
      </c>
      <c r="D51" s="35" t="s">
        <v>185</v>
      </c>
      <c r="E51" s="35">
        <v>72</v>
      </c>
      <c r="F51" s="35">
        <v>78</v>
      </c>
      <c r="G51" s="35">
        <v>58</v>
      </c>
      <c r="H51" s="35">
        <v>62</v>
      </c>
      <c r="I51" s="35">
        <v>64</v>
      </c>
      <c r="J51" s="35">
        <v>91</v>
      </c>
      <c r="K51" s="35">
        <v>93</v>
      </c>
      <c r="L51" s="35">
        <f t="shared" si="0"/>
        <v>518</v>
      </c>
      <c r="M51" s="36">
        <f t="shared" si="1"/>
        <v>74</v>
      </c>
      <c r="N51" s="35" t="str">
        <f t="shared" si="2"/>
        <v>FAIL</v>
      </c>
      <c r="O51" t="str">
        <f t="shared" si="3"/>
        <v>First Class</v>
      </c>
      <c r="P51" t="str">
        <f t="shared" si="4"/>
        <v>No</v>
      </c>
    </row>
    <row r="52" spans="1:16" ht="15.5" hidden="1" x14ac:dyDescent="0.35">
      <c r="A52" s="34">
        <v>46</v>
      </c>
      <c r="B52" s="35" t="s">
        <v>244</v>
      </c>
      <c r="C52" s="35" t="s">
        <v>227</v>
      </c>
      <c r="D52" s="35" t="s">
        <v>185</v>
      </c>
      <c r="E52" s="35">
        <v>77</v>
      </c>
      <c r="F52" s="35">
        <v>80</v>
      </c>
      <c r="G52" s="35">
        <v>52</v>
      </c>
      <c r="H52" s="35">
        <v>62</v>
      </c>
      <c r="I52" s="35">
        <v>76</v>
      </c>
      <c r="J52" s="35">
        <v>93</v>
      </c>
      <c r="K52" s="35">
        <v>85</v>
      </c>
      <c r="L52" s="35">
        <f t="shared" si="0"/>
        <v>525</v>
      </c>
      <c r="M52" s="36">
        <f t="shared" si="1"/>
        <v>75</v>
      </c>
      <c r="N52" s="35" t="str">
        <f t="shared" si="2"/>
        <v>FAIL</v>
      </c>
      <c r="O52" t="str">
        <f t="shared" si="3"/>
        <v>Pass</v>
      </c>
      <c r="P52" t="str">
        <f t="shared" si="4"/>
        <v>No</v>
      </c>
    </row>
    <row r="53" spans="1:16" ht="15.5" hidden="1" x14ac:dyDescent="0.35">
      <c r="A53" s="34">
        <v>47</v>
      </c>
      <c r="B53" s="35" t="s">
        <v>242</v>
      </c>
      <c r="C53" s="35" t="s">
        <v>199</v>
      </c>
      <c r="D53" s="35" t="s">
        <v>185</v>
      </c>
      <c r="E53" s="35">
        <v>87</v>
      </c>
      <c r="F53" s="35">
        <v>90</v>
      </c>
      <c r="G53" s="35">
        <v>51</v>
      </c>
      <c r="H53" s="35">
        <v>72</v>
      </c>
      <c r="I53" s="35">
        <v>61</v>
      </c>
      <c r="J53" s="35">
        <v>85</v>
      </c>
      <c r="K53" s="35">
        <v>78</v>
      </c>
      <c r="L53" s="35">
        <f t="shared" si="0"/>
        <v>524</v>
      </c>
      <c r="M53" s="36">
        <f t="shared" si="1"/>
        <v>74.857142857142861</v>
      </c>
      <c r="N53" s="35" t="str">
        <f t="shared" si="2"/>
        <v>FAIL</v>
      </c>
      <c r="O53" t="str">
        <f t="shared" si="3"/>
        <v>First Class</v>
      </c>
      <c r="P53" t="str">
        <f t="shared" si="4"/>
        <v>No</v>
      </c>
    </row>
    <row r="54" spans="1:16" ht="15.5" hidden="1" x14ac:dyDescent="0.35">
      <c r="A54" s="34">
        <v>48</v>
      </c>
      <c r="B54" s="35" t="s">
        <v>245</v>
      </c>
      <c r="C54" s="35" t="s">
        <v>203</v>
      </c>
      <c r="D54" s="35" t="s">
        <v>185</v>
      </c>
      <c r="E54" s="35">
        <v>87</v>
      </c>
      <c r="F54" s="35">
        <v>75</v>
      </c>
      <c r="G54" s="35">
        <v>35</v>
      </c>
      <c r="H54" s="35">
        <v>73</v>
      </c>
      <c r="I54" s="35">
        <v>85</v>
      </c>
      <c r="J54" s="35">
        <v>78</v>
      </c>
      <c r="K54" s="35">
        <v>70</v>
      </c>
      <c r="L54" s="35">
        <f t="shared" si="0"/>
        <v>503</v>
      </c>
      <c r="M54" s="36">
        <f t="shared" si="1"/>
        <v>71.857142857142861</v>
      </c>
      <c r="N54" s="35" t="str">
        <f t="shared" si="2"/>
        <v>FAIL</v>
      </c>
      <c r="O54" t="str">
        <f t="shared" si="3"/>
        <v>First Class</v>
      </c>
      <c r="P54" t="str">
        <f t="shared" si="4"/>
        <v>No</v>
      </c>
    </row>
    <row r="55" spans="1:16" ht="15.5" hidden="1" x14ac:dyDescent="0.35">
      <c r="A55" s="34">
        <v>49</v>
      </c>
      <c r="B55" s="35" t="s">
        <v>246</v>
      </c>
      <c r="C55" s="35" t="s">
        <v>203</v>
      </c>
      <c r="D55" s="35" t="s">
        <v>185</v>
      </c>
      <c r="E55" s="35">
        <v>86</v>
      </c>
      <c r="F55" s="35">
        <v>68</v>
      </c>
      <c r="G55" s="35">
        <v>77</v>
      </c>
      <c r="H55" s="35">
        <v>71</v>
      </c>
      <c r="I55" s="35">
        <v>94</v>
      </c>
      <c r="J55" s="35">
        <v>70</v>
      </c>
      <c r="K55" s="35">
        <v>55</v>
      </c>
      <c r="L55" s="35">
        <f t="shared" si="0"/>
        <v>521</v>
      </c>
      <c r="M55" s="36">
        <f t="shared" si="1"/>
        <v>74.428571428571431</v>
      </c>
      <c r="N55" s="35" t="str">
        <f t="shared" si="2"/>
        <v>FAIL</v>
      </c>
      <c r="O55" t="str">
        <f t="shared" si="3"/>
        <v>First Class</v>
      </c>
      <c r="P55" t="str">
        <f t="shared" si="4"/>
        <v>No</v>
      </c>
    </row>
    <row r="56" spans="1:16" ht="15.5" hidden="1" x14ac:dyDescent="0.35">
      <c r="A56" s="34">
        <v>50</v>
      </c>
      <c r="B56" s="35" t="s">
        <v>247</v>
      </c>
      <c r="C56" s="35" t="s">
        <v>206</v>
      </c>
      <c r="D56" s="35" t="s">
        <v>185</v>
      </c>
      <c r="E56" s="35">
        <v>74</v>
      </c>
      <c r="F56" s="35">
        <v>80</v>
      </c>
      <c r="G56" s="35">
        <v>60</v>
      </c>
      <c r="H56" s="35">
        <v>64</v>
      </c>
      <c r="I56" s="35">
        <v>70</v>
      </c>
      <c r="J56" s="35">
        <v>55</v>
      </c>
      <c r="K56" s="35">
        <v>97</v>
      </c>
      <c r="L56" s="35">
        <f t="shared" si="0"/>
        <v>500</v>
      </c>
      <c r="M56" s="36">
        <f t="shared" si="1"/>
        <v>71.428571428571431</v>
      </c>
      <c r="N56" s="35" t="str">
        <f t="shared" si="2"/>
        <v>FAIL</v>
      </c>
      <c r="O56" t="str">
        <f t="shared" si="3"/>
        <v>Second Class</v>
      </c>
      <c r="P56" t="str">
        <f t="shared" si="4"/>
        <v>No</v>
      </c>
    </row>
    <row r="57" spans="1:16" ht="15.5" hidden="1" x14ac:dyDescent="0.35">
      <c r="A57" s="34">
        <v>51</v>
      </c>
      <c r="B57" s="35" t="s">
        <v>248</v>
      </c>
      <c r="C57" s="35" t="s">
        <v>206</v>
      </c>
      <c r="D57" s="35" t="s">
        <v>185</v>
      </c>
      <c r="E57" s="35">
        <v>89</v>
      </c>
      <c r="F57" s="35">
        <v>71</v>
      </c>
      <c r="G57" s="35">
        <v>54</v>
      </c>
      <c r="H57" s="35">
        <v>74</v>
      </c>
      <c r="I57" s="35">
        <v>56</v>
      </c>
      <c r="J57" s="35">
        <v>97</v>
      </c>
      <c r="K57" s="35">
        <v>79</v>
      </c>
      <c r="L57" s="35">
        <f t="shared" si="0"/>
        <v>520</v>
      </c>
      <c r="M57" s="36">
        <f t="shared" si="1"/>
        <v>74.285714285714292</v>
      </c>
      <c r="N57" s="35" t="str">
        <f t="shared" si="2"/>
        <v>FAIL</v>
      </c>
      <c r="O57" t="str">
        <f t="shared" si="3"/>
        <v>First Class</v>
      </c>
      <c r="P57" t="str">
        <f t="shared" si="4"/>
        <v>No</v>
      </c>
    </row>
    <row r="58" spans="1:16" ht="15.5" hidden="1" x14ac:dyDescent="0.35">
      <c r="A58" s="34">
        <v>52</v>
      </c>
      <c r="B58" s="35" t="s">
        <v>249</v>
      </c>
      <c r="C58" s="35" t="s">
        <v>209</v>
      </c>
      <c r="D58" s="35" t="s">
        <v>179</v>
      </c>
      <c r="E58" s="35">
        <v>92</v>
      </c>
      <c r="F58" s="35">
        <v>74</v>
      </c>
      <c r="G58" s="35">
        <v>63</v>
      </c>
      <c r="H58" s="35">
        <v>77</v>
      </c>
      <c r="I58" s="35">
        <v>42</v>
      </c>
      <c r="J58" s="35">
        <v>79</v>
      </c>
      <c r="K58" s="35">
        <v>64</v>
      </c>
      <c r="L58" s="35">
        <f t="shared" si="0"/>
        <v>491</v>
      </c>
      <c r="M58" s="36">
        <f t="shared" si="1"/>
        <v>70.142857142857139</v>
      </c>
      <c r="N58" s="35" t="str">
        <f t="shared" si="2"/>
        <v>FAIL</v>
      </c>
      <c r="O58" t="str">
        <f t="shared" si="3"/>
        <v>Second Class</v>
      </c>
      <c r="P58" t="str">
        <f t="shared" si="4"/>
        <v>No</v>
      </c>
    </row>
    <row r="59" spans="1:16" ht="15.5" hidden="1" x14ac:dyDescent="0.35">
      <c r="A59" s="34">
        <v>53</v>
      </c>
      <c r="B59" s="35" t="s">
        <v>250</v>
      </c>
      <c r="C59" s="35" t="s">
        <v>211</v>
      </c>
      <c r="D59" s="35" t="s">
        <v>179</v>
      </c>
      <c r="E59" s="35">
        <v>89</v>
      </c>
      <c r="F59" s="35">
        <v>77</v>
      </c>
      <c r="G59" s="35">
        <v>66</v>
      </c>
      <c r="H59" s="35">
        <v>75</v>
      </c>
      <c r="I59" s="35">
        <v>90</v>
      </c>
      <c r="J59" s="35">
        <v>64</v>
      </c>
      <c r="K59" s="35">
        <v>76</v>
      </c>
      <c r="L59" s="35">
        <f t="shared" si="0"/>
        <v>537</v>
      </c>
      <c r="M59" s="36">
        <f t="shared" si="1"/>
        <v>76.714285714285708</v>
      </c>
      <c r="N59" s="35" t="str">
        <f t="shared" si="2"/>
        <v>PASS</v>
      </c>
      <c r="O59" t="str">
        <f t="shared" si="3"/>
        <v>Second Class</v>
      </c>
      <c r="P59" t="str">
        <f t="shared" si="4"/>
        <v>No</v>
      </c>
    </row>
    <row r="60" spans="1:16" ht="15.5" hidden="1" x14ac:dyDescent="0.35">
      <c r="A60" s="34">
        <v>54</v>
      </c>
      <c r="B60" s="35" t="s">
        <v>251</v>
      </c>
      <c r="C60" s="35" t="s">
        <v>213</v>
      </c>
      <c r="D60" s="35" t="s">
        <v>179</v>
      </c>
      <c r="E60" s="35">
        <v>78</v>
      </c>
      <c r="F60" s="35">
        <v>81</v>
      </c>
      <c r="G60" s="35">
        <v>79</v>
      </c>
      <c r="H60" s="35">
        <v>63</v>
      </c>
      <c r="I60" s="35">
        <v>76</v>
      </c>
      <c r="J60" s="35">
        <v>76</v>
      </c>
      <c r="K60" s="35">
        <v>61</v>
      </c>
      <c r="L60" s="35">
        <f t="shared" si="0"/>
        <v>514</v>
      </c>
      <c r="M60" s="36">
        <f t="shared" si="1"/>
        <v>73.428571428571431</v>
      </c>
      <c r="N60" s="35" t="str">
        <f t="shared" si="2"/>
        <v>PASS</v>
      </c>
      <c r="O60" t="str">
        <f t="shared" si="3"/>
        <v>Second Class</v>
      </c>
      <c r="P60" t="str">
        <f t="shared" si="4"/>
        <v>No</v>
      </c>
    </row>
    <row r="61" spans="1:16" ht="15.5" hidden="1" x14ac:dyDescent="0.35">
      <c r="A61" s="34">
        <v>55</v>
      </c>
      <c r="B61" s="35" t="s">
        <v>252</v>
      </c>
      <c r="C61" s="35" t="s">
        <v>206</v>
      </c>
      <c r="D61" s="35" t="s">
        <v>179</v>
      </c>
      <c r="E61" s="35">
        <v>88</v>
      </c>
      <c r="F61" s="35">
        <v>91</v>
      </c>
      <c r="G61" s="35">
        <v>52</v>
      </c>
      <c r="H61" s="35">
        <v>73</v>
      </c>
      <c r="I61" s="35">
        <v>75</v>
      </c>
      <c r="J61" s="35">
        <v>61</v>
      </c>
      <c r="K61" s="35">
        <v>85</v>
      </c>
      <c r="L61" s="35">
        <f t="shared" si="0"/>
        <v>525</v>
      </c>
      <c r="M61" s="36">
        <f t="shared" si="1"/>
        <v>75</v>
      </c>
      <c r="N61" s="35" t="str">
        <f t="shared" si="2"/>
        <v>FAIL</v>
      </c>
      <c r="O61" t="str">
        <f t="shared" si="3"/>
        <v>Second Class</v>
      </c>
      <c r="P61" t="str">
        <f t="shared" si="4"/>
        <v>No</v>
      </c>
    </row>
    <row r="62" spans="1:16" ht="15.5" hidden="1" x14ac:dyDescent="0.35">
      <c r="A62" s="34">
        <v>56</v>
      </c>
      <c r="B62" s="35" t="s">
        <v>253</v>
      </c>
      <c r="C62" s="35" t="s">
        <v>211</v>
      </c>
      <c r="D62" s="35" t="s">
        <v>179</v>
      </c>
      <c r="E62" s="35">
        <v>81</v>
      </c>
      <c r="F62" s="35">
        <v>84</v>
      </c>
      <c r="G62" s="35">
        <v>62</v>
      </c>
      <c r="H62" s="35">
        <v>66</v>
      </c>
      <c r="I62" s="35">
        <v>58</v>
      </c>
      <c r="J62" s="35">
        <v>85</v>
      </c>
      <c r="K62" s="35">
        <v>94</v>
      </c>
      <c r="L62" s="35">
        <f t="shared" si="0"/>
        <v>530</v>
      </c>
      <c r="M62" s="36">
        <f t="shared" si="1"/>
        <v>75.714285714285708</v>
      </c>
      <c r="N62" s="35" t="str">
        <f t="shared" si="2"/>
        <v>FAIL</v>
      </c>
      <c r="O62" t="str">
        <f t="shared" si="3"/>
        <v>Second Class</v>
      </c>
      <c r="P62" t="str">
        <f t="shared" si="4"/>
        <v>No</v>
      </c>
    </row>
    <row r="63" spans="1:16" ht="15.5" hidden="1" x14ac:dyDescent="0.35">
      <c r="A63" s="34">
        <v>57</v>
      </c>
      <c r="B63" s="35" t="s">
        <v>254</v>
      </c>
      <c r="C63" s="35" t="s">
        <v>213</v>
      </c>
      <c r="D63" s="35" t="s">
        <v>179</v>
      </c>
      <c r="E63" s="35">
        <v>91</v>
      </c>
      <c r="F63" s="35">
        <v>73</v>
      </c>
      <c r="G63" s="35">
        <v>55</v>
      </c>
      <c r="H63" s="35">
        <v>76</v>
      </c>
      <c r="I63" s="35">
        <v>52</v>
      </c>
      <c r="J63" s="35">
        <v>94</v>
      </c>
      <c r="K63" s="35">
        <v>70</v>
      </c>
      <c r="L63" s="35">
        <f t="shared" si="0"/>
        <v>511</v>
      </c>
      <c r="M63" s="36">
        <f t="shared" si="1"/>
        <v>73</v>
      </c>
      <c r="N63" s="35" t="str">
        <f t="shared" si="2"/>
        <v>FAIL</v>
      </c>
      <c r="O63" t="str">
        <f t="shared" si="3"/>
        <v>Second Class</v>
      </c>
      <c r="P63" t="str">
        <f t="shared" si="4"/>
        <v>No</v>
      </c>
    </row>
    <row r="64" spans="1:16" ht="15.5" hidden="1" x14ac:dyDescent="0.35">
      <c r="A64" s="34">
        <v>58</v>
      </c>
      <c r="B64" s="35" t="s">
        <v>255</v>
      </c>
      <c r="C64" s="35" t="s">
        <v>206</v>
      </c>
      <c r="D64" s="35" t="s">
        <v>179</v>
      </c>
      <c r="E64" s="35">
        <v>93</v>
      </c>
      <c r="F64" s="35">
        <v>97</v>
      </c>
      <c r="G64" s="35">
        <v>65</v>
      </c>
      <c r="H64" s="35">
        <v>92</v>
      </c>
      <c r="I64" s="35">
        <v>51</v>
      </c>
      <c r="J64" s="35">
        <v>70</v>
      </c>
      <c r="K64" s="35">
        <v>82</v>
      </c>
      <c r="L64" s="35">
        <f t="shared" si="0"/>
        <v>550</v>
      </c>
      <c r="M64" s="36">
        <f t="shared" si="1"/>
        <v>78.571428571428569</v>
      </c>
      <c r="N64" s="35" t="str">
        <f t="shared" si="2"/>
        <v>FAIL</v>
      </c>
      <c r="O64" t="str">
        <f t="shared" si="3"/>
        <v>First Class</v>
      </c>
      <c r="P64" t="str">
        <f t="shared" si="4"/>
        <v>No</v>
      </c>
    </row>
    <row r="65" spans="1:16" ht="15.5" hidden="1" x14ac:dyDescent="0.35">
      <c r="A65" s="34">
        <v>59</v>
      </c>
      <c r="B65" s="35" t="s">
        <v>252</v>
      </c>
      <c r="C65" s="35" t="s">
        <v>206</v>
      </c>
      <c r="D65" s="35" t="s">
        <v>179</v>
      </c>
      <c r="E65" s="35">
        <v>85</v>
      </c>
      <c r="F65" s="35">
        <v>91</v>
      </c>
      <c r="G65" s="35">
        <v>91</v>
      </c>
      <c r="H65" s="35">
        <v>75</v>
      </c>
      <c r="I65" s="35">
        <v>85</v>
      </c>
      <c r="J65" s="35">
        <v>75</v>
      </c>
      <c r="K65" s="35">
        <v>96</v>
      </c>
      <c r="L65" s="35">
        <f t="shared" si="0"/>
        <v>598</v>
      </c>
      <c r="M65" s="36">
        <f t="shared" si="1"/>
        <v>85.428571428571431</v>
      </c>
      <c r="N65" s="35" t="str">
        <f t="shared" si="2"/>
        <v>PASS</v>
      </c>
      <c r="O65" t="str">
        <f t="shared" si="3"/>
        <v>Second Class</v>
      </c>
      <c r="P65" t="str">
        <f t="shared" si="4"/>
        <v>No</v>
      </c>
    </row>
    <row r="66" spans="1:16" ht="15.5" hidden="1" x14ac:dyDescent="0.35">
      <c r="A66" s="34">
        <v>60</v>
      </c>
      <c r="B66" s="35" t="s">
        <v>256</v>
      </c>
      <c r="C66" s="35" t="s">
        <v>217</v>
      </c>
      <c r="D66" s="35" t="s">
        <v>181</v>
      </c>
      <c r="E66" s="35">
        <v>78</v>
      </c>
      <c r="F66" s="35">
        <v>84</v>
      </c>
      <c r="G66" s="35">
        <v>65</v>
      </c>
      <c r="H66" s="35">
        <v>68</v>
      </c>
      <c r="I66" s="35">
        <v>84</v>
      </c>
      <c r="J66" s="35">
        <v>79</v>
      </c>
      <c r="K66" s="35">
        <v>90</v>
      </c>
      <c r="L66" s="35">
        <f t="shared" si="0"/>
        <v>548</v>
      </c>
      <c r="M66" s="36">
        <f t="shared" si="1"/>
        <v>78.285714285714292</v>
      </c>
      <c r="N66" s="35" t="str">
        <f t="shared" si="2"/>
        <v>PASS</v>
      </c>
      <c r="O66" t="str">
        <f t="shared" si="3"/>
        <v>First Class</v>
      </c>
      <c r="P66" t="str">
        <f t="shared" si="4"/>
        <v>No</v>
      </c>
    </row>
    <row r="67" spans="1:16" ht="15.5" hidden="1" x14ac:dyDescent="0.35">
      <c r="A67" s="34">
        <v>61</v>
      </c>
      <c r="B67" s="35" t="s">
        <v>257</v>
      </c>
      <c r="C67" s="35" t="s">
        <v>219</v>
      </c>
      <c r="D67" s="35" t="s">
        <v>181</v>
      </c>
      <c r="E67" s="35">
        <v>90</v>
      </c>
      <c r="F67" s="35">
        <v>79</v>
      </c>
      <c r="G67" s="35">
        <v>58</v>
      </c>
      <c r="H67" s="35">
        <v>75</v>
      </c>
      <c r="I67" s="35">
        <v>72</v>
      </c>
      <c r="J67" s="35">
        <v>85</v>
      </c>
      <c r="K67" s="35">
        <v>85</v>
      </c>
      <c r="L67" s="35">
        <f t="shared" si="0"/>
        <v>544</v>
      </c>
      <c r="M67" s="36">
        <f t="shared" si="1"/>
        <v>77.714285714285708</v>
      </c>
      <c r="N67" s="35" t="str">
        <f t="shared" si="2"/>
        <v>FAIL</v>
      </c>
      <c r="O67" t="str">
        <f t="shared" si="3"/>
        <v>First Class</v>
      </c>
      <c r="P67" t="str">
        <f t="shared" si="4"/>
        <v>No</v>
      </c>
    </row>
    <row r="68" spans="1:16" ht="15.5" hidden="1" x14ac:dyDescent="0.35">
      <c r="A68" s="34">
        <v>62</v>
      </c>
      <c r="B68" s="35" t="s">
        <v>258</v>
      </c>
      <c r="C68" s="35" t="s">
        <v>221</v>
      </c>
      <c r="D68" s="35" t="s">
        <v>181</v>
      </c>
      <c r="E68" s="35">
        <v>45</v>
      </c>
      <c r="F68" s="35">
        <v>64</v>
      </c>
      <c r="G68" s="35">
        <v>45</v>
      </c>
      <c r="H68" s="35">
        <v>79</v>
      </c>
      <c r="I68" s="35">
        <v>77</v>
      </c>
      <c r="J68" s="35">
        <v>84</v>
      </c>
      <c r="K68" s="35">
        <v>39</v>
      </c>
      <c r="L68" s="35">
        <f t="shared" si="0"/>
        <v>433</v>
      </c>
      <c r="M68" s="36">
        <f t="shared" si="1"/>
        <v>61.857142857142854</v>
      </c>
      <c r="N68" s="35" t="str">
        <f t="shared" si="2"/>
        <v>FAIL</v>
      </c>
      <c r="O68" t="str">
        <f t="shared" si="3"/>
        <v>Second Class</v>
      </c>
      <c r="P68" t="str">
        <f t="shared" si="4"/>
        <v>No</v>
      </c>
    </row>
    <row r="69" spans="1:16" ht="15.5" hidden="1" x14ac:dyDescent="0.35">
      <c r="A69" s="34">
        <v>63</v>
      </c>
      <c r="B69" s="35" t="s">
        <v>259</v>
      </c>
      <c r="C69" s="35" t="s">
        <v>223</v>
      </c>
      <c r="D69" s="35" t="s">
        <v>181</v>
      </c>
      <c r="E69" s="35">
        <v>75</v>
      </c>
      <c r="F69" s="35">
        <v>76</v>
      </c>
      <c r="G69" s="35">
        <v>68</v>
      </c>
      <c r="H69" s="35">
        <v>85</v>
      </c>
      <c r="I69" s="35">
        <v>87</v>
      </c>
      <c r="J69" s="35">
        <v>72</v>
      </c>
      <c r="K69" s="35">
        <v>84</v>
      </c>
      <c r="L69" s="35">
        <f t="shared" si="0"/>
        <v>547</v>
      </c>
      <c r="M69" s="36">
        <f t="shared" si="1"/>
        <v>78.142857142857139</v>
      </c>
      <c r="N69" s="35" t="str">
        <f t="shared" si="2"/>
        <v>PASS</v>
      </c>
      <c r="O69" t="str">
        <f t="shared" si="3"/>
        <v>First Class</v>
      </c>
      <c r="P69" t="str">
        <f t="shared" si="4"/>
        <v>No</v>
      </c>
    </row>
    <row r="70" spans="1:16" ht="15.5" x14ac:dyDescent="0.35">
      <c r="A70" s="34">
        <v>64</v>
      </c>
      <c r="B70" s="35" t="s">
        <v>260</v>
      </c>
      <c r="C70" s="35" t="s">
        <v>225</v>
      </c>
      <c r="D70" s="35" t="s">
        <v>181</v>
      </c>
      <c r="E70" s="35">
        <v>99</v>
      </c>
      <c r="F70" s="35">
        <v>61</v>
      </c>
      <c r="G70" s="35">
        <v>71</v>
      </c>
      <c r="H70" s="35">
        <v>84</v>
      </c>
      <c r="I70" s="35">
        <v>87</v>
      </c>
      <c r="J70" s="35">
        <v>77</v>
      </c>
      <c r="K70" s="35">
        <v>92</v>
      </c>
      <c r="L70" s="35">
        <f t="shared" si="0"/>
        <v>571</v>
      </c>
      <c r="M70" s="36">
        <f t="shared" si="1"/>
        <v>81.571428571428569</v>
      </c>
      <c r="N70" s="35" t="str">
        <f t="shared" si="2"/>
        <v>PASS</v>
      </c>
      <c r="O70" t="str">
        <f t="shared" si="3"/>
        <v>Distinction</v>
      </c>
      <c r="P70" t="str">
        <f t="shared" si="4"/>
        <v>Yes</v>
      </c>
    </row>
    <row r="71" spans="1:16" ht="15.5" hidden="1" x14ac:dyDescent="0.35">
      <c r="A71" s="34">
        <v>65</v>
      </c>
      <c r="B71" s="35" t="s">
        <v>261</v>
      </c>
      <c r="C71" s="35" t="s">
        <v>227</v>
      </c>
      <c r="D71" s="35" t="s">
        <v>181</v>
      </c>
      <c r="E71" s="35">
        <v>89</v>
      </c>
      <c r="F71" s="35">
        <v>85</v>
      </c>
      <c r="G71" s="35">
        <v>69</v>
      </c>
      <c r="H71" s="35">
        <v>72</v>
      </c>
      <c r="I71" s="35">
        <v>86</v>
      </c>
      <c r="J71" s="35">
        <v>87</v>
      </c>
      <c r="K71" s="35">
        <v>95</v>
      </c>
      <c r="L71" s="35">
        <f t="shared" si="0"/>
        <v>583</v>
      </c>
      <c r="M71" s="36">
        <f t="shared" si="1"/>
        <v>83.285714285714292</v>
      </c>
      <c r="N71" s="35" t="str">
        <f t="shared" si="2"/>
        <v>PASS</v>
      </c>
      <c r="O71" t="str">
        <f t="shared" si="3"/>
        <v>First Class</v>
      </c>
      <c r="P71" t="str">
        <f t="shared" si="4"/>
        <v>No</v>
      </c>
    </row>
    <row r="72" spans="1:16" ht="15.5" hidden="1" x14ac:dyDescent="0.35">
      <c r="A72" s="34">
        <v>66</v>
      </c>
      <c r="B72" s="35" t="s">
        <v>262</v>
      </c>
      <c r="C72" s="35" t="s">
        <v>229</v>
      </c>
      <c r="D72" s="35" t="s">
        <v>181</v>
      </c>
      <c r="E72" s="35">
        <v>87</v>
      </c>
      <c r="F72" s="35">
        <v>94</v>
      </c>
      <c r="G72" s="35">
        <v>62</v>
      </c>
      <c r="H72" s="35">
        <v>77</v>
      </c>
      <c r="I72" s="35">
        <v>74</v>
      </c>
      <c r="J72" s="35">
        <v>87</v>
      </c>
      <c r="K72" s="35">
        <v>87</v>
      </c>
      <c r="L72" s="35">
        <f t="shared" ref="L72:L135" si="5">SUM(E72:K72)</f>
        <v>568</v>
      </c>
      <c r="M72" s="36">
        <f t="shared" ref="M72:M135" si="6">AVERAGE(E72:K72)</f>
        <v>81.142857142857139</v>
      </c>
      <c r="N72" s="35" t="str">
        <f t="shared" ref="N72:N135" si="7">IF(MIN(E72:K72)&gt;=60,"PASS","FAIL")</f>
        <v>PASS</v>
      </c>
      <c r="O72" t="str">
        <f t="shared" ref="O72:O135" si="8">IF(M67&gt;=85,"Distinction",IF(M67&gt;=75,"First Class",IF(M67&gt;=65,"Second Class",IF(M67&gt;=60,"Pass","Fail"))))</f>
        <v>First Class</v>
      </c>
      <c r="P72" t="str">
        <f t="shared" ref="P72:P135" si="9">IF(M67&gt;=85,"Yes","No")</f>
        <v>No</v>
      </c>
    </row>
    <row r="73" spans="1:16" ht="15.5" hidden="1" x14ac:dyDescent="0.35">
      <c r="A73" s="34">
        <v>67</v>
      </c>
      <c r="B73" s="35" t="s">
        <v>263</v>
      </c>
      <c r="C73" s="35" t="s">
        <v>231</v>
      </c>
      <c r="D73" s="35" t="s">
        <v>181</v>
      </c>
      <c r="E73" s="35">
        <v>50</v>
      </c>
      <c r="F73" s="35">
        <v>70</v>
      </c>
      <c r="G73" s="35">
        <v>62</v>
      </c>
      <c r="H73" s="35">
        <v>87</v>
      </c>
      <c r="I73" s="35">
        <v>89</v>
      </c>
      <c r="J73" s="35">
        <v>86</v>
      </c>
      <c r="K73" s="35">
        <v>81</v>
      </c>
      <c r="L73" s="35">
        <f t="shared" si="5"/>
        <v>525</v>
      </c>
      <c r="M73" s="36">
        <f t="shared" si="6"/>
        <v>75</v>
      </c>
      <c r="N73" s="35" t="str">
        <f t="shared" si="7"/>
        <v>FAIL</v>
      </c>
      <c r="O73" t="str">
        <f t="shared" si="8"/>
        <v>Pass</v>
      </c>
      <c r="P73" t="str">
        <f t="shared" si="9"/>
        <v>No</v>
      </c>
    </row>
    <row r="74" spans="1:16" ht="15.5" hidden="1" x14ac:dyDescent="0.35">
      <c r="A74" s="34">
        <v>68</v>
      </c>
      <c r="B74" s="35" t="s">
        <v>249</v>
      </c>
      <c r="C74" s="35" t="s">
        <v>232</v>
      </c>
      <c r="D74" s="35" t="s">
        <v>179</v>
      </c>
      <c r="E74" s="35">
        <v>63</v>
      </c>
      <c r="F74" s="35">
        <v>75</v>
      </c>
      <c r="G74" s="35">
        <v>72</v>
      </c>
      <c r="H74" s="35">
        <v>87</v>
      </c>
      <c r="I74" s="35">
        <v>92</v>
      </c>
      <c r="J74" s="35">
        <v>74</v>
      </c>
      <c r="K74" s="35">
        <v>91</v>
      </c>
      <c r="L74" s="35">
        <f t="shared" si="5"/>
        <v>554</v>
      </c>
      <c r="M74" s="36">
        <f t="shared" si="6"/>
        <v>79.142857142857139</v>
      </c>
      <c r="N74" s="35" t="str">
        <f t="shared" si="7"/>
        <v>PASS</v>
      </c>
      <c r="O74" t="str">
        <f t="shared" si="8"/>
        <v>First Class</v>
      </c>
      <c r="P74" t="str">
        <f t="shared" si="9"/>
        <v>No</v>
      </c>
    </row>
    <row r="75" spans="1:16" ht="15.5" hidden="1" x14ac:dyDescent="0.35">
      <c r="A75" s="34">
        <v>69</v>
      </c>
      <c r="B75" s="35" t="s">
        <v>264</v>
      </c>
      <c r="C75" s="35" t="s">
        <v>187</v>
      </c>
      <c r="D75" s="35" t="s">
        <v>179</v>
      </c>
      <c r="E75" s="35">
        <v>74</v>
      </c>
      <c r="F75" s="35">
        <v>79</v>
      </c>
      <c r="G75" s="35">
        <v>73</v>
      </c>
      <c r="H75" s="35">
        <v>86</v>
      </c>
      <c r="I75" s="35">
        <v>89</v>
      </c>
      <c r="J75" s="35">
        <v>89</v>
      </c>
      <c r="K75" s="35">
        <v>84</v>
      </c>
      <c r="L75" s="35">
        <f t="shared" si="5"/>
        <v>574</v>
      </c>
      <c r="M75" s="36">
        <f t="shared" si="6"/>
        <v>82</v>
      </c>
      <c r="N75" s="35" t="str">
        <f t="shared" si="7"/>
        <v>PASS</v>
      </c>
      <c r="O75" t="str">
        <f t="shared" si="8"/>
        <v>First Class</v>
      </c>
      <c r="P75" t="str">
        <f t="shared" si="9"/>
        <v>No</v>
      </c>
    </row>
    <row r="76" spans="1:16" ht="15.5" hidden="1" x14ac:dyDescent="0.35">
      <c r="A76" s="34">
        <v>70</v>
      </c>
      <c r="B76" s="35" t="s">
        <v>265</v>
      </c>
      <c r="C76" s="35" t="s">
        <v>191</v>
      </c>
      <c r="D76" s="35" t="s">
        <v>179</v>
      </c>
      <c r="E76" s="35">
        <v>89</v>
      </c>
      <c r="F76" s="35">
        <v>85</v>
      </c>
      <c r="G76" s="35">
        <v>71</v>
      </c>
      <c r="H76" s="35">
        <v>74</v>
      </c>
      <c r="I76" s="35">
        <v>78</v>
      </c>
      <c r="J76" s="35">
        <v>92</v>
      </c>
      <c r="K76" s="35">
        <v>94</v>
      </c>
      <c r="L76" s="35">
        <f t="shared" si="5"/>
        <v>583</v>
      </c>
      <c r="M76" s="36">
        <f t="shared" si="6"/>
        <v>83.285714285714292</v>
      </c>
      <c r="N76" s="35" t="str">
        <f t="shared" si="7"/>
        <v>PASS</v>
      </c>
      <c r="O76" t="str">
        <f t="shared" si="8"/>
        <v>First Class</v>
      </c>
      <c r="P76" t="str">
        <f t="shared" si="9"/>
        <v>No</v>
      </c>
    </row>
    <row r="77" spans="1:16" ht="15.5" hidden="1" x14ac:dyDescent="0.35">
      <c r="A77" s="34">
        <v>71</v>
      </c>
      <c r="B77" s="35" t="s">
        <v>266</v>
      </c>
      <c r="C77" s="35" t="s">
        <v>191</v>
      </c>
      <c r="D77" s="35" t="s">
        <v>179</v>
      </c>
      <c r="E77" s="35">
        <v>77</v>
      </c>
      <c r="F77" s="35">
        <v>84</v>
      </c>
      <c r="G77" s="35">
        <v>64</v>
      </c>
      <c r="H77" s="35">
        <v>89</v>
      </c>
      <c r="I77" s="35">
        <v>88</v>
      </c>
      <c r="J77" s="35">
        <v>89</v>
      </c>
      <c r="K77" s="35">
        <v>96</v>
      </c>
      <c r="L77" s="35">
        <f t="shared" si="5"/>
        <v>587</v>
      </c>
      <c r="M77" s="36">
        <f t="shared" si="6"/>
        <v>83.857142857142861</v>
      </c>
      <c r="N77" s="35" t="str">
        <f t="shared" si="7"/>
        <v>PASS</v>
      </c>
      <c r="O77" t="str">
        <f t="shared" si="8"/>
        <v>First Class</v>
      </c>
      <c r="P77" t="str">
        <f t="shared" si="9"/>
        <v>No</v>
      </c>
    </row>
    <row r="78" spans="1:16" ht="15.5" hidden="1" x14ac:dyDescent="0.35">
      <c r="A78" s="34">
        <v>72</v>
      </c>
      <c r="B78" s="35" t="s">
        <v>267</v>
      </c>
      <c r="C78" s="35" t="s">
        <v>194</v>
      </c>
      <c r="D78" s="35" t="s">
        <v>179</v>
      </c>
      <c r="E78" s="35">
        <v>85</v>
      </c>
      <c r="F78" s="35">
        <v>72</v>
      </c>
      <c r="G78" s="35">
        <v>74</v>
      </c>
      <c r="H78" s="35">
        <v>92</v>
      </c>
      <c r="I78" s="35">
        <v>81</v>
      </c>
      <c r="J78" s="35">
        <v>78</v>
      </c>
      <c r="K78" s="35">
        <v>95</v>
      </c>
      <c r="L78" s="35">
        <f t="shared" si="5"/>
        <v>577</v>
      </c>
      <c r="M78" s="36">
        <f t="shared" si="6"/>
        <v>82.428571428571431</v>
      </c>
      <c r="N78" s="35" t="str">
        <f t="shared" si="7"/>
        <v>PASS</v>
      </c>
      <c r="O78" t="str">
        <f t="shared" si="8"/>
        <v>First Class</v>
      </c>
      <c r="P78" t="str">
        <f t="shared" si="9"/>
        <v>No</v>
      </c>
    </row>
    <row r="79" spans="1:16" ht="15.5" hidden="1" x14ac:dyDescent="0.35">
      <c r="A79" s="34">
        <v>73</v>
      </c>
      <c r="B79" s="35" t="s">
        <v>268</v>
      </c>
      <c r="C79" s="35" t="s">
        <v>194</v>
      </c>
      <c r="D79" s="35" t="s">
        <v>185</v>
      </c>
      <c r="E79" s="35">
        <v>92</v>
      </c>
      <c r="F79" s="35">
        <v>77</v>
      </c>
      <c r="G79" s="35">
        <v>77</v>
      </c>
      <c r="H79" s="35">
        <v>89</v>
      </c>
      <c r="I79" s="35">
        <v>91</v>
      </c>
      <c r="J79" s="35">
        <v>88</v>
      </c>
      <c r="K79" s="35">
        <v>88</v>
      </c>
      <c r="L79" s="35">
        <f t="shared" si="5"/>
        <v>602</v>
      </c>
      <c r="M79" s="36">
        <f t="shared" si="6"/>
        <v>86</v>
      </c>
      <c r="N79" s="35" t="str">
        <f t="shared" si="7"/>
        <v>PASS</v>
      </c>
      <c r="O79" t="str">
        <f t="shared" si="8"/>
        <v>First Class</v>
      </c>
      <c r="P79" t="str">
        <f t="shared" si="9"/>
        <v>No</v>
      </c>
    </row>
    <row r="80" spans="1:16" ht="15.5" hidden="1" x14ac:dyDescent="0.35">
      <c r="A80" s="34">
        <v>74</v>
      </c>
      <c r="B80" s="35" t="s">
        <v>269</v>
      </c>
      <c r="C80" s="35" t="s">
        <v>197</v>
      </c>
      <c r="D80" s="35" t="s">
        <v>185</v>
      </c>
      <c r="E80" s="35">
        <v>71</v>
      </c>
      <c r="F80" s="35">
        <v>87</v>
      </c>
      <c r="G80" s="35">
        <v>75</v>
      </c>
      <c r="H80" s="35">
        <v>78</v>
      </c>
      <c r="I80" s="35">
        <v>93</v>
      </c>
      <c r="J80" s="35">
        <v>81</v>
      </c>
      <c r="K80" s="35">
        <v>50</v>
      </c>
      <c r="L80" s="35">
        <f t="shared" si="5"/>
        <v>535</v>
      </c>
      <c r="M80" s="36">
        <f t="shared" si="6"/>
        <v>76.428571428571431</v>
      </c>
      <c r="N80" s="35" t="str">
        <f t="shared" si="7"/>
        <v>FAIL</v>
      </c>
      <c r="O80" t="str">
        <f t="shared" si="8"/>
        <v>First Class</v>
      </c>
      <c r="P80" t="str">
        <f t="shared" si="9"/>
        <v>No</v>
      </c>
    </row>
    <row r="81" spans="1:16" ht="15.5" hidden="1" x14ac:dyDescent="0.35">
      <c r="A81" s="34">
        <v>75</v>
      </c>
      <c r="B81" s="35" t="s">
        <v>270</v>
      </c>
      <c r="C81" s="35" t="s">
        <v>199</v>
      </c>
      <c r="D81" s="35" t="s">
        <v>185</v>
      </c>
      <c r="E81" s="35">
        <v>50</v>
      </c>
      <c r="F81" s="35">
        <v>87</v>
      </c>
      <c r="G81" s="35">
        <v>63</v>
      </c>
      <c r="H81" s="35">
        <v>88</v>
      </c>
      <c r="I81" s="35">
        <v>85</v>
      </c>
      <c r="J81" s="35">
        <v>91</v>
      </c>
      <c r="K81" s="35">
        <v>79</v>
      </c>
      <c r="L81" s="35">
        <f t="shared" si="5"/>
        <v>543</v>
      </c>
      <c r="M81" s="36">
        <f t="shared" si="6"/>
        <v>77.571428571428569</v>
      </c>
      <c r="N81" s="35" t="str">
        <f t="shared" si="7"/>
        <v>FAIL</v>
      </c>
      <c r="O81" t="str">
        <f t="shared" si="8"/>
        <v>First Class</v>
      </c>
      <c r="P81" t="str">
        <f t="shared" si="9"/>
        <v>No</v>
      </c>
    </row>
    <row r="82" spans="1:16" ht="15.5" hidden="1" x14ac:dyDescent="0.35">
      <c r="A82" s="34">
        <v>76</v>
      </c>
      <c r="B82" s="35" t="s">
        <v>271</v>
      </c>
      <c r="C82" s="35" t="s">
        <v>199</v>
      </c>
      <c r="D82" s="35" t="s">
        <v>185</v>
      </c>
      <c r="E82" s="35">
        <v>79</v>
      </c>
      <c r="F82" s="35">
        <v>86</v>
      </c>
      <c r="G82" s="35">
        <v>73</v>
      </c>
      <c r="H82" s="35">
        <v>81</v>
      </c>
      <c r="I82" s="35">
        <v>78</v>
      </c>
      <c r="J82" s="35">
        <v>93</v>
      </c>
      <c r="K82" s="35">
        <v>73</v>
      </c>
      <c r="L82" s="35">
        <f t="shared" si="5"/>
        <v>563</v>
      </c>
      <c r="M82" s="36">
        <f t="shared" si="6"/>
        <v>80.428571428571431</v>
      </c>
      <c r="N82" s="35" t="str">
        <f t="shared" si="7"/>
        <v>PASS</v>
      </c>
      <c r="O82" t="str">
        <f t="shared" si="8"/>
        <v>First Class</v>
      </c>
      <c r="P82" t="str">
        <f t="shared" si="9"/>
        <v>No</v>
      </c>
    </row>
    <row r="83" spans="1:16" ht="15.5" hidden="1" x14ac:dyDescent="0.35">
      <c r="A83" s="34">
        <v>77</v>
      </c>
      <c r="B83" s="35" t="s">
        <v>272</v>
      </c>
      <c r="C83" s="35" t="s">
        <v>219</v>
      </c>
      <c r="D83" s="35" t="s">
        <v>185</v>
      </c>
      <c r="E83" s="35">
        <v>73</v>
      </c>
      <c r="F83" s="35">
        <v>74</v>
      </c>
      <c r="G83" s="35">
        <v>66</v>
      </c>
      <c r="H83" s="35">
        <v>91</v>
      </c>
      <c r="I83" s="35">
        <v>45</v>
      </c>
      <c r="J83" s="35">
        <v>85</v>
      </c>
      <c r="K83" s="35">
        <v>87</v>
      </c>
      <c r="L83" s="35">
        <f t="shared" si="5"/>
        <v>521</v>
      </c>
      <c r="M83" s="36">
        <f t="shared" si="6"/>
        <v>74.428571428571431</v>
      </c>
      <c r="N83" s="35" t="str">
        <f t="shared" si="7"/>
        <v>FAIL</v>
      </c>
      <c r="O83" t="str">
        <f t="shared" si="8"/>
        <v>First Class</v>
      </c>
      <c r="P83" t="str">
        <f t="shared" si="9"/>
        <v>No</v>
      </c>
    </row>
    <row r="84" spans="1:16" ht="15.5" x14ac:dyDescent="0.35">
      <c r="A84" s="34">
        <v>78</v>
      </c>
      <c r="B84" s="35" t="s">
        <v>273</v>
      </c>
      <c r="C84" s="35" t="s">
        <v>221</v>
      </c>
      <c r="D84" s="35" t="s">
        <v>185</v>
      </c>
      <c r="E84" s="35">
        <v>87</v>
      </c>
      <c r="F84" s="35">
        <v>89</v>
      </c>
      <c r="G84" s="35">
        <v>76</v>
      </c>
      <c r="H84" s="35">
        <v>93</v>
      </c>
      <c r="I84" s="35">
        <v>63</v>
      </c>
      <c r="J84" s="35">
        <v>78</v>
      </c>
      <c r="K84" s="35">
        <v>78</v>
      </c>
      <c r="L84" s="35">
        <f t="shared" si="5"/>
        <v>564</v>
      </c>
      <c r="M84" s="36">
        <f t="shared" si="6"/>
        <v>80.571428571428569</v>
      </c>
      <c r="N84" s="35" t="str">
        <f t="shared" si="7"/>
        <v>PASS</v>
      </c>
      <c r="O84" t="str">
        <f t="shared" si="8"/>
        <v>Distinction</v>
      </c>
      <c r="P84" t="str">
        <f t="shared" si="9"/>
        <v>Yes</v>
      </c>
    </row>
    <row r="85" spans="1:16" ht="15.5" hidden="1" x14ac:dyDescent="0.35">
      <c r="A85" s="34">
        <v>79</v>
      </c>
      <c r="B85" s="35" t="s">
        <v>274</v>
      </c>
      <c r="C85" s="35" t="s">
        <v>223</v>
      </c>
      <c r="D85" s="35" t="s">
        <v>185</v>
      </c>
      <c r="E85" s="35">
        <v>78</v>
      </c>
      <c r="F85" s="35">
        <v>92</v>
      </c>
      <c r="G85" s="35">
        <v>92</v>
      </c>
      <c r="H85" s="35">
        <v>85</v>
      </c>
      <c r="I85" s="35">
        <v>25</v>
      </c>
      <c r="J85" s="35">
        <v>70</v>
      </c>
      <c r="K85" s="35">
        <v>80</v>
      </c>
      <c r="L85" s="35">
        <f t="shared" si="5"/>
        <v>522</v>
      </c>
      <c r="M85" s="36">
        <f t="shared" si="6"/>
        <v>74.571428571428569</v>
      </c>
      <c r="N85" s="35" t="str">
        <f t="shared" si="7"/>
        <v>FAIL</v>
      </c>
      <c r="O85" t="str">
        <f t="shared" si="8"/>
        <v>First Class</v>
      </c>
      <c r="P85" t="str">
        <f t="shared" si="9"/>
        <v>No</v>
      </c>
    </row>
    <row r="86" spans="1:16" ht="15.5" hidden="1" x14ac:dyDescent="0.35">
      <c r="A86" s="34">
        <v>80</v>
      </c>
      <c r="B86" s="35" t="s">
        <v>275</v>
      </c>
      <c r="C86" s="35" t="s">
        <v>225</v>
      </c>
      <c r="D86" s="35" t="s">
        <v>185</v>
      </c>
      <c r="E86" s="35">
        <v>80</v>
      </c>
      <c r="F86" s="35">
        <v>89</v>
      </c>
      <c r="G86" s="35">
        <v>75</v>
      </c>
      <c r="H86" s="35">
        <v>78</v>
      </c>
      <c r="I86" s="35">
        <v>70</v>
      </c>
      <c r="J86" s="35">
        <v>55</v>
      </c>
      <c r="K86" s="35">
        <v>90</v>
      </c>
      <c r="L86" s="35">
        <f t="shared" si="5"/>
        <v>537</v>
      </c>
      <c r="M86" s="36">
        <f t="shared" si="6"/>
        <v>76.714285714285708</v>
      </c>
      <c r="N86" s="35" t="str">
        <f t="shared" si="7"/>
        <v>FAIL</v>
      </c>
      <c r="O86" t="str">
        <f t="shared" si="8"/>
        <v>First Class</v>
      </c>
      <c r="P86" t="str">
        <f t="shared" si="9"/>
        <v>No</v>
      </c>
    </row>
    <row r="87" spans="1:16" ht="15.5" hidden="1" x14ac:dyDescent="0.35">
      <c r="A87" s="34">
        <v>81</v>
      </c>
      <c r="B87" s="35" t="s">
        <v>276</v>
      </c>
      <c r="C87" s="35" t="s">
        <v>227</v>
      </c>
      <c r="D87" s="35" t="s">
        <v>179</v>
      </c>
      <c r="E87" s="35">
        <v>90</v>
      </c>
      <c r="F87" s="35">
        <v>78</v>
      </c>
      <c r="G87" s="35">
        <v>68</v>
      </c>
      <c r="H87" s="35">
        <v>90</v>
      </c>
      <c r="I87" s="35">
        <v>55</v>
      </c>
      <c r="J87" s="35">
        <v>97</v>
      </c>
      <c r="K87" s="35">
        <v>75</v>
      </c>
      <c r="L87" s="35">
        <f t="shared" si="5"/>
        <v>553</v>
      </c>
      <c r="M87" s="36">
        <f t="shared" si="6"/>
        <v>79</v>
      </c>
      <c r="N87" s="35" t="str">
        <f t="shared" si="7"/>
        <v>FAIL</v>
      </c>
      <c r="O87" t="str">
        <f t="shared" si="8"/>
        <v>First Class</v>
      </c>
      <c r="P87" t="str">
        <f t="shared" si="9"/>
        <v>No</v>
      </c>
    </row>
    <row r="88" spans="1:16" ht="15.5" hidden="1" x14ac:dyDescent="0.35">
      <c r="A88" s="34">
        <v>82</v>
      </c>
      <c r="B88" s="35" t="s">
        <v>277</v>
      </c>
      <c r="C88" s="35" t="s">
        <v>199</v>
      </c>
      <c r="D88" s="35" t="s">
        <v>179</v>
      </c>
      <c r="E88" s="35">
        <v>75</v>
      </c>
      <c r="F88" s="35">
        <v>88</v>
      </c>
      <c r="G88" s="35">
        <v>75</v>
      </c>
      <c r="H88" s="35">
        <v>45</v>
      </c>
      <c r="I88" s="35">
        <v>97</v>
      </c>
      <c r="J88" s="35">
        <v>79</v>
      </c>
      <c r="K88" s="35">
        <v>68</v>
      </c>
      <c r="L88" s="35">
        <f t="shared" si="5"/>
        <v>527</v>
      </c>
      <c r="M88" s="36">
        <f t="shared" si="6"/>
        <v>75.285714285714292</v>
      </c>
      <c r="N88" s="35" t="str">
        <f t="shared" si="7"/>
        <v>FAIL</v>
      </c>
      <c r="O88" t="str">
        <f t="shared" si="8"/>
        <v>Second Class</v>
      </c>
      <c r="P88" t="str">
        <f t="shared" si="9"/>
        <v>No</v>
      </c>
    </row>
    <row r="89" spans="1:16" ht="15.5" hidden="1" x14ac:dyDescent="0.35">
      <c r="A89" s="34">
        <v>83</v>
      </c>
      <c r="B89" s="35" t="s">
        <v>278</v>
      </c>
      <c r="C89" s="35" t="s">
        <v>203</v>
      </c>
      <c r="D89" s="35" t="s">
        <v>185</v>
      </c>
      <c r="E89" s="35">
        <v>68</v>
      </c>
      <c r="F89" s="35">
        <v>81</v>
      </c>
      <c r="G89" s="35">
        <v>79</v>
      </c>
      <c r="H89" s="35">
        <v>75</v>
      </c>
      <c r="I89" s="35">
        <v>79</v>
      </c>
      <c r="J89" s="35">
        <v>64</v>
      </c>
      <c r="K89" s="35">
        <v>80</v>
      </c>
      <c r="L89" s="35">
        <f t="shared" si="5"/>
        <v>526</v>
      </c>
      <c r="M89" s="36">
        <f t="shared" si="6"/>
        <v>75.142857142857139</v>
      </c>
      <c r="N89" s="35" t="str">
        <f t="shared" si="7"/>
        <v>PASS</v>
      </c>
      <c r="O89" t="str">
        <f t="shared" si="8"/>
        <v>First Class</v>
      </c>
      <c r="P89" t="str">
        <f t="shared" si="9"/>
        <v>No</v>
      </c>
    </row>
    <row r="90" spans="1:16" ht="15.5" hidden="1" x14ac:dyDescent="0.35">
      <c r="A90" s="34">
        <v>84</v>
      </c>
      <c r="B90" s="35" t="s">
        <v>279</v>
      </c>
      <c r="C90" s="35" t="s">
        <v>203</v>
      </c>
      <c r="D90" s="35" t="s">
        <v>181</v>
      </c>
      <c r="E90" s="35">
        <v>80</v>
      </c>
      <c r="F90" s="35">
        <v>91</v>
      </c>
      <c r="G90" s="35">
        <v>85</v>
      </c>
      <c r="H90" s="35">
        <v>99</v>
      </c>
      <c r="I90" s="35">
        <v>64</v>
      </c>
      <c r="J90" s="35">
        <v>76</v>
      </c>
      <c r="K90" s="35">
        <v>71</v>
      </c>
      <c r="L90" s="35">
        <f t="shared" si="5"/>
        <v>566</v>
      </c>
      <c r="M90" s="36">
        <f t="shared" si="6"/>
        <v>80.857142857142861</v>
      </c>
      <c r="N90" s="35" t="str">
        <f t="shared" si="7"/>
        <v>PASS</v>
      </c>
      <c r="O90" t="str">
        <f t="shared" si="8"/>
        <v>Second Class</v>
      </c>
      <c r="P90" t="str">
        <f t="shared" si="9"/>
        <v>No</v>
      </c>
    </row>
    <row r="91" spans="1:16" ht="15.5" hidden="1" x14ac:dyDescent="0.35">
      <c r="A91" s="34">
        <v>85</v>
      </c>
      <c r="B91" s="35" t="s">
        <v>195</v>
      </c>
      <c r="C91" s="35" t="s">
        <v>206</v>
      </c>
      <c r="D91" s="35" t="s">
        <v>185</v>
      </c>
      <c r="E91" s="35">
        <v>71</v>
      </c>
      <c r="F91" s="35">
        <v>93</v>
      </c>
      <c r="G91" s="35">
        <v>84</v>
      </c>
      <c r="H91" s="35">
        <v>89</v>
      </c>
      <c r="I91" s="35">
        <v>76</v>
      </c>
      <c r="J91" s="35">
        <v>61</v>
      </c>
      <c r="K91" s="35">
        <v>74</v>
      </c>
      <c r="L91" s="35">
        <f t="shared" si="5"/>
        <v>548</v>
      </c>
      <c r="M91" s="36">
        <f t="shared" si="6"/>
        <v>78.285714285714292</v>
      </c>
      <c r="N91" s="35" t="str">
        <f t="shared" si="7"/>
        <v>PASS</v>
      </c>
      <c r="O91" t="str">
        <f t="shared" si="8"/>
        <v>First Class</v>
      </c>
      <c r="P91" t="str">
        <f t="shared" si="9"/>
        <v>No</v>
      </c>
    </row>
    <row r="92" spans="1:16" ht="15.5" hidden="1" x14ac:dyDescent="0.35">
      <c r="A92" s="34">
        <v>86</v>
      </c>
      <c r="B92" s="35" t="s">
        <v>196</v>
      </c>
      <c r="C92" s="35" t="s">
        <v>206</v>
      </c>
      <c r="D92" s="35" t="s">
        <v>181</v>
      </c>
      <c r="E92" s="35">
        <v>74</v>
      </c>
      <c r="F92" s="35">
        <v>85</v>
      </c>
      <c r="G92" s="35">
        <v>72</v>
      </c>
      <c r="H92" s="35">
        <v>87</v>
      </c>
      <c r="I92" s="35">
        <v>61</v>
      </c>
      <c r="J92" s="35">
        <v>85</v>
      </c>
      <c r="K92" s="35">
        <v>77</v>
      </c>
      <c r="L92" s="35">
        <f t="shared" si="5"/>
        <v>541</v>
      </c>
      <c r="M92" s="36">
        <f t="shared" si="6"/>
        <v>77.285714285714292</v>
      </c>
      <c r="N92" s="35" t="str">
        <f t="shared" si="7"/>
        <v>PASS</v>
      </c>
      <c r="O92" t="str">
        <f t="shared" si="8"/>
        <v>First Class</v>
      </c>
      <c r="P92" t="str">
        <f t="shared" si="9"/>
        <v>No</v>
      </c>
    </row>
    <row r="93" spans="1:16" ht="15.5" hidden="1" x14ac:dyDescent="0.35">
      <c r="A93" s="34">
        <v>87</v>
      </c>
      <c r="B93" s="35" t="s">
        <v>198</v>
      </c>
      <c r="C93" s="35" t="s">
        <v>209</v>
      </c>
      <c r="D93" s="35" t="s">
        <v>185</v>
      </c>
      <c r="E93" s="35">
        <v>77</v>
      </c>
      <c r="F93" s="35">
        <v>78</v>
      </c>
      <c r="G93" s="35">
        <v>77</v>
      </c>
      <c r="H93" s="35">
        <v>50</v>
      </c>
      <c r="I93" s="35">
        <v>85</v>
      </c>
      <c r="J93" s="35">
        <v>94</v>
      </c>
      <c r="K93" s="35">
        <v>81</v>
      </c>
      <c r="L93" s="35">
        <f t="shared" si="5"/>
        <v>542</v>
      </c>
      <c r="M93" s="36">
        <f t="shared" si="6"/>
        <v>77.428571428571431</v>
      </c>
      <c r="N93" s="35" t="str">
        <f t="shared" si="7"/>
        <v>FAIL</v>
      </c>
      <c r="O93" t="str">
        <f t="shared" si="8"/>
        <v>First Class</v>
      </c>
      <c r="P93" t="str">
        <f t="shared" si="9"/>
        <v>No</v>
      </c>
    </row>
    <row r="94" spans="1:16" ht="15.5" hidden="1" x14ac:dyDescent="0.35">
      <c r="A94" s="34">
        <v>88</v>
      </c>
      <c r="B94" s="35" t="s">
        <v>200</v>
      </c>
      <c r="C94" s="35" t="s">
        <v>211</v>
      </c>
      <c r="D94" s="35" t="s">
        <v>181</v>
      </c>
      <c r="E94" s="35">
        <v>81</v>
      </c>
      <c r="F94" s="35">
        <v>70</v>
      </c>
      <c r="G94" s="35">
        <v>87</v>
      </c>
      <c r="H94" s="35">
        <v>63</v>
      </c>
      <c r="I94" s="35">
        <v>94</v>
      </c>
      <c r="J94" s="35">
        <v>70</v>
      </c>
      <c r="K94" s="35">
        <v>91</v>
      </c>
      <c r="L94" s="35">
        <f t="shared" si="5"/>
        <v>556</v>
      </c>
      <c r="M94" s="36">
        <f t="shared" si="6"/>
        <v>79.428571428571431</v>
      </c>
      <c r="N94" s="35" t="str">
        <f t="shared" si="7"/>
        <v>PASS</v>
      </c>
      <c r="O94" t="str">
        <f t="shared" si="8"/>
        <v>First Class</v>
      </c>
      <c r="P94" t="str">
        <f t="shared" si="9"/>
        <v>No</v>
      </c>
    </row>
    <row r="95" spans="1:16" ht="15.5" hidden="1" x14ac:dyDescent="0.35">
      <c r="A95" s="34">
        <v>89</v>
      </c>
      <c r="B95" s="35" t="s">
        <v>201</v>
      </c>
      <c r="C95" s="35" t="s">
        <v>213</v>
      </c>
      <c r="D95" s="35" t="s">
        <v>185</v>
      </c>
      <c r="E95" s="35">
        <v>91</v>
      </c>
      <c r="F95" s="35">
        <v>55</v>
      </c>
      <c r="G95" s="35">
        <v>87</v>
      </c>
      <c r="H95" s="35">
        <v>74</v>
      </c>
      <c r="I95" s="35">
        <v>70</v>
      </c>
      <c r="J95" s="35">
        <v>58</v>
      </c>
      <c r="K95" s="35">
        <v>84</v>
      </c>
      <c r="L95" s="35">
        <f t="shared" si="5"/>
        <v>519</v>
      </c>
      <c r="M95" s="36">
        <f t="shared" si="6"/>
        <v>74.142857142857139</v>
      </c>
      <c r="N95" s="35" t="str">
        <f t="shared" si="7"/>
        <v>FAIL</v>
      </c>
      <c r="O95" t="str">
        <f t="shared" si="8"/>
        <v>First Class</v>
      </c>
      <c r="P95" t="str">
        <f t="shared" si="9"/>
        <v>No</v>
      </c>
    </row>
    <row r="96" spans="1:16" ht="15.5" hidden="1" x14ac:dyDescent="0.35">
      <c r="A96" s="34">
        <v>90</v>
      </c>
      <c r="B96" s="35" t="s">
        <v>202</v>
      </c>
      <c r="C96" s="35" t="s">
        <v>206</v>
      </c>
      <c r="D96" s="35" t="s">
        <v>179</v>
      </c>
      <c r="E96" s="35">
        <v>84</v>
      </c>
      <c r="F96" s="35">
        <v>97</v>
      </c>
      <c r="G96" s="35">
        <v>86</v>
      </c>
      <c r="H96" s="35">
        <v>89</v>
      </c>
      <c r="I96" s="35">
        <v>75</v>
      </c>
      <c r="J96" s="35">
        <v>45</v>
      </c>
      <c r="K96" s="35">
        <v>73</v>
      </c>
      <c r="L96" s="35">
        <f t="shared" si="5"/>
        <v>549</v>
      </c>
      <c r="M96" s="36">
        <f t="shared" si="6"/>
        <v>78.428571428571431</v>
      </c>
      <c r="N96" s="35" t="str">
        <f t="shared" si="7"/>
        <v>FAIL</v>
      </c>
      <c r="O96" t="str">
        <f t="shared" si="8"/>
        <v>First Class</v>
      </c>
      <c r="P96" t="str">
        <f t="shared" si="9"/>
        <v>No</v>
      </c>
    </row>
    <row r="97" spans="1:16" ht="15.5" hidden="1" x14ac:dyDescent="0.35">
      <c r="A97" s="34">
        <v>91</v>
      </c>
      <c r="B97" s="35" t="s">
        <v>204</v>
      </c>
      <c r="C97" s="35" t="s">
        <v>211</v>
      </c>
      <c r="D97" s="35" t="s">
        <v>181</v>
      </c>
      <c r="E97" s="35">
        <v>73</v>
      </c>
      <c r="F97" s="35">
        <v>79</v>
      </c>
      <c r="G97" s="35">
        <v>74</v>
      </c>
      <c r="H97" s="35">
        <v>77</v>
      </c>
      <c r="I97" s="35">
        <v>79</v>
      </c>
      <c r="J97" s="35">
        <v>68</v>
      </c>
      <c r="K97" s="35">
        <v>97</v>
      </c>
      <c r="L97" s="35">
        <f t="shared" si="5"/>
        <v>547</v>
      </c>
      <c r="M97" s="36">
        <f t="shared" si="6"/>
        <v>78.142857142857139</v>
      </c>
      <c r="N97" s="35" t="str">
        <f t="shared" si="7"/>
        <v>PASS</v>
      </c>
      <c r="O97" t="str">
        <f t="shared" si="8"/>
        <v>First Class</v>
      </c>
      <c r="P97" t="str">
        <f t="shared" si="9"/>
        <v>No</v>
      </c>
    </row>
    <row r="98" spans="1:16" ht="15.5" hidden="1" x14ac:dyDescent="0.35">
      <c r="A98" s="34">
        <v>92</v>
      </c>
      <c r="B98" s="35" t="s">
        <v>280</v>
      </c>
      <c r="C98" s="35" t="s">
        <v>213</v>
      </c>
      <c r="D98" s="35" t="s">
        <v>181</v>
      </c>
      <c r="E98" s="35">
        <v>97</v>
      </c>
      <c r="F98" s="35">
        <v>64</v>
      </c>
      <c r="G98" s="35">
        <v>89</v>
      </c>
      <c r="H98" s="35">
        <v>85</v>
      </c>
      <c r="I98" s="35">
        <v>85</v>
      </c>
      <c r="J98" s="35">
        <v>71</v>
      </c>
      <c r="K98" s="35">
        <v>91</v>
      </c>
      <c r="L98" s="35">
        <f t="shared" si="5"/>
        <v>582</v>
      </c>
      <c r="M98" s="36">
        <f t="shared" si="6"/>
        <v>83.142857142857139</v>
      </c>
      <c r="N98" s="35" t="str">
        <f t="shared" si="7"/>
        <v>PASS</v>
      </c>
      <c r="O98" t="str">
        <f t="shared" si="8"/>
        <v>First Class</v>
      </c>
      <c r="P98" t="str">
        <f t="shared" si="9"/>
        <v>No</v>
      </c>
    </row>
    <row r="99" spans="1:16" ht="15.5" hidden="1" x14ac:dyDescent="0.35">
      <c r="A99" s="34">
        <v>93</v>
      </c>
      <c r="B99" s="35" t="s">
        <v>281</v>
      </c>
      <c r="C99" s="35" t="s">
        <v>206</v>
      </c>
      <c r="D99" s="35" t="s">
        <v>185</v>
      </c>
      <c r="E99" s="35">
        <v>91</v>
      </c>
      <c r="F99" s="35">
        <v>76</v>
      </c>
      <c r="G99" s="35">
        <v>92</v>
      </c>
      <c r="H99" s="35">
        <v>92</v>
      </c>
      <c r="I99" s="35">
        <v>84</v>
      </c>
      <c r="J99" s="35">
        <v>69</v>
      </c>
      <c r="K99" s="35">
        <v>84</v>
      </c>
      <c r="L99" s="35">
        <f t="shared" si="5"/>
        <v>588</v>
      </c>
      <c r="M99" s="36">
        <f t="shared" si="6"/>
        <v>84</v>
      </c>
      <c r="N99" s="35" t="str">
        <f t="shared" si="7"/>
        <v>PASS</v>
      </c>
      <c r="O99" t="str">
        <f t="shared" si="8"/>
        <v>First Class</v>
      </c>
      <c r="P99" t="str">
        <f t="shared" si="9"/>
        <v>No</v>
      </c>
    </row>
    <row r="100" spans="1:16" ht="15.5" hidden="1" x14ac:dyDescent="0.35">
      <c r="A100" s="34">
        <v>94</v>
      </c>
      <c r="B100" s="35" t="s">
        <v>282</v>
      </c>
      <c r="C100" s="35" t="s">
        <v>206</v>
      </c>
      <c r="D100" s="35" t="s">
        <v>185</v>
      </c>
      <c r="E100" s="35">
        <v>84</v>
      </c>
      <c r="F100" s="35">
        <v>61</v>
      </c>
      <c r="G100" s="35">
        <v>89</v>
      </c>
      <c r="H100" s="35">
        <v>71</v>
      </c>
      <c r="I100" s="35">
        <v>72</v>
      </c>
      <c r="J100" s="35">
        <v>62</v>
      </c>
      <c r="K100" s="35">
        <v>75</v>
      </c>
      <c r="L100" s="35">
        <f t="shared" si="5"/>
        <v>514</v>
      </c>
      <c r="M100" s="36">
        <f t="shared" si="6"/>
        <v>73.428571428571431</v>
      </c>
      <c r="N100" s="35" t="str">
        <f t="shared" si="7"/>
        <v>PASS</v>
      </c>
      <c r="O100" t="str">
        <f t="shared" si="8"/>
        <v>Second Class</v>
      </c>
      <c r="P100" t="str">
        <f t="shared" si="9"/>
        <v>No</v>
      </c>
    </row>
    <row r="101" spans="1:16" ht="15.5" hidden="1" x14ac:dyDescent="0.35">
      <c r="A101" s="34">
        <v>95</v>
      </c>
      <c r="B101" s="35" t="s">
        <v>195</v>
      </c>
      <c r="C101" s="35" t="s">
        <v>217</v>
      </c>
      <c r="D101" s="35" t="s">
        <v>179</v>
      </c>
      <c r="E101" s="35">
        <v>45</v>
      </c>
      <c r="F101" s="35">
        <v>85</v>
      </c>
      <c r="G101" s="35">
        <v>78</v>
      </c>
      <c r="H101" s="35">
        <v>87</v>
      </c>
      <c r="I101" s="35">
        <v>77</v>
      </c>
      <c r="J101" s="35">
        <v>62</v>
      </c>
      <c r="K101" s="35">
        <v>79</v>
      </c>
      <c r="L101" s="35">
        <f t="shared" si="5"/>
        <v>513</v>
      </c>
      <c r="M101" s="36">
        <f t="shared" si="6"/>
        <v>73.285714285714292</v>
      </c>
      <c r="N101" s="35" t="str">
        <f t="shared" si="7"/>
        <v>FAIL</v>
      </c>
      <c r="O101" t="str">
        <f t="shared" si="8"/>
        <v>First Class</v>
      </c>
      <c r="P101" t="str">
        <f t="shared" si="9"/>
        <v>No</v>
      </c>
    </row>
    <row r="102" spans="1:16" ht="15.5" hidden="1" x14ac:dyDescent="0.35">
      <c r="A102" s="34">
        <v>96</v>
      </c>
      <c r="B102" s="35" t="s">
        <v>283</v>
      </c>
      <c r="C102" s="35" t="s">
        <v>219</v>
      </c>
      <c r="D102" s="35" t="s">
        <v>185</v>
      </c>
      <c r="E102" s="35">
        <v>75</v>
      </c>
      <c r="F102" s="35">
        <v>94</v>
      </c>
      <c r="G102" s="35">
        <v>88</v>
      </c>
      <c r="H102" s="35">
        <v>94</v>
      </c>
      <c r="I102" s="35">
        <v>87</v>
      </c>
      <c r="J102" s="35">
        <v>72</v>
      </c>
      <c r="K102" s="35">
        <v>85</v>
      </c>
      <c r="L102" s="35">
        <f t="shared" si="5"/>
        <v>595</v>
      </c>
      <c r="M102" s="36">
        <f t="shared" si="6"/>
        <v>85</v>
      </c>
      <c r="N102" s="35" t="str">
        <f t="shared" si="7"/>
        <v>PASS</v>
      </c>
      <c r="O102" t="str">
        <f t="shared" si="8"/>
        <v>First Class</v>
      </c>
      <c r="P102" t="str">
        <f t="shared" si="9"/>
        <v>No</v>
      </c>
    </row>
    <row r="103" spans="1:16" ht="15.5" hidden="1" x14ac:dyDescent="0.35">
      <c r="A103" s="34">
        <v>97</v>
      </c>
      <c r="B103" s="35" t="s">
        <v>284</v>
      </c>
      <c r="C103" s="35" t="s">
        <v>221</v>
      </c>
      <c r="D103" s="35" t="s">
        <v>185</v>
      </c>
      <c r="E103" s="35">
        <v>99</v>
      </c>
      <c r="F103" s="35">
        <v>70</v>
      </c>
      <c r="G103" s="35">
        <v>81</v>
      </c>
      <c r="H103" s="35">
        <v>83</v>
      </c>
      <c r="I103" s="35">
        <v>87</v>
      </c>
      <c r="J103" s="35">
        <v>73</v>
      </c>
      <c r="K103" s="35">
        <v>84</v>
      </c>
      <c r="L103" s="35">
        <f t="shared" si="5"/>
        <v>577</v>
      </c>
      <c r="M103" s="36">
        <f t="shared" si="6"/>
        <v>82.428571428571431</v>
      </c>
      <c r="N103" s="35" t="str">
        <f t="shared" si="7"/>
        <v>PASS</v>
      </c>
      <c r="O103" t="str">
        <f t="shared" si="8"/>
        <v>First Class</v>
      </c>
      <c r="P103" t="str">
        <f t="shared" si="9"/>
        <v>No</v>
      </c>
    </row>
    <row r="104" spans="1:16" ht="15.5" hidden="1" x14ac:dyDescent="0.35">
      <c r="A104" s="34">
        <v>98</v>
      </c>
      <c r="B104" s="35" t="s">
        <v>285</v>
      </c>
      <c r="C104" s="35" t="s">
        <v>223</v>
      </c>
      <c r="D104" s="35" t="s">
        <v>179</v>
      </c>
      <c r="E104" s="35">
        <v>89</v>
      </c>
      <c r="F104" s="35">
        <v>82</v>
      </c>
      <c r="G104" s="35">
        <v>91</v>
      </c>
      <c r="H104" s="35">
        <v>87</v>
      </c>
      <c r="I104" s="35">
        <v>86</v>
      </c>
      <c r="J104" s="35">
        <v>71</v>
      </c>
      <c r="K104" s="35">
        <v>72</v>
      </c>
      <c r="L104" s="35">
        <f t="shared" si="5"/>
        <v>578</v>
      </c>
      <c r="M104" s="36">
        <f t="shared" si="6"/>
        <v>82.571428571428569</v>
      </c>
      <c r="N104" s="35" t="str">
        <f t="shared" si="7"/>
        <v>PASS</v>
      </c>
      <c r="O104" t="str">
        <f t="shared" si="8"/>
        <v>First Class</v>
      </c>
      <c r="P104" t="str">
        <f t="shared" si="9"/>
        <v>No</v>
      </c>
    </row>
    <row r="105" spans="1:16" ht="15.5" hidden="1" x14ac:dyDescent="0.35">
      <c r="A105" s="34">
        <v>99</v>
      </c>
      <c r="B105" s="35" t="s">
        <v>286</v>
      </c>
      <c r="C105" s="35" t="s">
        <v>225</v>
      </c>
      <c r="D105" s="35" t="s">
        <v>179</v>
      </c>
      <c r="E105" s="35">
        <v>87</v>
      </c>
      <c r="F105" s="35">
        <v>96</v>
      </c>
      <c r="G105" s="35">
        <v>93</v>
      </c>
      <c r="H105" s="35">
        <v>82</v>
      </c>
      <c r="I105" s="35">
        <v>74</v>
      </c>
      <c r="J105" s="35">
        <v>64</v>
      </c>
      <c r="K105" s="35">
        <v>77</v>
      </c>
      <c r="L105" s="35">
        <f t="shared" si="5"/>
        <v>573</v>
      </c>
      <c r="M105" s="36">
        <f t="shared" si="6"/>
        <v>81.857142857142861</v>
      </c>
      <c r="N105" s="35" t="str">
        <f t="shared" si="7"/>
        <v>PASS</v>
      </c>
      <c r="O105" t="str">
        <f t="shared" si="8"/>
        <v>Second Class</v>
      </c>
      <c r="P105" t="str">
        <f t="shared" si="9"/>
        <v>No</v>
      </c>
    </row>
    <row r="106" spans="1:16" ht="15.5" hidden="1" x14ac:dyDescent="0.35">
      <c r="A106" s="34">
        <v>100</v>
      </c>
      <c r="B106" s="35" t="s">
        <v>202</v>
      </c>
      <c r="C106" s="35" t="s">
        <v>227</v>
      </c>
      <c r="D106" s="35" t="s">
        <v>179</v>
      </c>
      <c r="E106" s="35">
        <v>50</v>
      </c>
      <c r="F106" s="35">
        <v>90</v>
      </c>
      <c r="G106" s="35">
        <v>85</v>
      </c>
      <c r="H106" s="35">
        <v>96</v>
      </c>
      <c r="I106" s="35">
        <v>89</v>
      </c>
      <c r="J106" s="35">
        <v>74</v>
      </c>
      <c r="K106" s="35">
        <v>87</v>
      </c>
      <c r="L106" s="35">
        <f t="shared" si="5"/>
        <v>571</v>
      </c>
      <c r="M106" s="36">
        <f t="shared" si="6"/>
        <v>81.571428571428569</v>
      </c>
      <c r="N106" s="35" t="str">
        <f t="shared" si="7"/>
        <v>FAIL</v>
      </c>
      <c r="O106" t="str">
        <f t="shared" si="8"/>
        <v>Second Class</v>
      </c>
      <c r="P106" t="str">
        <f t="shared" si="9"/>
        <v>No</v>
      </c>
    </row>
    <row r="107" spans="1:16" ht="15.5" x14ac:dyDescent="0.35">
      <c r="A107" s="34">
        <v>101</v>
      </c>
      <c r="B107" s="35" t="s">
        <v>287</v>
      </c>
      <c r="C107" s="35" t="s">
        <v>229</v>
      </c>
      <c r="D107" s="35" t="s">
        <v>179</v>
      </c>
      <c r="E107" s="35">
        <v>63</v>
      </c>
      <c r="F107" s="35">
        <v>85</v>
      </c>
      <c r="G107" s="35">
        <v>78</v>
      </c>
      <c r="H107" s="35">
        <v>90</v>
      </c>
      <c r="I107" s="35">
        <v>92</v>
      </c>
      <c r="J107" s="35">
        <v>77</v>
      </c>
      <c r="K107" s="35">
        <v>87</v>
      </c>
      <c r="L107" s="35">
        <f t="shared" si="5"/>
        <v>572</v>
      </c>
      <c r="M107" s="36">
        <f t="shared" si="6"/>
        <v>81.714285714285708</v>
      </c>
      <c r="N107" s="35" t="str">
        <f t="shared" si="7"/>
        <v>PASS</v>
      </c>
      <c r="O107" t="str">
        <f t="shared" si="8"/>
        <v>Distinction</v>
      </c>
      <c r="P107" t="str">
        <f t="shared" si="9"/>
        <v>Yes</v>
      </c>
    </row>
    <row r="108" spans="1:16" ht="15.5" hidden="1" x14ac:dyDescent="0.35">
      <c r="A108" s="34">
        <v>102</v>
      </c>
      <c r="B108" s="35" t="s">
        <v>288</v>
      </c>
      <c r="C108" s="35" t="s">
        <v>231</v>
      </c>
      <c r="D108" s="35" t="s">
        <v>179</v>
      </c>
      <c r="E108" s="35">
        <v>74</v>
      </c>
      <c r="F108" s="35">
        <v>39</v>
      </c>
      <c r="G108" s="35">
        <v>90</v>
      </c>
      <c r="H108" s="35">
        <v>85</v>
      </c>
      <c r="I108" s="35">
        <v>89</v>
      </c>
      <c r="J108" s="35">
        <v>75</v>
      </c>
      <c r="K108" s="35">
        <v>86</v>
      </c>
      <c r="L108" s="35">
        <f t="shared" si="5"/>
        <v>538</v>
      </c>
      <c r="M108" s="36">
        <f t="shared" si="6"/>
        <v>76.857142857142861</v>
      </c>
      <c r="N108" s="35" t="str">
        <f t="shared" si="7"/>
        <v>FAIL</v>
      </c>
      <c r="O108" t="str">
        <f t="shared" si="8"/>
        <v>First Class</v>
      </c>
      <c r="P108" t="str">
        <f t="shared" si="9"/>
        <v>No</v>
      </c>
    </row>
    <row r="109" spans="1:16" ht="15.5" hidden="1" x14ac:dyDescent="0.35">
      <c r="A109" s="34">
        <v>103</v>
      </c>
      <c r="B109" s="35" t="s">
        <v>289</v>
      </c>
      <c r="C109" s="35" t="s">
        <v>232</v>
      </c>
      <c r="D109" s="35" t="s">
        <v>185</v>
      </c>
      <c r="E109" s="35">
        <v>89</v>
      </c>
      <c r="F109" s="35">
        <v>84</v>
      </c>
      <c r="G109" s="35">
        <v>45</v>
      </c>
      <c r="H109" s="35">
        <v>39</v>
      </c>
      <c r="I109" s="35">
        <v>78</v>
      </c>
      <c r="J109" s="35">
        <v>63</v>
      </c>
      <c r="K109" s="35">
        <v>74</v>
      </c>
      <c r="L109" s="35">
        <f t="shared" si="5"/>
        <v>472</v>
      </c>
      <c r="M109" s="36">
        <f t="shared" si="6"/>
        <v>67.428571428571431</v>
      </c>
      <c r="N109" s="35" t="str">
        <f t="shared" si="7"/>
        <v>FAIL</v>
      </c>
      <c r="O109" t="str">
        <f t="shared" si="8"/>
        <v>First Class</v>
      </c>
      <c r="P109" t="str">
        <f t="shared" si="9"/>
        <v>No</v>
      </c>
    </row>
    <row r="110" spans="1:16" ht="15.5" hidden="1" x14ac:dyDescent="0.35">
      <c r="A110" s="34">
        <v>104</v>
      </c>
      <c r="B110" s="35" t="s">
        <v>208</v>
      </c>
      <c r="C110" s="35" t="s">
        <v>187</v>
      </c>
      <c r="D110" s="35" t="s">
        <v>181</v>
      </c>
      <c r="E110" s="35">
        <v>77</v>
      </c>
      <c r="F110" s="35">
        <v>92</v>
      </c>
      <c r="G110" s="35">
        <v>75</v>
      </c>
      <c r="H110" s="35">
        <v>84</v>
      </c>
      <c r="I110" s="35">
        <v>88</v>
      </c>
      <c r="J110" s="35">
        <v>73</v>
      </c>
      <c r="K110" s="35">
        <v>89</v>
      </c>
      <c r="L110" s="35">
        <f t="shared" si="5"/>
        <v>578</v>
      </c>
      <c r="M110" s="36">
        <f t="shared" si="6"/>
        <v>82.571428571428569</v>
      </c>
      <c r="N110" s="35" t="str">
        <f t="shared" si="7"/>
        <v>PASS</v>
      </c>
      <c r="O110" t="str">
        <f t="shared" si="8"/>
        <v>First Class</v>
      </c>
      <c r="P110" t="str">
        <f t="shared" si="9"/>
        <v>No</v>
      </c>
    </row>
    <row r="111" spans="1:16" ht="15.5" hidden="1" x14ac:dyDescent="0.35">
      <c r="A111" s="34">
        <v>105</v>
      </c>
      <c r="B111" s="35" t="s">
        <v>290</v>
      </c>
      <c r="C111" s="35" t="s">
        <v>191</v>
      </c>
      <c r="D111" s="35" t="s">
        <v>185</v>
      </c>
      <c r="E111" s="35">
        <v>85</v>
      </c>
      <c r="F111" s="35">
        <v>95</v>
      </c>
      <c r="G111" s="35">
        <v>99</v>
      </c>
      <c r="H111" s="35">
        <v>92</v>
      </c>
      <c r="I111" s="35">
        <v>81</v>
      </c>
      <c r="J111" s="35">
        <v>66</v>
      </c>
      <c r="K111" s="35">
        <v>92</v>
      </c>
      <c r="L111" s="35">
        <f t="shared" si="5"/>
        <v>610</v>
      </c>
      <c r="M111" s="36">
        <f t="shared" si="6"/>
        <v>87.142857142857139</v>
      </c>
      <c r="N111" s="35" t="str">
        <f t="shared" si="7"/>
        <v>PASS</v>
      </c>
      <c r="O111" t="str">
        <f t="shared" si="8"/>
        <v>First Class</v>
      </c>
      <c r="P111" t="str">
        <f t="shared" si="9"/>
        <v>No</v>
      </c>
    </row>
    <row r="112" spans="1:16" ht="15.5" hidden="1" x14ac:dyDescent="0.35">
      <c r="A112" s="34">
        <v>106</v>
      </c>
      <c r="B112" s="35" t="s">
        <v>291</v>
      </c>
      <c r="C112" s="35" t="s">
        <v>191</v>
      </c>
      <c r="D112" s="35" t="s">
        <v>181</v>
      </c>
      <c r="E112" s="35">
        <v>92</v>
      </c>
      <c r="F112" s="35">
        <v>87</v>
      </c>
      <c r="G112" s="35">
        <v>89</v>
      </c>
      <c r="H112" s="35">
        <v>95</v>
      </c>
      <c r="I112" s="35">
        <v>91</v>
      </c>
      <c r="J112" s="35">
        <v>76</v>
      </c>
      <c r="K112" s="35">
        <v>89</v>
      </c>
      <c r="L112" s="35">
        <f t="shared" si="5"/>
        <v>619</v>
      </c>
      <c r="M112" s="36">
        <f t="shared" si="6"/>
        <v>88.428571428571431</v>
      </c>
      <c r="N112" s="35" t="str">
        <f t="shared" si="7"/>
        <v>PASS</v>
      </c>
      <c r="O112" t="str">
        <f t="shared" si="8"/>
        <v>First Class</v>
      </c>
      <c r="P112" t="str">
        <f t="shared" si="9"/>
        <v>No</v>
      </c>
    </row>
    <row r="113" spans="1:16" ht="15.5" hidden="1" x14ac:dyDescent="0.35">
      <c r="A113" s="34">
        <v>107</v>
      </c>
      <c r="B113" s="35" t="s">
        <v>292</v>
      </c>
      <c r="C113" s="35" t="s">
        <v>194</v>
      </c>
      <c r="D113" s="35" t="s">
        <v>185</v>
      </c>
      <c r="E113" s="35">
        <v>71</v>
      </c>
      <c r="F113" s="35">
        <v>81</v>
      </c>
      <c r="G113" s="35">
        <v>87</v>
      </c>
      <c r="H113" s="35">
        <v>87</v>
      </c>
      <c r="I113" s="35">
        <v>93</v>
      </c>
      <c r="J113" s="35">
        <v>92</v>
      </c>
      <c r="K113" s="35">
        <v>78</v>
      </c>
      <c r="L113" s="35">
        <f t="shared" si="5"/>
        <v>589</v>
      </c>
      <c r="M113" s="36">
        <f t="shared" si="6"/>
        <v>84.142857142857139</v>
      </c>
      <c r="N113" s="35" t="str">
        <f t="shared" si="7"/>
        <v>PASS</v>
      </c>
      <c r="O113" t="str">
        <f t="shared" si="8"/>
        <v>First Class</v>
      </c>
      <c r="P113" t="str">
        <f t="shared" si="9"/>
        <v>No</v>
      </c>
    </row>
    <row r="114" spans="1:16" ht="15.5" hidden="1" x14ac:dyDescent="0.35">
      <c r="A114" s="34">
        <v>108</v>
      </c>
      <c r="B114" s="35" t="s">
        <v>293</v>
      </c>
      <c r="C114" s="35" t="s">
        <v>194</v>
      </c>
      <c r="D114" s="35" t="s">
        <v>181</v>
      </c>
      <c r="E114" s="35">
        <v>87</v>
      </c>
      <c r="F114" s="35">
        <v>91</v>
      </c>
      <c r="G114" s="35">
        <v>50</v>
      </c>
      <c r="H114" s="35">
        <v>81</v>
      </c>
      <c r="I114" s="35">
        <v>85</v>
      </c>
      <c r="J114" s="35">
        <v>75</v>
      </c>
      <c r="K114" s="35">
        <v>88</v>
      </c>
      <c r="L114" s="35">
        <f t="shared" si="5"/>
        <v>557</v>
      </c>
      <c r="M114" s="36">
        <f t="shared" si="6"/>
        <v>79.571428571428569</v>
      </c>
      <c r="N114" s="35" t="str">
        <f t="shared" si="7"/>
        <v>FAIL</v>
      </c>
      <c r="O114" t="str">
        <f t="shared" si="8"/>
        <v>Second Class</v>
      </c>
      <c r="P114" t="str">
        <f t="shared" si="9"/>
        <v>No</v>
      </c>
    </row>
    <row r="115" spans="1:16" ht="15.5" hidden="1" x14ac:dyDescent="0.35">
      <c r="A115" s="34">
        <v>109</v>
      </c>
      <c r="B115" s="35" t="s">
        <v>294</v>
      </c>
      <c r="C115" s="35" t="s">
        <v>197</v>
      </c>
      <c r="D115" s="35" t="s">
        <v>185</v>
      </c>
      <c r="E115" s="35">
        <v>94</v>
      </c>
      <c r="F115" s="35">
        <v>84</v>
      </c>
      <c r="G115" s="35">
        <v>63</v>
      </c>
      <c r="H115" s="35">
        <v>91</v>
      </c>
      <c r="I115" s="35">
        <v>78</v>
      </c>
      <c r="J115" s="35">
        <v>68</v>
      </c>
      <c r="K115" s="35">
        <v>81</v>
      </c>
      <c r="L115" s="35">
        <f t="shared" si="5"/>
        <v>559</v>
      </c>
      <c r="M115" s="36">
        <f t="shared" si="6"/>
        <v>79.857142857142861</v>
      </c>
      <c r="N115" s="35" t="str">
        <f t="shared" si="7"/>
        <v>PASS</v>
      </c>
      <c r="O115" t="str">
        <f t="shared" si="8"/>
        <v>First Class</v>
      </c>
      <c r="P115" t="str">
        <f t="shared" si="9"/>
        <v>No</v>
      </c>
    </row>
    <row r="116" spans="1:16" ht="15.5" x14ac:dyDescent="0.35">
      <c r="A116" s="34">
        <v>110</v>
      </c>
      <c r="B116" s="35" t="s">
        <v>295</v>
      </c>
      <c r="C116" s="35" t="s">
        <v>199</v>
      </c>
      <c r="D116" s="35" t="s">
        <v>179</v>
      </c>
      <c r="E116" s="35">
        <v>83</v>
      </c>
      <c r="F116" s="35">
        <v>94</v>
      </c>
      <c r="G116" s="35">
        <v>74</v>
      </c>
      <c r="H116" s="35">
        <v>84</v>
      </c>
      <c r="I116" s="35">
        <v>70</v>
      </c>
      <c r="J116" s="35">
        <v>75</v>
      </c>
      <c r="K116" s="35">
        <v>91</v>
      </c>
      <c r="L116" s="35">
        <f t="shared" si="5"/>
        <v>571</v>
      </c>
      <c r="M116" s="36">
        <f t="shared" si="6"/>
        <v>81.571428571428569</v>
      </c>
      <c r="N116" s="35" t="str">
        <f t="shared" si="7"/>
        <v>PASS</v>
      </c>
      <c r="O116" t="str">
        <f t="shared" si="8"/>
        <v>Distinction</v>
      </c>
      <c r="P116" t="str">
        <f t="shared" si="9"/>
        <v>Yes</v>
      </c>
    </row>
    <row r="117" spans="1:16" ht="15.5" x14ac:dyDescent="0.35">
      <c r="A117" s="34">
        <v>111</v>
      </c>
      <c r="B117" s="35" t="s">
        <v>296</v>
      </c>
      <c r="C117" s="35" t="s">
        <v>199</v>
      </c>
      <c r="D117" s="35" t="s">
        <v>181</v>
      </c>
      <c r="E117" s="35">
        <v>87</v>
      </c>
      <c r="F117" s="35">
        <v>96</v>
      </c>
      <c r="G117" s="35">
        <v>89</v>
      </c>
      <c r="H117" s="35">
        <v>94</v>
      </c>
      <c r="I117" s="35">
        <v>55</v>
      </c>
      <c r="J117" s="35">
        <v>79</v>
      </c>
      <c r="K117" s="35">
        <v>93</v>
      </c>
      <c r="L117" s="35">
        <f t="shared" si="5"/>
        <v>593</v>
      </c>
      <c r="M117" s="36">
        <f t="shared" si="6"/>
        <v>84.714285714285708</v>
      </c>
      <c r="N117" s="35" t="str">
        <f t="shared" si="7"/>
        <v>FAIL</v>
      </c>
      <c r="O117" t="str">
        <f t="shared" si="8"/>
        <v>Distinction</v>
      </c>
      <c r="P117" t="str">
        <f t="shared" si="9"/>
        <v>Yes</v>
      </c>
    </row>
    <row r="118" spans="1:16" ht="15.5" hidden="1" x14ac:dyDescent="0.35">
      <c r="A118" s="34">
        <v>112</v>
      </c>
      <c r="B118" s="35" t="s">
        <v>297</v>
      </c>
      <c r="C118" s="35" t="s">
        <v>219</v>
      </c>
      <c r="D118" s="35" t="s">
        <v>181</v>
      </c>
      <c r="E118" s="35">
        <v>82</v>
      </c>
      <c r="F118" s="35">
        <v>95</v>
      </c>
      <c r="G118" s="35">
        <v>77</v>
      </c>
      <c r="H118" s="35">
        <v>96</v>
      </c>
      <c r="I118" s="35">
        <v>97</v>
      </c>
      <c r="J118" s="35">
        <v>85</v>
      </c>
      <c r="K118" s="35">
        <v>85</v>
      </c>
      <c r="L118" s="35">
        <f t="shared" si="5"/>
        <v>617</v>
      </c>
      <c r="M118" s="36">
        <f t="shared" si="6"/>
        <v>88.142857142857139</v>
      </c>
      <c r="N118" s="35" t="str">
        <f t="shared" si="7"/>
        <v>PASS</v>
      </c>
      <c r="O118" t="str">
        <f t="shared" si="8"/>
        <v>First Class</v>
      </c>
      <c r="P118" t="str">
        <f t="shared" si="9"/>
        <v>No</v>
      </c>
    </row>
    <row r="119" spans="1:16" ht="15.5" hidden="1" x14ac:dyDescent="0.35">
      <c r="A119" s="34">
        <v>113</v>
      </c>
      <c r="B119" s="35" t="s">
        <v>298</v>
      </c>
      <c r="C119" s="35" t="s">
        <v>221</v>
      </c>
      <c r="D119" s="35" t="s">
        <v>185</v>
      </c>
      <c r="E119" s="35">
        <v>96</v>
      </c>
      <c r="F119" s="35">
        <v>88</v>
      </c>
      <c r="G119" s="35">
        <v>85</v>
      </c>
      <c r="H119" s="35">
        <v>95</v>
      </c>
      <c r="I119" s="35">
        <v>79</v>
      </c>
      <c r="J119" s="35">
        <v>84</v>
      </c>
      <c r="K119" s="35">
        <v>78</v>
      </c>
      <c r="L119" s="35">
        <f t="shared" si="5"/>
        <v>605</v>
      </c>
      <c r="M119" s="36">
        <f t="shared" si="6"/>
        <v>86.428571428571431</v>
      </c>
      <c r="N119" s="35" t="str">
        <f t="shared" si="7"/>
        <v>PASS</v>
      </c>
      <c r="O119" t="str">
        <f t="shared" si="8"/>
        <v>First Class</v>
      </c>
      <c r="P119" t="str">
        <f t="shared" si="9"/>
        <v>No</v>
      </c>
    </row>
    <row r="120" spans="1:16" ht="15.5" hidden="1" x14ac:dyDescent="0.35">
      <c r="A120" s="34">
        <v>114</v>
      </c>
      <c r="B120" s="35" t="s">
        <v>188</v>
      </c>
      <c r="C120" s="35" t="s">
        <v>223</v>
      </c>
      <c r="D120" s="35" t="s">
        <v>185</v>
      </c>
      <c r="E120" s="35">
        <v>66</v>
      </c>
      <c r="F120" s="35">
        <v>50</v>
      </c>
      <c r="G120" s="35">
        <v>92</v>
      </c>
      <c r="H120" s="35">
        <v>88</v>
      </c>
      <c r="I120" s="35">
        <v>64</v>
      </c>
      <c r="J120" s="35">
        <v>72</v>
      </c>
      <c r="K120" s="35">
        <v>70</v>
      </c>
      <c r="L120" s="35">
        <f t="shared" si="5"/>
        <v>502</v>
      </c>
      <c r="M120" s="36">
        <f t="shared" si="6"/>
        <v>71.714285714285708</v>
      </c>
      <c r="N120" s="35" t="str">
        <f t="shared" si="7"/>
        <v>FAIL</v>
      </c>
      <c r="O120" t="str">
        <f t="shared" si="8"/>
        <v>First Class</v>
      </c>
      <c r="P120" t="str">
        <f t="shared" si="9"/>
        <v>No</v>
      </c>
    </row>
    <row r="121" spans="1:16" ht="15.5" hidden="1" x14ac:dyDescent="0.35">
      <c r="A121" s="34">
        <v>115</v>
      </c>
      <c r="B121" s="35" t="s">
        <v>299</v>
      </c>
      <c r="C121" s="35" t="s">
        <v>225</v>
      </c>
      <c r="D121" s="35" t="s">
        <v>179</v>
      </c>
      <c r="E121" s="35">
        <v>76</v>
      </c>
      <c r="F121" s="35">
        <v>79</v>
      </c>
      <c r="G121" s="35">
        <v>71</v>
      </c>
      <c r="H121" s="35">
        <v>70</v>
      </c>
      <c r="I121" s="35">
        <v>76</v>
      </c>
      <c r="J121" s="35">
        <v>77</v>
      </c>
      <c r="K121" s="35">
        <v>55</v>
      </c>
      <c r="L121" s="35">
        <f t="shared" si="5"/>
        <v>504</v>
      </c>
      <c r="M121" s="36">
        <f t="shared" si="6"/>
        <v>72</v>
      </c>
      <c r="N121" s="35" t="str">
        <f t="shared" si="7"/>
        <v>FAIL</v>
      </c>
      <c r="O121" t="str">
        <f t="shared" si="8"/>
        <v>First Class</v>
      </c>
      <c r="P121" t="str">
        <f t="shared" si="9"/>
        <v>No</v>
      </c>
    </row>
    <row r="122" spans="1:16" ht="15.5" hidden="1" x14ac:dyDescent="0.35">
      <c r="A122" s="34">
        <v>116</v>
      </c>
      <c r="B122" s="35" t="s">
        <v>190</v>
      </c>
      <c r="C122" s="35" t="s">
        <v>227</v>
      </c>
      <c r="D122" s="35" t="s">
        <v>185</v>
      </c>
      <c r="E122" s="35">
        <v>92</v>
      </c>
      <c r="F122" s="35">
        <v>73</v>
      </c>
      <c r="G122" s="35">
        <v>50</v>
      </c>
      <c r="H122" s="35">
        <v>55</v>
      </c>
      <c r="I122" s="35">
        <v>61</v>
      </c>
      <c r="J122" s="35">
        <v>87</v>
      </c>
      <c r="K122" s="35">
        <v>97</v>
      </c>
      <c r="L122" s="35">
        <f t="shared" si="5"/>
        <v>515</v>
      </c>
      <c r="M122" s="36">
        <f t="shared" si="6"/>
        <v>73.571428571428569</v>
      </c>
      <c r="N122" s="35" t="str">
        <f t="shared" si="7"/>
        <v>FAIL</v>
      </c>
      <c r="O122" t="str">
        <f t="shared" si="8"/>
        <v>First Class</v>
      </c>
      <c r="P122" t="str">
        <f t="shared" si="9"/>
        <v>No</v>
      </c>
    </row>
    <row r="123" spans="1:16" ht="15.5" x14ac:dyDescent="0.35">
      <c r="A123" s="34">
        <v>117</v>
      </c>
      <c r="B123" s="35" t="s">
        <v>300</v>
      </c>
      <c r="C123" s="35" t="s">
        <v>199</v>
      </c>
      <c r="D123" s="35" t="s">
        <v>185</v>
      </c>
      <c r="E123" s="35">
        <v>75</v>
      </c>
      <c r="F123" s="35">
        <v>87</v>
      </c>
      <c r="G123" s="35">
        <v>79</v>
      </c>
      <c r="H123" s="35">
        <v>97</v>
      </c>
      <c r="I123" s="35">
        <v>85</v>
      </c>
      <c r="J123" s="35">
        <v>87</v>
      </c>
      <c r="K123" s="35">
        <v>79</v>
      </c>
      <c r="L123" s="35">
        <f t="shared" si="5"/>
        <v>589</v>
      </c>
      <c r="M123" s="36">
        <f t="shared" si="6"/>
        <v>84.142857142857139</v>
      </c>
      <c r="N123" s="35" t="str">
        <f t="shared" si="7"/>
        <v>PASS</v>
      </c>
      <c r="O123" t="str">
        <f t="shared" si="8"/>
        <v>Distinction</v>
      </c>
      <c r="P123" t="str">
        <f t="shared" si="9"/>
        <v>Yes</v>
      </c>
    </row>
    <row r="124" spans="1:16" ht="15.5" x14ac:dyDescent="0.35">
      <c r="A124" s="34">
        <v>118</v>
      </c>
      <c r="B124" s="35" t="s">
        <v>301</v>
      </c>
      <c r="C124" s="35" t="s">
        <v>203</v>
      </c>
      <c r="D124" s="35" t="s">
        <v>179</v>
      </c>
      <c r="E124" s="35">
        <v>68</v>
      </c>
      <c r="F124" s="35">
        <v>78</v>
      </c>
      <c r="G124" s="35">
        <v>73</v>
      </c>
      <c r="H124" s="35">
        <v>79</v>
      </c>
      <c r="I124" s="35">
        <v>94</v>
      </c>
      <c r="J124" s="35">
        <v>86</v>
      </c>
      <c r="K124" s="35">
        <v>64</v>
      </c>
      <c r="L124" s="35">
        <f t="shared" si="5"/>
        <v>542</v>
      </c>
      <c r="M124" s="36">
        <f t="shared" si="6"/>
        <v>77.428571428571431</v>
      </c>
      <c r="N124" s="35" t="str">
        <f t="shared" si="7"/>
        <v>PASS</v>
      </c>
      <c r="O124" t="str">
        <f t="shared" si="8"/>
        <v>Distinction</v>
      </c>
      <c r="P124" t="str">
        <f t="shared" si="9"/>
        <v>Yes</v>
      </c>
    </row>
    <row r="125" spans="1:16" ht="15.5" hidden="1" x14ac:dyDescent="0.35">
      <c r="A125" s="34">
        <v>119</v>
      </c>
      <c r="B125" s="35" t="s">
        <v>302</v>
      </c>
      <c r="C125" s="35" t="s">
        <v>203</v>
      </c>
      <c r="D125" s="35" t="s">
        <v>179</v>
      </c>
      <c r="E125" s="35">
        <v>75</v>
      </c>
      <c r="F125" s="35">
        <v>80</v>
      </c>
      <c r="G125" s="35">
        <v>87</v>
      </c>
      <c r="H125" s="35">
        <v>64</v>
      </c>
      <c r="I125" s="35">
        <v>70</v>
      </c>
      <c r="J125" s="35">
        <v>74</v>
      </c>
      <c r="K125" s="35">
        <v>76</v>
      </c>
      <c r="L125" s="35">
        <f t="shared" si="5"/>
        <v>526</v>
      </c>
      <c r="M125" s="36">
        <f t="shared" si="6"/>
        <v>75.142857142857139</v>
      </c>
      <c r="N125" s="35" t="str">
        <f t="shared" si="7"/>
        <v>PASS</v>
      </c>
      <c r="O125" t="str">
        <f t="shared" si="8"/>
        <v>Second Class</v>
      </c>
      <c r="P125" t="str">
        <f t="shared" si="9"/>
        <v>No</v>
      </c>
    </row>
    <row r="126" spans="1:16" ht="15.5" hidden="1" x14ac:dyDescent="0.35">
      <c r="A126" s="34">
        <v>120</v>
      </c>
      <c r="B126" s="35" t="s">
        <v>303</v>
      </c>
      <c r="C126" s="35" t="s">
        <v>206</v>
      </c>
      <c r="D126" s="35" t="s">
        <v>179</v>
      </c>
      <c r="E126" s="35">
        <v>79</v>
      </c>
      <c r="F126" s="35">
        <v>90</v>
      </c>
      <c r="G126" s="35">
        <v>78</v>
      </c>
      <c r="H126" s="35">
        <v>76</v>
      </c>
      <c r="I126" s="35">
        <v>82</v>
      </c>
      <c r="J126" s="35">
        <v>89</v>
      </c>
      <c r="K126" s="35">
        <v>61</v>
      </c>
      <c r="L126" s="35">
        <f t="shared" si="5"/>
        <v>555</v>
      </c>
      <c r="M126" s="36">
        <f t="shared" si="6"/>
        <v>79.285714285714292</v>
      </c>
      <c r="N126" s="35" t="str">
        <f t="shared" si="7"/>
        <v>PASS</v>
      </c>
      <c r="O126" t="str">
        <f t="shared" si="8"/>
        <v>Second Class</v>
      </c>
      <c r="P126" t="str">
        <f t="shared" si="9"/>
        <v>No</v>
      </c>
    </row>
    <row r="127" spans="1:16" ht="15.5" hidden="1" x14ac:dyDescent="0.35">
      <c r="A127" s="34">
        <v>121</v>
      </c>
      <c r="B127" s="35" t="s">
        <v>304</v>
      </c>
      <c r="C127" s="35" t="s">
        <v>206</v>
      </c>
      <c r="D127" s="35" t="s">
        <v>185</v>
      </c>
      <c r="E127" s="35">
        <v>85</v>
      </c>
      <c r="F127" s="35">
        <v>75</v>
      </c>
      <c r="G127" s="35">
        <v>80</v>
      </c>
      <c r="H127" s="35">
        <v>61</v>
      </c>
      <c r="I127" s="35">
        <v>96</v>
      </c>
      <c r="J127" s="35">
        <v>92</v>
      </c>
      <c r="K127" s="35">
        <v>85</v>
      </c>
      <c r="L127" s="35">
        <f t="shared" si="5"/>
        <v>574</v>
      </c>
      <c r="M127" s="36">
        <f t="shared" si="6"/>
        <v>82</v>
      </c>
      <c r="N127" s="35" t="str">
        <f t="shared" si="7"/>
        <v>PASS</v>
      </c>
      <c r="O127" t="str">
        <f t="shared" si="8"/>
        <v>Second Class</v>
      </c>
      <c r="P127" t="str">
        <f t="shared" si="9"/>
        <v>No</v>
      </c>
    </row>
    <row r="128" spans="1:16" ht="15.5" hidden="1" x14ac:dyDescent="0.35">
      <c r="A128" s="34">
        <v>122</v>
      </c>
      <c r="B128" s="35" t="s">
        <v>305</v>
      </c>
      <c r="C128" s="35" t="s">
        <v>209</v>
      </c>
      <c r="D128" s="35" t="s">
        <v>185</v>
      </c>
      <c r="E128" s="35">
        <v>84</v>
      </c>
      <c r="F128" s="35">
        <v>68</v>
      </c>
      <c r="G128" s="35">
        <v>90</v>
      </c>
      <c r="H128" s="35">
        <v>85</v>
      </c>
      <c r="I128" s="35">
        <v>90</v>
      </c>
      <c r="J128" s="35">
        <v>89</v>
      </c>
      <c r="K128" s="35">
        <v>94</v>
      </c>
      <c r="L128" s="35">
        <f t="shared" si="5"/>
        <v>600</v>
      </c>
      <c r="M128" s="36">
        <f t="shared" si="6"/>
        <v>85.714285714285708</v>
      </c>
      <c r="N128" s="35" t="str">
        <f t="shared" si="7"/>
        <v>PASS</v>
      </c>
      <c r="O128" t="str">
        <f t="shared" si="8"/>
        <v>First Class</v>
      </c>
      <c r="P128" t="str">
        <f t="shared" si="9"/>
        <v>No</v>
      </c>
    </row>
    <row r="129" spans="1:16" ht="15.5" hidden="1" x14ac:dyDescent="0.35">
      <c r="A129" s="34">
        <v>123</v>
      </c>
      <c r="B129" s="35" t="s">
        <v>306</v>
      </c>
      <c r="C129" s="35" t="s">
        <v>211</v>
      </c>
      <c r="D129" s="35" t="s">
        <v>179</v>
      </c>
      <c r="E129" s="35">
        <v>72</v>
      </c>
      <c r="F129" s="35">
        <v>80</v>
      </c>
      <c r="G129" s="35">
        <v>75</v>
      </c>
      <c r="H129" s="35">
        <v>94</v>
      </c>
      <c r="I129" s="35">
        <v>85</v>
      </c>
      <c r="J129" s="35">
        <v>78</v>
      </c>
      <c r="K129" s="35">
        <v>70</v>
      </c>
      <c r="L129" s="35">
        <f t="shared" si="5"/>
        <v>554</v>
      </c>
      <c r="M129" s="36">
        <f t="shared" si="6"/>
        <v>79.142857142857139</v>
      </c>
      <c r="N129" s="35" t="str">
        <f t="shared" si="7"/>
        <v>PASS</v>
      </c>
      <c r="O129" t="str">
        <f t="shared" si="8"/>
        <v>First Class</v>
      </c>
      <c r="P129" t="str">
        <f t="shared" si="9"/>
        <v>No</v>
      </c>
    </row>
    <row r="130" spans="1:16" ht="15.5" hidden="1" x14ac:dyDescent="0.35">
      <c r="A130" s="34">
        <v>124</v>
      </c>
      <c r="B130" s="35" t="s">
        <v>307</v>
      </c>
      <c r="C130" s="35" t="s">
        <v>213</v>
      </c>
      <c r="D130" s="35" t="s">
        <v>185</v>
      </c>
      <c r="E130" s="35">
        <v>78</v>
      </c>
      <c r="F130" s="35">
        <v>71</v>
      </c>
      <c r="G130" s="35">
        <v>68</v>
      </c>
      <c r="H130" s="35">
        <v>70</v>
      </c>
      <c r="I130" s="35">
        <v>39</v>
      </c>
      <c r="J130" s="35">
        <v>88</v>
      </c>
      <c r="K130" s="35">
        <v>52</v>
      </c>
      <c r="L130" s="35">
        <f t="shared" si="5"/>
        <v>466</v>
      </c>
      <c r="M130" s="36">
        <f t="shared" si="6"/>
        <v>66.571428571428569</v>
      </c>
      <c r="N130" s="35" t="str">
        <f t="shared" si="7"/>
        <v>FAIL</v>
      </c>
      <c r="O130" t="str">
        <f t="shared" si="8"/>
        <v>First Class</v>
      </c>
      <c r="P130" t="str">
        <f t="shared" si="9"/>
        <v>No</v>
      </c>
    </row>
    <row r="131" spans="1:16" ht="15.5" hidden="1" x14ac:dyDescent="0.35">
      <c r="A131" s="34">
        <v>125</v>
      </c>
      <c r="B131" s="35" t="s">
        <v>308</v>
      </c>
      <c r="C131" s="35" t="s">
        <v>206</v>
      </c>
      <c r="D131" s="35" t="s">
        <v>185</v>
      </c>
      <c r="E131" s="35">
        <v>66</v>
      </c>
      <c r="F131" s="35">
        <v>74</v>
      </c>
      <c r="G131" s="35">
        <v>80</v>
      </c>
      <c r="H131" s="35">
        <v>75</v>
      </c>
      <c r="I131" s="35">
        <v>84</v>
      </c>
      <c r="J131" s="35">
        <v>81</v>
      </c>
      <c r="K131" s="35">
        <v>63</v>
      </c>
      <c r="L131" s="35">
        <f t="shared" si="5"/>
        <v>523</v>
      </c>
      <c r="M131" s="36">
        <f t="shared" si="6"/>
        <v>74.714285714285708</v>
      </c>
      <c r="N131" s="35" t="str">
        <f t="shared" si="7"/>
        <v>PASS</v>
      </c>
      <c r="O131" t="str">
        <f t="shared" si="8"/>
        <v>First Class</v>
      </c>
      <c r="P131" t="str">
        <f t="shared" si="9"/>
        <v>No</v>
      </c>
    </row>
    <row r="132" spans="1:16" ht="15.5" hidden="1" x14ac:dyDescent="0.35">
      <c r="A132" s="34">
        <v>126</v>
      </c>
      <c r="B132" s="35" t="s">
        <v>309</v>
      </c>
      <c r="C132" s="35" t="s">
        <v>178</v>
      </c>
      <c r="D132" s="35" t="s">
        <v>179</v>
      </c>
      <c r="E132" s="35">
        <v>52</v>
      </c>
      <c r="F132" s="35">
        <v>77</v>
      </c>
      <c r="G132" s="35">
        <v>71</v>
      </c>
      <c r="H132" s="35">
        <v>45</v>
      </c>
      <c r="I132" s="35">
        <v>92</v>
      </c>
      <c r="J132" s="35">
        <v>91</v>
      </c>
      <c r="K132" s="35">
        <v>78</v>
      </c>
      <c r="L132" s="35">
        <f t="shared" si="5"/>
        <v>506</v>
      </c>
      <c r="M132" s="36">
        <f t="shared" si="6"/>
        <v>72.285714285714292</v>
      </c>
      <c r="N132" s="35" t="str">
        <f t="shared" si="7"/>
        <v>FAIL</v>
      </c>
      <c r="O132" t="str">
        <f t="shared" si="8"/>
        <v>First Class</v>
      </c>
      <c r="P132" t="str">
        <f t="shared" si="9"/>
        <v>No</v>
      </c>
    </row>
    <row r="133" spans="1:16" ht="15.5" x14ac:dyDescent="0.35">
      <c r="A133" s="34">
        <v>127</v>
      </c>
      <c r="B133" s="35" t="s">
        <v>310</v>
      </c>
      <c r="C133" s="35" t="s">
        <v>178</v>
      </c>
      <c r="D133" s="35" t="s">
        <v>181</v>
      </c>
      <c r="E133" s="35">
        <v>81</v>
      </c>
      <c r="F133" s="35">
        <v>81</v>
      </c>
      <c r="G133" s="35">
        <v>74</v>
      </c>
      <c r="H133" s="35">
        <v>79</v>
      </c>
      <c r="I133" s="35">
        <v>95</v>
      </c>
      <c r="J133" s="35">
        <v>93</v>
      </c>
      <c r="K133" s="35">
        <v>66</v>
      </c>
      <c r="L133" s="35">
        <f t="shared" si="5"/>
        <v>569</v>
      </c>
      <c r="M133" s="36">
        <f t="shared" si="6"/>
        <v>81.285714285714292</v>
      </c>
      <c r="N133" s="35" t="str">
        <f t="shared" si="7"/>
        <v>PASS</v>
      </c>
      <c r="O133" t="str">
        <f t="shared" si="8"/>
        <v>Distinction</v>
      </c>
      <c r="P133" t="str">
        <f t="shared" si="9"/>
        <v>Yes</v>
      </c>
    </row>
    <row r="134" spans="1:16" ht="15.5" hidden="1" x14ac:dyDescent="0.35">
      <c r="A134" s="34">
        <v>128</v>
      </c>
      <c r="B134" s="35" t="s">
        <v>311</v>
      </c>
      <c r="C134" s="35" t="s">
        <v>183</v>
      </c>
      <c r="D134" s="35" t="s">
        <v>181</v>
      </c>
      <c r="E134" s="35">
        <v>81</v>
      </c>
      <c r="F134" s="35">
        <v>91</v>
      </c>
      <c r="G134" s="35">
        <v>77</v>
      </c>
      <c r="H134" s="35">
        <v>85</v>
      </c>
      <c r="I134" s="35">
        <v>87</v>
      </c>
      <c r="J134" s="35">
        <v>85</v>
      </c>
      <c r="K134" s="35">
        <v>52</v>
      </c>
      <c r="L134" s="35">
        <f t="shared" si="5"/>
        <v>558</v>
      </c>
      <c r="M134" s="36">
        <f t="shared" si="6"/>
        <v>79.714285714285708</v>
      </c>
      <c r="N134" s="35" t="str">
        <f t="shared" si="7"/>
        <v>FAIL</v>
      </c>
      <c r="O134" t="str">
        <f t="shared" si="8"/>
        <v>First Class</v>
      </c>
      <c r="P134" t="str">
        <f t="shared" si="9"/>
        <v>No</v>
      </c>
    </row>
    <row r="135" spans="1:16" ht="15.5" hidden="1" x14ac:dyDescent="0.35">
      <c r="A135" s="34">
        <v>129</v>
      </c>
      <c r="B135" s="35" t="s">
        <v>290</v>
      </c>
      <c r="C135" s="35" t="s">
        <v>183</v>
      </c>
      <c r="D135" s="35" t="s">
        <v>185</v>
      </c>
      <c r="E135" s="35">
        <v>54</v>
      </c>
      <c r="F135" s="35">
        <v>84</v>
      </c>
      <c r="G135" s="35">
        <v>81</v>
      </c>
      <c r="H135" s="35">
        <v>84</v>
      </c>
      <c r="I135" s="35">
        <v>81</v>
      </c>
      <c r="J135" s="35">
        <v>78</v>
      </c>
      <c r="K135" s="35">
        <v>81</v>
      </c>
      <c r="L135" s="35">
        <f t="shared" si="5"/>
        <v>543</v>
      </c>
      <c r="M135" s="36">
        <f t="shared" si="6"/>
        <v>77.571428571428569</v>
      </c>
      <c r="N135" s="35" t="str">
        <f t="shared" si="7"/>
        <v>FAIL</v>
      </c>
      <c r="O135" t="str">
        <f t="shared" si="8"/>
        <v>Second Class</v>
      </c>
      <c r="P135" t="str">
        <f t="shared" si="9"/>
        <v>No</v>
      </c>
    </row>
    <row r="136" spans="1:16" ht="15.5" hidden="1" x14ac:dyDescent="0.35">
      <c r="A136" s="34">
        <v>130</v>
      </c>
      <c r="B136" s="35" t="s">
        <v>291</v>
      </c>
      <c r="C136" s="35" t="s">
        <v>187</v>
      </c>
      <c r="D136" s="35" t="s">
        <v>185</v>
      </c>
      <c r="E136" s="35">
        <v>63</v>
      </c>
      <c r="F136" s="35">
        <v>73</v>
      </c>
      <c r="G136" s="35">
        <v>91</v>
      </c>
      <c r="H136" s="35">
        <v>72</v>
      </c>
      <c r="I136" s="35">
        <v>91</v>
      </c>
      <c r="J136" s="35">
        <v>90</v>
      </c>
      <c r="K136" s="35">
        <v>81</v>
      </c>
      <c r="L136" s="35">
        <f t="shared" ref="L136:L199" si="10">SUM(E136:K136)</f>
        <v>561</v>
      </c>
      <c r="M136" s="36">
        <f t="shared" ref="M136:M199" si="11">AVERAGE(E136:K136)</f>
        <v>80.142857142857139</v>
      </c>
      <c r="N136" s="35" t="str">
        <f t="shared" ref="N136:N199" si="12">IF(MIN(E136:K136)&gt;=60,"PASS","FAIL")</f>
        <v>PASS</v>
      </c>
      <c r="O136" t="str">
        <f t="shared" ref="O136:O199" si="13">IF(M131&gt;=85,"Distinction",IF(M131&gt;=75,"First Class",IF(M131&gt;=65,"Second Class",IF(M131&gt;=60,"Pass","Fail"))))</f>
        <v>Second Class</v>
      </c>
      <c r="P136" t="str">
        <f t="shared" ref="P136:P199" si="14">IF(M131&gt;=85,"Yes","No")</f>
        <v>No</v>
      </c>
    </row>
    <row r="137" spans="1:16" ht="15.5" hidden="1" x14ac:dyDescent="0.35">
      <c r="A137" s="34">
        <v>131</v>
      </c>
      <c r="B137" s="35" t="s">
        <v>292</v>
      </c>
      <c r="C137" s="35" t="s">
        <v>187</v>
      </c>
      <c r="D137" s="35" t="s">
        <v>179</v>
      </c>
      <c r="E137" s="35">
        <v>56</v>
      </c>
      <c r="F137" s="35">
        <v>97</v>
      </c>
      <c r="G137" s="35">
        <v>84</v>
      </c>
      <c r="H137" s="35">
        <v>77</v>
      </c>
      <c r="I137" s="35">
        <v>84</v>
      </c>
      <c r="J137" s="35">
        <v>45</v>
      </c>
      <c r="K137" s="35">
        <v>54</v>
      </c>
      <c r="L137" s="35">
        <f t="shared" si="10"/>
        <v>497</v>
      </c>
      <c r="M137" s="36">
        <f t="shared" si="11"/>
        <v>71</v>
      </c>
      <c r="N137" s="35" t="str">
        <f t="shared" si="12"/>
        <v>FAIL</v>
      </c>
      <c r="O137" t="str">
        <f t="shared" si="13"/>
        <v>Second Class</v>
      </c>
      <c r="P137" t="str">
        <f t="shared" si="14"/>
        <v>No</v>
      </c>
    </row>
    <row r="138" spans="1:16" ht="15.5" hidden="1" x14ac:dyDescent="0.35">
      <c r="A138" s="34">
        <v>132</v>
      </c>
      <c r="B138" s="35" t="s">
        <v>293</v>
      </c>
      <c r="C138" s="35" t="s">
        <v>187</v>
      </c>
      <c r="D138" s="35" t="s">
        <v>185</v>
      </c>
      <c r="E138" s="35">
        <v>42</v>
      </c>
      <c r="F138" s="35">
        <v>91</v>
      </c>
      <c r="G138" s="35">
        <v>73</v>
      </c>
      <c r="H138" s="35">
        <v>87</v>
      </c>
      <c r="I138" s="35">
        <v>94</v>
      </c>
      <c r="J138" s="35">
        <v>75</v>
      </c>
      <c r="K138" s="35">
        <v>63</v>
      </c>
      <c r="L138" s="35">
        <f t="shared" si="10"/>
        <v>525</v>
      </c>
      <c r="M138" s="36">
        <f t="shared" si="11"/>
        <v>75</v>
      </c>
      <c r="N138" s="35" t="str">
        <f t="shared" si="12"/>
        <v>FAIL</v>
      </c>
      <c r="O138" t="str">
        <f t="shared" si="13"/>
        <v>First Class</v>
      </c>
      <c r="P138" t="str">
        <f t="shared" si="14"/>
        <v>No</v>
      </c>
    </row>
    <row r="139" spans="1:16" ht="15.5" hidden="1" x14ac:dyDescent="0.35">
      <c r="A139" s="34">
        <v>133</v>
      </c>
      <c r="B139" s="35" t="s">
        <v>294</v>
      </c>
      <c r="C139" s="35" t="s">
        <v>191</v>
      </c>
      <c r="D139" s="35" t="s">
        <v>185</v>
      </c>
      <c r="E139" s="35">
        <v>90</v>
      </c>
      <c r="F139" s="35">
        <v>84</v>
      </c>
      <c r="G139" s="35">
        <v>97</v>
      </c>
      <c r="H139" s="35">
        <v>87</v>
      </c>
      <c r="I139" s="35">
        <v>96</v>
      </c>
      <c r="J139" s="35">
        <v>99</v>
      </c>
      <c r="K139" s="35">
        <v>56</v>
      </c>
      <c r="L139" s="35">
        <f t="shared" si="10"/>
        <v>609</v>
      </c>
      <c r="M139" s="36">
        <f t="shared" si="11"/>
        <v>87</v>
      </c>
      <c r="N139" s="35" t="str">
        <f t="shared" si="12"/>
        <v>FAIL</v>
      </c>
      <c r="O139" t="str">
        <f t="shared" si="13"/>
        <v>First Class</v>
      </c>
      <c r="P139" t="str">
        <f t="shared" si="14"/>
        <v>No</v>
      </c>
    </row>
    <row r="140" spans="1:16" ht="15.5" hidden="1" x14ac:dyDescent="0.35">
      <c r="A140" s="34">
        <v>134</v>
      </c>
      <c r="B140" s="35" t="s">
        <v>312</v>
      </c>
      <c r="C140" s="35" t="s">
        <v>191</v>
      </c>
      <c r="D140" s="35" t="s">
        <v>179</v>
      </c>
      <c r="E140" s="35">
        <v>76</v>
      </c>
      <c r="F140" s="35">
        <v>75</v>
      </c>
      <c r="G140" s="35">
        <v>91</v>
      </c>
      <c r="H140" s="35">
        <v>86</v>
      </c>
      <c r="I140" s="35">
        <v>95</v>
      </c>
      <c r="J140" s="35">
        <v>89</v>
      </c>
      <c r="K140" s="35">
        <v>42</v>
      </c>
      <c r="L140" s="35">
        <f t="shared" si="10"/>
        <v>554</v>
      </c>
      <c r="M140" s="36">
        <f t="shared" si="11"/>
        <v>79.142857142857139</v>
      </c>
      <c r="N140" s="35" t="str">
        <f t="shared" si="12"/>
        <v>FAIL</v>
      </c>
      <c r="O140" t="str">
        <f t="shared" si="13"/>
        <v>First Class</v>
      </c>
      <c r="P140" t="str">
        <f t="shared" si="14"/>
        <v>No</v>
      </c>
    </row>
    <row r="141" spans="1:16" ht="15.5" hidden="1" x14ac:dyDescent="0.35">
      <c r="A141" s="34">
        <v>135</v>
      </c>
      <c r="B141" s="35" t="s">
        <v>313</v>
      </c>
      <c r="C141" s="35" t="s">
        <v>194</v>
      </c>
      <c r="D141" s="35" t="s">
        <v>179</v>
      </c>
      <c r="E141" s="35">
        <v>75</v>
      </c>
      <c r="F141" s="35">
        <v>79</v>
      </c>
      <c r="G141" s="35">
        <v>84</v>
      </c>
      <c r="H141" s="35">
        <v>74</v>
      </c>
      <c r="I141" s="35">
        <v>88</v>
      </c>
      <c r="J141" s="35">
        <v>87</v>
      </c>
      <c r="K141" s="35">
        <v>90</v>
      </c>
      <c r="L141" s="35">
        <f t="shared" si="10"/>
        <v>577</v>
      </c>
      <c r="M141" s="36">
        <f t="shared" si="11"/>
        <v>82.428571428571431</v>
      </c>
      <c r="N141" s="35" t="str">
        <f t="shared" si="12"/>
        <v>PASS</v>
      </c>
      <c r="O141" t="str">
        <f t="shared" si="13"/>
        <v>First Class</v>
      </c>
      <c r="P141" t="str">
        <f t="shared" si="14"/>
        <v>No</v>
      </c>
    </row>
    <row r="142" spans="1:16" ht="15.5" hidden="1" x14ac:dyDescent="0.35">
      <c r="A142" s="34">
        <v>136</v>
      </c>
      <c r="B142" s="35" t="s">
        <v>314</v>
      </c>
      <c r="C142" s="35" t="s">
        <v>194</v>
      </c>
      <c r="D142" s="35" t="s">
        <v>179</v>
      </c>
      <c r="E142" s="35">
        <v>58</v>
      </c>
      <c r="F142" s="35">
        <v>85</v>
      </c>
      <c r="G142" s="35">
        <v>79</v>
      </c>
      <c r="H142" s="35">
        <v>89</v>
      </c>
      <c r="I142" s="35">
        <v>50</v>
      </c>
      <c r="J142" s="35">
        <v>50</v>
      </c>
      <c r="K142" s="35">
        <v>76</v>
      </c>
      <c r="L142" s="35">
        <f t="shared" si="10"/>
        <v>487</v>
      </c>
      <c r="M142" s="36">
        <f t="shared" si="11"/>
        <v>69.571428571428569</v>
      </c>
      <c r="N142" s="35" t="str">
        <f t="shared" si="12"/>
        <v>FAIL</v>
      </c>
      <c r="O142" t="str">
        <f t="shared" si="13"/>
        <v>Second Class</v>
      </c>
      <c r="P142" t="str">
        <f t="shared" si="14"/>
        <v>No</v>
      </c>
    </row>
    <row r="143" spans="1:16" ht="15.5" hidden="1" x14ac:dyDescent="0.35">
      <c r="A143" s="34">
        <v>137</v>
      </c>
      <c r="B143" s="35" t="s">
        <v>315</v>
      </c>
      <c r="C143" s="35" t="s">
        <v>197</v>
      </c>
      <c r="D143" s="35" t="s">
        <v>179</v>
      </c>
      <c r="E143" s="35">
        <v>52</v>
      </c>
      <c r="F143" s="35">
        <v>84</v>
      </c>
      <c r="G143" s="35">
        <v>64</v>
      </c>
      <c r="H143" s="35">
        <v>92</v>
      </c>
      <c r="I143" s="35">
        <v>79</v>
      </c>
      <c r="J143" s="35">
        <v>63</v>
      </c>
      <c r="K143" s="35">
        <v>75</v>
      </c>
      <c r="L143" s="35">
        <f t="shared" si="10"/>
        <v>509</v>
      </c>
      <c r="M143" s="36">
        <f t="shared" si="11"/>
        <v>72.714285714285708</v>
      </c>
      <c r="N143" s="35" t="str">
        <f t="shared" si="12"/>
        <v>FAIL</v>
      </c>
      <c r="O143" t="str">
        <f t="shared" si="13"/>
        <v>First Class</v>
      </c>
      <c r="P143" t="str">
        <f t="shared" si="14"/>
        <v>No</v>
      </c>
    </row>
    <row r="144" spans="1:16" ht="15.5" x14ac:dyDescent="0.35">
      <c r="A144" s="34">
        <v>138</v>
      </c>
      <c r="B144" s="35" t="s">
        <v>316</v>
      </c>
      <c r="C144" s="35" t="s">
        <v>199</v>
      </c>
      <c r="D144" s="35" t="s">
        <v>179</v>
      </c>
      <c r="E144" s="35">
        <v>51</v>
      </c>
      <c r="F144" s="35">
        <v>72</v>
      </c>
      <c r="G144" s="35">
        <v>76</v>
      </c>
      <c r="H144" s="35">
        <v>89</v>
      </c>
      <c r="I144" s="35">
        <v>73</v>
      </c>
      <c r="J144" s="35">
        <v>74</v>
      </c>
      <c r="K144" s="35">
        <v>58</v>
      </c>
      <c r="L144" s="35">
        <f t="shared" si="10"/>
        <v>493</v>
      </c>
      <c r="M144" s="36">
        <f t="shared" si="11"/>
        <v>70.428571428571431</v>
      </c>
      <c r="N144" s="35" t="str">
        <f t="shared" si="12"/>
        <v>FAIL</v>
      </c>
      <c r="O144" t="str">
        <f t="shared" si="13"/>
        <v>Distinction</v>
      </c>
      <c r="P144" t="str">
        <f t="shared" si="14"/>
        <v>Yes</v>
      </c>
    </row>
    <row r="145" spans="1:16" ht="15.5" hidden="1" x14ac:dyDescent="0.35">
      <c r="A145" s="34">
        <v>139</v>
      </c>
      <c r="B145" s="35" t="s">
        <v>317</v>
      </c>
      <c r="C145" s="35" t="s">
        <v>199</v>
      </c>
      <c r="D145" s="35" t="s">
        <v>185</v>
      </c>
      <c r="E145" s="35">
        <v>35</v>
      </c>
      <c r="F145" s="35">
        <v>77</v>
      </c>
      <c r="G145" s="35">
        <v>61</v>
      </c>
      <c r="H145" s="35">
        <v>78</v>
      </c>
      <c r="I145" s="35">
        <v>87</v>
      </c>
      <c r="J145" s="35">
        <v>89</v>
      </c>
      <c r="K145" s="35">
        <v>52</v>
      </c>
      <c r="L145" s="35">
        <f t="shared" si="10"/>
        <v>479</v>
      </c>
      <c r="M145" s="36">
        <f t="shared" si="11"/>
        <v>68.428571428571431</v>
      </c>
      <c r="N145" s="35" t="str">
        <f t="shared" si="12"/>
        <v>FAIL</v>
      </c>
      <c r="O145" t="str">
        <f t="shared" si="13"/>
        <v>First Class</v>
      </c>
      <c r="P145" t="str">
        <f t="shared" si="14"/>
        <v>No</v>
      </c>
    </row>
    <row r="146" spans="1:16" ht="15.5" hidden="1" x14ac:dyDescent="0.35">
      <c r="A146" s="34">
        <v>140</v>
      </c>
      <c r="B146" s="35" t="s">
        <v>318</v>
      </c>
      <c r="C146" s="35" t="s">
        <v>199</v>
      </c>
      <c r="D146" s="35" t="s">
        <v>181</v>
      </c>
      <c r="E146" s="35">
        <v>77</v>
      </c>
      <c r="F146" s="35">
        <v>87</v>
      </c>
      <c r="G146" s="35">
        <v>85</v>
      </c>
      <c r="H146" s="35">
        <v>88</v>
      </c>
      <c r="I146" s="35">
        <v>78</v>
      </c>
      <c r="J146" s="35">
        <v>77</v>
      </c>
      <c r="K146" s="35">
        <v>51</v>
      </c>
      <c r="L146" s="35">
        <f t="shared" si="10"/>
        <v>543</v>
      </c>
      <c r="M146" s="36">
        <f t="shared" si="11"/>
        <v>77.571428571428569</v>
      </c>
      <c r="N146" s="35" t="str">
        <f t="shared" si="12"/>
        <v>FAIL</v>
      </c>
      <c r="O146" t="str">
        <f t="shared" si="13"/>
        <v>First Class</v>
      </c>
      <c r="P146" t="str">
        <f t="shared" si="14"/>
        <v>No</v>
      </c>
    </row>
    <row r="147" spans="1:16" ht="15.5" hidden="1" x14ac:dyDescent="0.35">
      <c r="A147" s="34">
        <v>141</v>
      </c>
      <c r="B147" s="35" t="s">
        <v>319</v>
      </c>
      <c r="C147" s="35" t="s">
        <v>203</v>
      </c>
      <c r="D147" s="35" t="s">
        <v>185</v>
      </c>
      <c r="E147" s="35">
        <v>74</v>
      </c>
      <c r="F147" s="35">
        <v>87</v>
      </c>
      <c r="G147" s="35">
        <v>94</v>
      </c>
      <c r="H147" s="35">
        <v>81</v>
      </c>
      <c r="I147" s="35">
        <v>80</v>
      </c>
      <c r="J147" s="35">
        <v>85</v>
      </c>
      <c r="K147" s="35">
        <v>35</v>
      </c>
      <c r="L147" s="35">
        <f t="shared" si="10"/>
        <v>536</v>
      </c>
      <c r="M147" s="36">
        <f t="shared" si="11"/>
        <v>76.571428571428569</v>
      </c>
      <c r="N147" s="35" t="str">
        <f t="shared" si="12"/>
        <v>FAIL</v>
      </c>
      <c r="O147" t="str">
        <f t="shared" si="13"/>
        <v>Second Class</v>
      </c>
      <c r="P147" t="str">
        <f t="shared" si="14"/>
        <v>No</v>
      </c>
    </row>
    <row r="148" spans="1:16" ht="15.5" hidden="1" x14ac:dyDescent="0.35">
      <c r="A148" s="34">
        <v>142</v>
      </c>
      <c r="B148" s="35" t="s">
        <v>320</v>
      </c>
      <c r="C148" s="35" t="s">
        <v>203</v>
      </c>
      <c r="D148" s="35" t="s">
        <v>181</v>
      </c>
      <c r="E148" s="35">
        <v>89</v>
      </c>
      <c r="F148" s="35">
        <v>86</v>
      </c>
      <c r="G148" s="35">
        <v>70</v>
      </c>
      <c r="H148" s="35">
        <v>91</v>
      </c>
      <c r="I148" s="35">
        <v>90</v>
      </c>
      <c r="J148" s="35">
        <v>92</v>
      </c>
      <c r="K148" s="35">
        <v>77</v>
      </c>
      <c r="L148" s="35">
        <f t="shared" si="10"/>
        <v>595</v>
      </c>
      <c r="M148" s="36">
        <f t="shared" si="11"/>
        <v>85</v>
      </c>
      <c r="N148" s="35" t="str">
        <f t="shared" si="12"/>
        <v>PASS</v>
      </c>
      <c r="O148" t="str">
        <f t="shared" si="13"/>
        <v>Second Class</v>
      </c>
      <c r="P148" t="str">
        <f t="shared" si="14"/>
        <v>No</v>
      </c>
    </row>
    <row r="149" spans="1:16" ht="15.5" hidden="1" x14ac:dyDescent="0.35">
      <c r="A149" s="34">
        <v>143</v>
      </c>
      <c r="B149" s="35" t="s">
        <v>321</v>
      </c>
      <c r="C149" s="35" t="s">
        <v>206</v>
      </c>
      <c r="D149" s="35" t="s">
        <v>185</v>
      </c>
      <c r="E149" s="35">
        <v>92</v>
      </c>
      <c r="F149" s="35">
        <v>74</v>
      </c>
      <c r="G149" s="35">
        <v>75</v>
      </c>
      <c r="H149" s="35">
        <v>93</v>
      </c>
      <c r="I149" s="35">
        <v>75</v>
      </c>
      <c r="J149" s="35">
        <v>71</v>
      </c>
      <c r="K149" s="35">
        <v>60</v>
      </c>
      <c r="L149" s="35">
        <f t="shared" si="10"/>
        <v>540</v>
      </c>
      <c r="M149" s="36">
        <f t="shared" si="11"/>
        <v>77.142857142857139</v>
      </c>
      <c r="N149" s="35" t="str">
        <f t="shared" si="12"/>
        <v>PASS</v>
      </c>
      <c r="O149" t="str">
        <f t="shared" si="13"/>
        <v>Second Class</v>
      </c>
      <c r="P149" t="str">
        <f t="shared" si="14"/>
        <v>No</v>
      </c>
    </row>
    <row r="150" spans="1:16" ht="15.5" hidden="1" x14ac:dyDescent="0.35">
      <c r="A150" s="34">
        <v>144</v>
      </c>
      <c r="B150" s="35" t="s">
        <v>322</v>
      </c>
      <c r="C150" s="35" t="s">
        <v>206</v>
      </c>
      <c r="D150" s="35" t="s">
        <v>181</v>
      </c>
      <c r="E150" s="35">
        <v>89</v>
      </c>
      <c r="F150" s="35">
        <v>89</v>
      </c>
      <c r="G150" s="35">
        <v>79</v>
      </c>
      <c r="H150" s="35">
        <v>85</v>
      </c>
      <c r="I150" s="35">
        <v>68</v>
      </c>
      <c r="J150" s="35">
        <v>87</v>
      </c>
      <c r="K150" s="35">
        <v>54</v>
      </c>
      <c r="L150" s="35">
        <f t="shared" si="10"/>
        <v>551</v>
      </c>
      <c r="M150" s="36">
        <f t="shared" si="11"/>
        <v>78.714285714285708</v>
      </c>
      <c r="N150" s="35" t="str">
        <f t="shared" si="12"/>
        <v>FAIL</v>
      </c>
      <c r="O150" t="str">
        <f t="shared" si="13"/>
        <v>Second Class</v>
      </c>
      <c r="P150" t="str">
        <f t="shared" si="14"/>
        <v>No</v>
      </c>
    </row>
    <row r="151" spans="1:16" ht="15.5" hidden="1" x14ac:dyDescent="0.35">
      <c r="A151" s="34">
        <v>145</v>
      </c>
      <c r="B151" s="35" t="s">
        <v>188</v>
      </c>
      <c r="C151" s="35" t="s">
        <v>209</v>
      </c>
      <c r="D151" s="35" t="s">
        <v>185</v>
      </c>
      <c r="E151" s="35">
        <v>78</v>
      </c>
      <c r="F151" s="35">
        <v>92</v>
      </c>
      <c r="G151" s="35">
        <v>85</v>
      </c>
      <c r="H151" s="35">
        <v>78</v>
      </c>
      <c r="I151" s="35">
        <v>80</v>
      </c>
      <c r="J151" s="35">
        <v>94</v>
      </c>
      <c r="K151" s="35">
        <v>63</v>
      </c>
      <c r="L151" s="35">
        <f t="shared" si="10"/>
        <v>570</v>
      </c>
      <c r="M151" s="36">
        <f t="shared" si="11"/>
        <v>81.428571428571431</v>
      </c>
      <c r="N151" s="35" t="str">
        <f t="shared" si="12"/>
        <v>PASS</v>
      </c>
      <c r="O151" t="str">
        <f t="shared" si="13"/>
        <v>First Class</v>
      </c>
      <c r="P151" t="str">
        <f t="shared" si="14"/>
        <v>No</v>
      </c>
    </row>
    <row r="152" spans="1:16" ht="15.5" hidden="1" x14ac:dyDescent="0.35">
      <c r="A152" s="34">
        <v>146</v>
      </c>
      <c r="B152" s="35" t="s">
        <v>323</v>
      </c>
      <c r="C152" s="35" t="s">
        <v>211</v>
      </c>
      <c r="D152" s="35" t="s">
        <v>179</v>
      </c>
      <c r="E152" s="35">
        <v>88</v>
      </c>
      <c r="F152" s="35">
        <v>89</v>
      </c>
      <c r="G152" s="35">
        <v>84</v>
      </c>
      <c r="H152" s="35">
        <v>74</v>
      </c>
      <c r="I152" s="35">
        <v>71</v>
      </c>
      <c r="J152" s="35">
        <v>83</v>
      </c>
      <c r="K152" s="35">
        <v>66</v>
      </c>
      <c r="L152" s="35">
        <f t="shared" si="10"/>
        <v>555</v>
      </c>
      <c r="M152" s="36">
        <f t="shared" si="11"/>
        <v>79.285714285714292</v>
      </c>
      <c r="N152" s="35" t="str">
        <f t="shared" si="12"/>
        <v>PASS</v>
      </c>
      <c r="O152" t="str">
        <f t="shared" si="13"/>
        <v>First Class</v>
      </c>
      <c r="P152" t="str">
        <f t="shared" si="14"/>
        <v>No</v>
      </c>
    </row>
    <row r="153" spans="1:16" ht="15.5" x14ac:dyDescent="0.35">
      <c r="A153" s="34">
        <v>147</v>
      </c>
      <c r="B153" s="35" t="s">
        <v>324</v>
      </c>
      <c r="C153" s="35" t="s">
        <v>213</v>
      </c>
      <c r="D153" s="35" t="s">
        <v>181</v>
      </c>
      <c r="E153" s="35">
        <v>81</v>
      </c>
      <c r="F153" s="35">
        <v>78</v>
      </c>
      <c r="G153" s="35">
        <v>72</v>
      </c>
      <c r="H153" s="35">
        <v>89</v>
      </c>
      <c r="I153" s="35">
        <v>74</v>
      </c>
      <c r="J153" s="35">
        <v>87</v>
      </c>
      <c r="K153" s="35">
        <v>79</v>
      </c>
      <c r="L153" s="35">
        <f t="shared" si="10"/>
        <v>560</v>
      </c>
      <c r="M153" s="36">
        <f t="shared" si="11"/>
        <v>80</v>
      </c>
      <c r="N153" s="35" t="str">
        <f t="shared" si="12"/>
        <v>PASS</v>
      </c>
      <c r="O153" t="str">
        <f t="shared" si="13"/>
        <v>Distinction</v>
      </c>
      <c r="P153" t="str">
        <f t="shared" si="14"/>
        <v>Yes</v>
      </c>
    </row>
    <row r="154" spans="1:16" ht="15.5" hidden="1" x14ac:dyDescent="0.35">
      <c r="A154" s="34">
        <v>148</v>
      </c>
      <c r="B154" s="35" t="s">
        <v>325</v>
      </c>
      <c r="C154" s="35" t="s">
        <v>206</v>
      </c>
      <c r="D154" s="35" t="s">
        <v>181</v>
      </c>
      <c r="E154" s="35">
        <v>91</v>
      </c>
      <c r="F154" s="35">
        <v>88</v>
      </c>
      <c r="G154" s="35">
        <v>77</v>
      </c>
      <c r="H154" s="35">
        <v>92</v>
      </c>
      <c r="I154" s="35">
        <v>77</v>
      </c>
      <c r="J154" s="35">
        <v>82</v>
      </c>
      <c r="K154" s="35">
        <v>52</v>
      </c>
      <c r="L154" s="35">
        <f t="shared" si="10"/>
        <v>559</v>
      </c>
      <c r="M154" s="36">
        <f t="shared" si="11"/>
        <v>79.857142857142861</v>
      </c>
      <c r="N154" s="35" t="str">
        <f t="shared" si="12"/>
        <v>FAIL</v>
      </c>
      <c r="O154" t="str">
        <f t="shared" si="13"/>
        <v>First Class</v>
      </c>
      <c r="P154" t="str">
        <f t="shared" si="14"/>
        <v>No</v>
      </c>
    </row>
    <row r="155" spans="1:16" ht="15.5" hidden="1" x14ac:dyDescent="0.35">
      <c r="A155" s="34">
        <v>149</v>
      </c>
      <c r="B155" s="35" t="s">
        <v>214</v>
      </c>
      <c r="C155" s="35" t="s">
        <v>206</v>
      </c>
      <c r="D155" s="35" t="s">
        <v>185</v>
      </c>
      <c r="E155" s="35">
        <v>93</v>
      </c>
      <c r="F155" s="35">
        <v>81</v>
      </c>
      <c r="G155" s="35">
        <v>87</v>
      </c>
      <c r="H155" s="35">
        <v>89</v>
      </c>
      <c r="I155" s="35">
        <v>81</v>
      </c>
      <c r="J155" s="35">
        <v>96</v>
      </c>
      <c r="K155" s="35">
        <v>62</v>
      </c>
      <c r="L155" s="35">
        <f t="shared" si="10"/>
        <v>589</v>
      </c>
      <c r="M155" s="36">
        <f t="shared" si="11"/>
        <v>84.142857142857139</v>
      </c>
      <c r="N155" s="35" t="str">
        <f t="shared" si="12"/>
        <v>PASS</v>
      </c>
      <c r="O155" t="str">
        <f t="shared" si="13"/>
        <v>First Class</v>
      </c>
      <c r="P155" t="str">
        <f t="shared" si="14"/>
        <v>No</v>
      </c>
    </row>
    <row r="156" spans="1:16" ht="15.5" hidden="1" x14ac:dyDescent="0.35">
      <c r="A156" s="34">
        <v>150</v>
      </c>
      <c r="B156" s="35" t="s">
        <v>326</v>
      </c>
      <c r="C156" s="35" t="s">
        <v>217</v>
      </c>
      <c r="D156" s="35" t="s">
        <v>185</v>
      </c>
      <c r="E156" s="35">
        <v>85</v>
      </c>
      <c r="F156" s="35">
        <v>91</v>
      </c>
      <c r="G156" s="35">
        <v>87</v>
      </c>
      <c r="H156" s="35">
        <v>78</v>
      </c>
      <c r="I156" s="35">
        <v>91</v>
      </c>
      <c r="J156" s="35">
        <v>90</v>
      </c>
      <c r="K156" s="35">
        <v>55</v>
      </c>
      <c r="L156" s="35">
        <f t="shared" si="10"/>
        <v>577</v>
      </c>
      <c r="M156" s="36">
        <f t="shared" si="11"/>
        <v>82.428571428571431</v>
      </c>
      <c r="N156" s="35" t="str">
        <f t="shared" si="12"/>
        <v>FAIL</v>
      </c>
      <c r="O156" t="str">
        <f t="shared" si="13"/>
        <v>First Class</v>
      </c>
      <c r="P156" t="str">
        <f t="shared" si="14"/>
        <v>No</v>
      </c>
    </row>
    <row r="157" spans="1:16" ht="15.5" hidden="1" x14ac:dyDescent="0.35">
      <c r="A157" s="34">
        <v>151</v>
      </c>
      <c r="B157" s="35" t="s">
        <v>327</v>
      </c>
      <c r="C157" s="35" t="s">
        <v>219</v>
      </c>
      <c r="D157" s="35" t="s">
        <v>179</v>
      </c>
      <c r="E157" s="35">
        <v>78</v>
      </c>
      <c r="F157" s="35">
        <v>93</v>
      </c>
      <c r="G157" s="35">
        <v>86</v>
      </c>
      <c r="H157" s="35">
        <v>88</v>
      </c>
      <c r="I157" s="35">
        <v>84</v>
      </c>
      <c r="J157" s="35">
        <v>85</v>
      </c>
      <c r="K157" s="35">
        <v>65</v>
      </c>
      <c r="L157" s="35">
        <f t="shared" si="10"/>
        <v>579</v>
      </c>
      <c r="M157" s="36">
        <f t="shared" si="11"/>
        <v>82.714285714285708</v>
      </c>
      <c r="N157" s="35" t="str">
        <f t="shared" si="12"/>
        <v>PASS</v>
      </c>
      <c r="O157" t="str">
        <f t="shared" si="13"/>
        <v>First Class</v>
      </c>
      <c r="P157" t="str">
        <f t="shared" si="14"/>
        <v>No</v>
      </c>
    </row>
    <row r="158" spans="1:16" ht="15.5" hidden="1" x14ac:dyDescent="0.35">
      <c r="A158" s="34">
        <v>152</v>
      </c>
      <c r="B158" s="35" t="s">
        <v>328</v>
      </c>
      <c r="C158" s="35" t="s">
        <v>221</v>
      </c>
      <c r="D158" s="35" t="s">
        <v>185</v>
      </c>
      <c r="E158" s="35">
        <v>90</v>
      </c>
      <c r="F158" s="35">
        <v>85</v>
      </c>
      <c r="G158" s="35">
        <v>74</v>
      </c>
      <c r="H158" s="35">
        <v>81</v>
      </c>
      <c r="I158" s="35">
        <v>73</v>
      </c>
      <c r="J158" s="35">
        <v>39</v>
      </c>
      <c r="K158" s="35">
        <v>91</v>
      </c>
      <c r="L158" s="35">
        <f t="shared" si="10"/>
        <v>533</v>
      </c>
      <c r="M158" s="36">
        <f t="shared" si="11"/>
        <v>76.142857142857139</v>
      </c>
      <c r="N158" s="35" t="str">
        <f t="shared" si="12"/>
        <v>FAIL</v>
      </c>
      <c r="O158" t="str">
        <f t="shared" si="13"/>
        <v>First Class</v>
      </c>
      <c r="P158" t="str">
        <f t="shared" si="14"/>
        <v>No</v>
      </c>
    </row>
    <row r="159" spans="1:16" ht="15.5" hidden="1" x14ac:dyDescent="0.35">
      <c r="A159" s="34">
        <v>153</v>
      </c>
      <c r="B159" s="35" t="s">
        <v>329</v>
      </c>
      <c r="C159" s="35" t="s">
        <v>223</v>
      </c>
      <c r="D159" s="35" t="s">
        <v>185</v>
      </c>
      <c r="E159" s="35">
        <v>45</v>
      </c>
      <c r="F159" s="35">
        <v>78</v>
      </c>
      <c r="G159" s="35">
        <v>89</v>
      </c>
      <c r="H159" s="35">
        <v>91</v>
      </c>
      <c r="I159" s="35">
        <v>97</v>
      </c>
      <c r="J159" s="35">
        <v>84</v>
      </c>
      <c r="K159" s="35">
        <v>65</v>
      </c>
      <c r="L159" s="35">
        <f t="shared" si="10"/>
        <v>549</v>
      </c>
      <c r="M159" s="36">
        <f t="shared" si="11"/>
        <v>78.428571428571431</v>
      </c>
      <c r="N159" s="35" t="str">
        <f t="shared" si="12"/>
        <v>FAIL</v>
      </c>
      <c r="O159" t="str">
        <f t="shared" si="13"/>
        <v>First Class</v>
      </c>
      <c r="P159" t="str">
        <f t="shared" si="14"/>
        <v>No</v>
      </c>
    </row>
    <row r="160" spans="1:16" ht="15.5" hidden="1" x14ac:dyDescent="0.35">
      <c r="A160" s="34">
        <v>154</v>
      </c>
      <c r="B160" s="35" t="s">
        <v>330</v>
      </c>
      <c r="C160" s="35" t="s">
        <v>225</v>
      </c>
      <c r="D160" s="35" t="s">
        <v>179</v>
      </c>
      <c r="E160" s="35">
        <v>75</v>
      </c>
      <c r="F160" s="35">
        <v>70</v>
      </c>
      <c r="G160" s="35">
        <v>92</v>
      </c>
      <c r="H160" s="35">
        <v>93</v>
      </c>
      <c r="I160" s="35">
        <v>91</v>
      </c>
      <c r="J160" s="35">
        <v>92</v>
      </c>
      <c r="K160" s="35">
        <v>58</v>
      </c>
      <c r="L160" s="35">
        <f t="shared" si="10"/>
        <v>571</v>
      </c>
      <c r="M160" s="36">
        <f t="shared" si="11"/>
        <v>81.571428571428569</v>
      </c>
      <c r="N160" s="35" t="str">
        <f t="shared" si="12"/>
        <v>FAIL</v>
      </c>
      <c r="O160" t="str">
        <f t="shared" si="13"/>
        <v>First Class</v>
      </c>
      <c r="P160" t="str">
        <f t="shared" si="14"/>
        <v>No</v>
      </c>
    </row>
    <row r="161" spans="1:16" ht="15.5" hidden="1" x14ac:dyDescent="0.35">
      <c r="A161" s="34">
        <v>155</v>
      </c>
      <c r="B161" s="35" t="s">
        <v>262</v>
      </c>
      <c r="C161" s="35" t="s">
        <v>227</v>
      </c>
      <c r="D161" s="35" t="s">
        <v>179</v>
      </c>
      <c r="E161" s="35">
        <v>99</v>
      </c>
      <c r="F161" s="35">
        <v>55</v>
      </c>
      <c r="G161" s="35">
        <v>89</v>
      </c>
      <c r="H161" s="35">
        <v>85</v>
      </c>
      <c r="I161" s="35">
        <v>84</v>
      </c>
      <c r="J161" s="35">
        <v>95</v>
      </c>
      <c r="K161" s="35">
        <v>45</v>
      </c>
      <c r="L161" s="35">
        <f t="shared" si="10"/>
        <v>552</v>
      </c>
      <c r="M161" s="36">
        <f t="shared" si="11"/>
        <v>78.857142857142861</v>
      </c>
      <c r="N161" s="35" t="str">
        <f t="shared" si="12"/>
        <v>FAIL</v>
      </c>
      <c r="O161" t="str">
        <f t="shared" si="13"/>
        <v>First Class</v>
      </c>
      <c r="P161" t="str">
        <f t="shared" si="14"/>
        <v>No</v>
      </c>
    </row>
    <row r="162" spans="1:16" ht="15.5" hidden="1" x14ac:dyDescent="0.35">
      <c r="A162" s="34">
        <v>156</v>
      </c>
      <c r="B162" s="35" t="s">
        <v>331</v>
      </c>
      <c r="C162" s="35" t="s">
        <v>229</v>
      </c>
      <c r="D162" s="35" t="s">
        <v>179</v>
      </c>
      <c r="E162" s="35">
        <v>89</v>
      </c>
      <c r="F162" s="35">
        <v>97</v>
      </c>
      <c r="G162" s="35">
        <v>78</v>
      </c>
      <c r="H162" s="35">
        <v>78</v>
      </c>
      <c r="I162" s="35">
        <v>75</v>
      </c>
      <c r="J162" s="35">
        <v>87</v>
      </c>
      <c r="K162" s="35">
        <v>68</v>
      </c>
      <c r="L162" s="35">
        <f t="shared" si="10"/>
        <v>572</v>
      </c>
      <c r="M162" s="36">
        <f t="shared" si="11"/>
        <v>81.714285714285708</v>
      </c>
      <c r="N162" s="35" t="str">
        <f t="shared" si="12"/>
        <v>PASS</v>
      </c>
      <c r="O162" t="str">
        <f t="shared" si="13"/>
        <v>First Class</v>
      </c>
      <c r="P162" t="str">
        <f t="shared" si="14"/>
        <v>No</v>
      </c>
    </row>
    <row r="163" spans="1:16" ht="15.5" hidden="1" x14ac:dyDescent="0.35">
      <c r="A163" s="34">
        <v>157</v>
      </c>
      <c r="B163" s="35" t="s">
        <v>332</v>
      </c>
      <c r="C163" s="35" t="s">
        <v>231</v>
      </c>
      <c r="D163" s="35" t="s">
        <v>179</v>
      </c>
      <c r="E163" s="35">
        <v>87</v>
      </c>
      <c r="F163" s="35">
        <v>79</v>
      </c>
      <c r="G163" s="35">
        <v>88</v>
      </c>
      <c r="H163" s="35">
        <v>90</v>
      </c>
      <c r="I163" s="35">
        <v>79</v>
      </c>
      <c r="J163" s="35">
        <v>81</v>
      </c>
      <c r="K163" s="35">
        <v>71</v>
      </c>
      <c r="L163" s="35">
        <f t="shared" si="10"/>
        <v>575</v>
      </c>
      <c r="M163" s="36">
        <f t="shared" si="11"/>
        <v>82.142857142857139</v>
      </c>
      <c r="N163" s="35" t="str">
        <f t="shared" si="12"/>
        <v>PASS</v>
      </c>
      <c r="O163" t="str">
        <f t="shared" si="13"/>
        <v>First Class</v>
      </c>
      <c r="P163" t="str">
        <f t="shared" si="14"/>
        <v>No</v>
      </c>
    </row>
    <row r="164" spans="1:16" ht="15.5" hidden="1" x14ac:dyDescent="0.35">
      <c r="A164" s="34">
        <v>158</v>
      </c>
      <c r="B164" s="35" t="s">
        <v>333</v>
      </c>
      <c r="C164" s="35" t="s">
        <v>232</v>
      </c>
      <c r="D164" s="35" t="s">
        <v>179</v>
      </c>
      <c r="E164" s="35">
        <v>50</v>
      </c>
      <c r="F164" s="35">
        <v>64</v>
      </c>
      <c r="G164" s="35">
        <v>81</v>
      </c>
      <c r="H164" s="35">
        <v>45</v>
      </c>
      <c r="I164" s="35">
        <v>85</v>
      </c>
      <c r="J164" s="35">
        <v>91</v>
      </c>
      <c r="K164" s="35">
        <v>69</v>
      </c>
      <c r="L164" s="35">
        <f t="shared" si="10"/>
        <v>485</v>
      </c>
      <c r="M164" s="36">
        <f t="shared" si="11"/>
        <v>69.285714285714292</v>
      </c>
      <c r="N164" s="35" t="str">
        <f t="shared" si="12"/>
        <v>FAIL</v>
      </c>
      <c r="O164" t="str">
        <f t="shared" si="13"/>
        <v>First Class</v>
      </c>
      <c r="P164" t="str">
        <f t="shared" si="14"/>
        <v>No</v>
      </c>
    </row>
    <row r="165" spans="1:16" ht="15.5" hidden="1" x14ac:dyDescent="0.35">
      <c r="A165" s="34">
        <v>159</v>
      </c>
      <c r="B165" s="35" t="s">
        <v>334</v>
      </c>
      <c r="C165" s="35" t="s">
        <v>187</v>
      </c>
      <c r="D165" s="35" t="s">
        <v>185</v>
      </c>
      <c r="E165" s="35">
        <v>63</v>
      </c>
      <c r="F165" s="35">
        <v>76</v>
      </c>
      <c r="G165" s="35">
        <v>91</v>
      </c>
      <c r="H165" s="35">
        <v>75</v>
      </c>
      <c r="I165" s="35">
        <v>84</v>
      </c>
      <c r="J165" s="35">
        <v>84</v>
      </c>
      <c r="K165" s="35">
        <v>62</v>
      </c>
      <c r="L165" s="35">
        <f t="shared" si="10"/>
        <v>535</v>
      </c>
      <c r="M165" s="36">
        <f t="shared" si="11"/>
        <v>76.428571428571431</v>
      </c>
      <c r="N165" s="35" t="str">
        <f t="shared" si="12"/>
        <v>PASS</v>
      </c>
      <c r="O165" t="str">
        <f t="shared" si="13"/>
        <v>First Class</v>
      </c>
      <c r="P165" t="str">
        <f t="shared" si="14"/>
        <v>No</v>
      </c>
    </row>
    <row r="166" spans="1:16" ht="15.5" hidden="1" x14ac:dyDescent="0.35">
      <c r="A166" s="34">
        <v>160</v>
      </c>
      <c r="B166" s="35" t="s">
        <v>335</v>
      </c>
      <c r="C166" s="35" t="s">
        <v>191</v>
      </c>
      <c r="D166" s="35" t="s">
        <v>181</v>
      </c>
      <c r="E166" s="35">
        <v>74</v>
      </c>
      <c r="F166" s="35">
        <v>61</v>
      </c>
      <c r="G166" s="35">
        <v>93</v>
      </c>
      <c r="H166" s="35">
        <v>99</v>
      </c>
      <c r="I166" s="35">
        <v>72</v>
      </c>
      <c r="J166" s="35">
        <v>94</v>
      </c>
      <c r="K166" s="35">
        <v>62</v>
      </c>
      <c r="L166" s="35">
        <f t="shared" si="10"/>
        <v>555</v>
      </c>
      <c r="M166" s="36">
        <f t="shared" si="11"/>
        <v>79.285714285714292</v>
      </c>
      <c r="N166" s="35" t="str">
        <f t="shared" si="12"/>
        <v>PASS</v>
      </c>
      <c r="O166" t="str">
        <f t="shared" si="13"/>
        <v>First Class</v>
      </c>
      <c r="P166" t="str">
        <f t="shared" si="14"/>
        <v>No</v>
      </c>
    </row>
    <row r="167" spans="1:16" ht="15.5" hidden="1" x14ac:dyDescent="0.35">
      <c r="A167" s="34">
        <v>161</v>
      </c>
      <c r="B167" s="35" t="s">
        <v>336</v>
      </c>
      <c r="C167" s="35" t="s">
        <v>191</v>
      </c>
      <c r="D167" s="35" t="s">
        <v>185</v>
      </c>
      <c r="E167" s="35">
        <v>89</v>
      </c>
      <c r="F167" s="35">
        <v>85</v>
      </c>
      <c r="G167" s="35">
        <v>85</v>
      </c>
      <c r="H167" s="35">
        <v>89</v>
      </c>
      <c r="I167" s="35">
        <v>77</v>
      </c>
      <c r="J167" s="35">
        <v>96</v>
      </c>
      <c r="K167" s="35">
        <v>72</v>
      </c>
      <c r="L167" s="35">
        <f t="shared" si="10"/>
        <v>593</v>
      </c>
      <c r="M167" s="36">
        <f t="shared" si="11"/>
        <v>84.714285714285708</v>
      </c>
      <c r="N167" s="35" t="str">
        <f t="shared" si="12"/>
        <v>PASS</v>
      </c>
      <c r="O167" t="str">
        <f t="shared" si="13"/>
        <v>First Class</v>
      </c>
      <c r="P167" t="str">
        <f t="shared" si="14"/>
        <v>No</v>
      </c>
    </row>
    <row r="168" spans="1:16" ht="15.5" hidden="1" x14ac:dyDescent="0.35">
      <c r="A168" s="34">
        <v>162</v>
      </c>
      <c r="B168" s="35" t="s">
        <v>337</v>
      </c>
      <c r="C168" s="35" t="s">
        <v>194</v>
      </c>
      <c r="D168" s="35" t="s">
        <v>181</v>
      </c>
      <c r="E168" s="35">
        <v>77</v>
      </c>
      <c r="F168" s="35">
        <v>94</v>
      </c>
      <c r="G168" s="35">
        <v>78</v>
      </c>
      <c r="H168" s="35">
        <v>87</v>
      </c>
      <c r="I168" s="35">
        <v>87</v>
      </c>
      <c r="J168" s="35">
        <v>95</v>
      </c>
      <c r="K168" s="35">
        <v>73</v>
      </c>
      <c r="L168" s="35">
        <f t="shared" si="10"/>
        <v>591</v>
      </c>
      <c r="M168" s="36">
        <f t="shared" si="11"/>
        <v>84.428571428571431</v>
      </c>
      <c r="N168" s="35" t="str">
        <f t="shared" si="12"/>
        <v>PASS</v>
      </c>
      <c r="O168" t="str">
        <f t="shared" si="13"/>
        <v>First Class</v>
      </c>
      <c r="P168" t="str">
        <f t="shared" si="14"/>
        <v>No</v>
      </c>
    </row>
    <row r="169" spans="1:16" ht="15.5" hidden="1" x14ac:dyDescent="0.35">
      <c r="A169" s="34">
        <v>163</v>
      </c>
      <c r="B169" s="35" t="s">
        <v>305</v>
      </c>
      <c r="C169" s="35" t="s">
        <v>194</v>
      </c>
      <c r="D169" s="35" t="s">
        <v>185</v>
      </c>
      <c r="E169" s="35">
        <v>78</v>
      </c>
      <c r="F169" s="35">
        <v>70</v>
      </c>
      <c r="G169" s="35">
        <v>70</v>
      </c>
      <c r="H169" s="35">
        <v>50</v>
      </c>
      <c r="I169" s="35">
        <v>87</v>
      </c>
      <c r="J169" s="35">
        <v>88</v>
      </c>
      <c r="K169" s="35">
        <v>71</v>
      </c>
      <c r="L169" s="35">
        <f t="shared" si="10"/>
        <v>514</v>
      </c>
      <c r="M169" s="36">
        <f t="shared" si="11"/>
        <v>73.428571428571431</v>
      </c>
      <c r="N169" s="35" t="str">
        <f t="shared" si="12"/>
        <v>FAIL</v>
      </c>
      <c r="O169" t="str">
        <f t="shared" si="13"/>
        <v>Second Class</v>
      </c>
      <c r="P169" t="str">
        <f t="shared" si="14"/>
        <v>No</v>
      </c>
    </row>
    <row r="170" spans="1:16" ht="15.5" hidden="1" x14ac:dyDescent="0.35">
      <c r="A170" s="34">
        <v>164</v>
      </c>
      <c r="B170" s="35" t="s">
        <v>205</v>
      </c>
      <c r="C170" s="35" t="s">
        <v>197</v>
      </c>
      <c r="D170" s="35" t="s">
        <v>181</v>
      </c>
      <c r="E170" s="35">
        <v>90</v>
      </c>
      <c r="F170" s="35">
        <v>52</v>
      </c>
      <c r="G170" s="35">
        <v>55</v>
      </c>
      <c r="H170" s="35">
        <v>63</v>
      </c>
      <c r="I170" s="35">
        <v>86</v>
      </c>
      <c r="J170" s="35">
        <v>70</v>
      </c>
      <c r="K170" s="35">
        <v>64</v>
      </c>
      <c r="L170" s="35">
        <f t="shared" si="10"/>
        <v>480</v>
      </c>
      <c r="M170" s="36">
        <f t="shared" si="11"/>
        <v>68.571428571428569</v>
      </c>
      <c r="N170" s="35" t="str">
        <f t="shared" si="12"/>
        <v>FAIL</v>
      </c>
      <c r="O170" t="str">
        <f t="shared" si="13"/>
        <v>First Class</v>
      </c>
      <c r="P170" t="str">
        <f t="shared" si="14"/>
        <v>No</v>
      </c>
    </row>
    <row r="171" spans="1:16" ht="15.5" hidden="1" x14ac:dyDescent="0.35">
      <c r="A171" s="34">
        <v>165</v>
      </c>
      <c r="B171" s="35" t="s">
        <v>338</v>
      </c>
      <c r="C171" s="35" t="s">
        <v>199</v>
      </c>
      <c r="D171" s="35" t="s">
        <v>185</v>
      </c>
      <c r="E171" s="35">
        <v>45</v>
      </c>
      <c r="F171" s="35">
        <v>63</v>
      </c>
      <c r="G171" s="35">
        <v>97</v>
      </c>
      <c r="H171" s="35">
        <v>74</v>
      </c>
      <c r="I171" s="35">
        <v>74</v>
      </c>
      <c r="J171" s="35">
        <v>55</v>
      </c>
      <c r="K171" s="35">
        <v>74</v>
      </c>
      <c r="L171" s="35">
        <f t="shared" si="10"/>
        <v>482</v>
      </c>
      <c r="M171" s="36">
        <f t="shared" si="11"/>
        <v>68.857142857142861</v>
      </c>
      <c r="N171" s="35" t="str">
        <f t="shared" si="12"/>
        <v>FAIL</v>
      </c>
      <c r="O171" t="str">
        <f t="shared" si="13"/>
        <v>First Class</v>
      </c>
      <c r="P171" t="str">
        <f t="shared" si="14"/>
        <v>No</v>
      </c>
    </row>
    <row r="172" spans="1:16" ht="15.5" hidden="1" x14ac:dyDescent="0.35">
      <c r="A172" s="34">
        <v>166</v>
      </c>
      <c r="B172" s="35" t="s">
        <v>243</v>
      </c>
      <c r="C172" s="35" t="s">
        <v>199</v>
      </c>
      <c r="D172" s="35" t="s">
        <v>179</v>
      </c>
      <c r="E172" s="35">
        <v>75</v>
      </c>
      <c r="F172" s="35">
        <v>78</v>
      </c>
      <c r="G172" s="35">
        <v>79</v>
      </c>
      <c r="H172" s="35">
        <v>89</v>
      </c>
      <c r="I172" s="35">
        <v>89</v>
      </c>
      <c r="J172" s="35">
        <v>97</v>
      </c>
      <c r="K172" s="35">
        <v>77</v>
      </c>
      <c r="L172" s="35">
        <f t="shared" si="10"/>
        <v>584</v>
      </c>
      <c r="M172" s="36">
        <f t="shared" si="11"/>
        <v>83.428571428571431</v>
      </c>
      <c r="N172" s="35" t="str">
        <f t="shared" si="12"/>
        <v>PASS</v>
      </c>
      <c r="O172" t="str">
        <f t="shared" si="13"/>
        <v>First Class</v>
      </c>
      <c r="P172" t="str">
        <f t="shared" si="14"/>
        <v>No</v>
      </c>
    </row>
    <row r="173" spans="1:16" ht="15.5" hidden="1" x14ac:dyDescent="0.35">
      <c r="A173" s="34">
        <v>167</v>
      </c>
      <c r="B173" s="35" t="s">
        <v>244</v>
      </c>
      <c r="C173" s="35" t="s">
        <v>219</v>
      </c>
      <c r="D173" s="35" t="s">
        <v>181</v>
      </c>
      <c r="E173" s="35">
        <v>99</v>
      </c>
      <c r="F173" s="35">
        <v>66</v>
      </c>
      <c r="G173" s="35">
        <v>64</v>
      </c>
      <c r="H173" s="35">
        <v>77</v>
      </c>
      <c r="I173" s="35">
        <v>92</v>
      </c>
      <c r="J173" s="35">
        <v>79</v>
      </c>
      <c r="K173" s="35">
        <v>75</v>
      </c>
      <c r="L173" s="35">
        <f t="shared" si="10"/>
        <v>552</v>
      </c>
      <c r="M173" s="36">
        <f t="shared" si="11"/>
        <v>78.857142857142861</v>
      </c>
      <c r="N173" s="35" t="str">
        <f t="shared" si="12"/>
        <v>PASS</v>
      </c>
      <c r="O173" t="str">
        <f t="shared" si="13"/>
        <v>First Class</v>
      </c>
      <c r="P173" t="str">
        <f t="shared" si="14"/>
        <v>No</v>
      </c>
    </row>
    <row r="174" spans="1:16" ht="15.5" hidden="1" x14ac:dyDescent="0.35">
      <c r="A174" s="34">
        <v>168</v>
      </c>
      <c r="B174" s="35" t="s">
        <v>242</v>
      </c>
      <c r="C174" s="35" t="s">
        <v>221</v>
      </c>
      <c r="D174" s="35" t="s">
        <v>181</v>
      </c>
      <c r="E174" s="35">
        <v>89</v>
      </c>
      <c r="F174" s="35">
        <v>52</v>
      </c>
      <c r="G174" s="35">
        <v>76</v>
      </c>
      <c r="H174" s="35">
        <v>73</v>
      </c>
      <c r="I174" s="35">
        <v>89</v>
      </c>
      <c r="J174" s="35">
        <v>64</v>
      </c>
      <c r="K174" s="35">
        <v>63</v>
      </c>
      <c r="L174" s="35">
        <f t="shared" si="10"/>
        <v>506</v>
      </c>
      <c r="M174" s="36">
        <f t="shared" si="11"/>
        <v>72.285714285714292</v>
      </c>
      <c r="N174" s="35" t="str">
        <f t="shared" si="12"/>
        <v>FAIL</v>
      </c>
      <c r="O174" t="str">
        <f t="shared" si="13"/>
        <v>Second Class</v>
      </c>
      <c r="P174" t="str">
        <f t="shared" si="14"/>
        <v>No</v>
      </c>
    </row>
    <row r="175" spans="1:16" ht="15.5" hidden="1" x14ac:dyDescent="0.35">
      <c r="A175" s="34">
        <v>169</v>
      </c>
      <c r="B175" s="35" t="s">
        <v>245</v>
      </c>
      <c r="C175" s="35" t="s">
        <v>223</v>
      </c>
      <c r="D175" s="35" t="s">
        <v>185</v>
      </c>
      <c r="E175" s="35">
        <v>87</v>
      </c>
      <c r="F175" s="35">
        <v>81</v>
      </c>
      <c r="G175" s="35">
        <v>61</v>
      </c>
      <c r="H175" s="35">
        <v>97</v>
      </c>
      <c r="I175" s="35">
        <v>78</v>
      </c>
      <c r="J175" s="35">
        <v>76</v>
      </c>
      <c r="K175" s="35">
        <v>73</v>
      </c>
      <c r="L175" s="35">
        <f t="shared" si="10"/>
        <v>553</v>
      </c>
      <c r="M175" s="36">
        <f t="shared" si="11"/>
        <v>79</v>
      </c>
      <c r="N175" s="35" t="str">
        <f t="shared" si="12"/>
        <v>PASS</v>
      </c>
      <c r="O175" t="str">
        <f t="shared" si="13"/>
        <v>Second Class</v>
      </c>
      <c r="P175" t="str">
        <f t="shared" si="14"/>
        <v>No</v>
      </c>
    </row>
    <row r="176" spans="1:16" ht="15.5" hidden="1" x14ac:dyDescent="0.35">
      <c r="A176" s="34">
        <v>170</v>
      </c>
      <c r="B176" s="35" t="s">
        <v>246</v>
      </c>
      <c r="C176" s="35" t="s">
        <v>225</v>
      </c>
      <c r="D176" s="35" t="s">
        <v>185</v>
      </c>
      <c r="E176" s="35">
        <v>50</v>
      </c>
      <c r="F176" s="35">
        <v>81</v>
      </c>
      <c r="G176" s="35">
        <v>85</v>
      </c>
      <c r="H176" s="35">
        <v>91</v>
      </c>
      <c r="I176" s="35">
        <v>88</v>
      </c>
      <c r="J176" s="35">
        <v>61</v>
      </c>
      <c r="K176" s="35">
        <v>66</v>
      </c>
      <c r="L176" s="35">
        <f t="shared" si="10"/>
        <v>522</v>
      </c>
      <c r="M176" s="36">
        <f t="shared" si="11"/>
        <v>74.571428571428569</v>
      </c>
      <c r="N176" s="35" t="str">
        <f t="shared" si="12"/>
        <v>FAIL</v>
      </c>
      <c r="O176" t="str">
        <f t="shared" si="13"/>
        <v>Second Class</v>
      </c>
      <c r="P176" t="str">
        <f t="shared" si="14"/>
        <v>No</v>
      </c>
    </row>
    <row r="177" spans="1:16" ht="15.5" hidden="1" x14ac:dyDescent="0.35">
      <c r="A177" s="34">
        <v>171</v>
      </c>
      <c r="B177" s="35" t="s">
        <v>247</v>
      </c>
      <c r="C177" s="35" t="s">
        <v>227</v>
      </c>
      <c r="D177" s="35" t="s">
        <v>185</v>
      </c>
      <c r="E177" s="35">
        <v>63</v>
      </c>
      <c r="F177" s="35">
        <v>54</v>
      </c>
      <c r="G177" s="35">
        <v>94</v>
      </c>
      <c r="H177" s="35">
        <v>84</v>
      </c>
      <c r="I177" s="35">
        <v>81</v>
      </c>
      <c r="J177" s="35">
        <v>85</v>
      </c>
      <c r="K177" s="35">
        <v>76</v>
      </c>
      <c r="L177" s="35">
        <f t="shared" si="10"/>
        <v>537</v>
      </c>
      <c r="M177" s="36">
        <f t="shared" si="11"/>
        <v>76.714285714285708</v>
      </c>
      <c r="N177" s="35" t="str">
        <f t="shared" si="12"/>
        <v>FAIL</v>
      </c>
      <c r="O177" t="str">
        <f t="shared" si="13"/>
        <v>First Class</v>
      </c>
      <c r="P177" t="str">
        <f t="shared" si="14"/>
        <v>No</v>
      </c>
    </row>
    <row r="178" spans="1:16" ht="15.5" hidden="1" x14ac:dyDescent="0.35">
      <c r="A178" s="34">
        <v>172</v>
      </c>
      <c r="B178" s="35" t="s">
        <v>248</v>
      </c>
      <c r="C178" s="35" t="s">
        <v>199</v>
      </c>
      <c r="D178" s="35" t="s">
        <v>185</v>
      </c>
      <c r="E178" s="35">
        <v>74</v>
      </c>
      <c r="F178" s="35">
        <v>63</v>
      </c>
      <c r="G178" s="35">
        <v>70</v>
      </c>
      <c r="H178" s="35">
        <v>75</v>
      </c>
      <c r="I178" s="35">
        <v>91</v>
      </c>
      <c r="J178" s="35">
        <v>94</v>
      </c>
      <c r="K178" s="35">
        <v>92</v>
      </c>
      <c r="L178" s="35">
        <f t="shared" si="10"/>
        <v>559</v>
      </c>
      <c r="M178" s="36">
        <f t="shared" si="11"/>
        <v>79.857142857142861</v>
      </c>
      <c r="N178" s="35" t="str">
        <f t="shared" si="12"/>
        <v>PASS</v>
      </c>
      <c r="O178" t="str">
        <f t="shared" si="13"/>
        <v>First Class</v>
      </c>
      <c r="P178" t="str">
        <f t="shared" si="14"/>
        <v>No</v>
      </c>
    </row>
    <row r="179" spans="1:16" ht="15.5" hidden="1" x14ac:dyDescent="0.35">
      <c r="A179" s="34">
        <v>173</v>
      </c>
      <c r="B179" s="35" t="s">
        <v>249</v>
      </c>
      <c r="C179" s="35" t="s">
        <v>203</v>
      </c>
      <c r="D179" s="35" t="s">
        <v>185</v>
      </c>
      <c r="E179" s="35">
        <v>89</v>
      </c>
      <c r="F179" s="35">
        <v>56</v>
      </c>
      <c r="G179" s="35">
        <v>82</v>
      </c>
      <c r="H179" s="35">
        <v>79</v>
      </c>
      <c r="I179" s="35">
        <v>93</v>
      </c>
      <c r="J179" s="35">
        <v>70</v>
      </c>
      <c r="K179" s="35">
        <v>75</v>
      </c>
      <c r="L179" s="35">
        <f t="shared" si="10"/>
        <v>544</v>
      </c>
      <c r="M179" s="36">
        <f t="shared" si="11"/>
        <v>77.714285714285708</v>
      </c>
      <c r="N179" s="35" t="str">
        <f t="shared" si="12"/>
        <v>FAIL</v>
      </c>
      <c r="O179" t="str">
        <f t="shared" si="13"/>
        <v>Second Class</v>
      </c>
      <c r="P179" t="str">
        <f t="shared" si="14"/>
        <v>No</v>
      </c>
    </row>
    <row r="180" spans="1:16" ht="15.5" hidden="1" x14ac:dyDescent="0.35">
      <c r="A180" s="34">
        <v>174</v>
      </c>
      <c r="B180" s="35" t="s">
        <v>250</v>
      </c>
      <c r="C180" s="35" t="s">
        <v>203</v>
      </c>
      <c r="D180" s="35" t="s">
        <v>185</v>
      </c>
      <c r="E180" s="35">
        <v>77</v>
      </c>
      <c r="F180" s="35">
        <v>42</v>
      </c>
      <c r="G180" s="35">
        <v>96</v>
      </c>
      <c r="H180" s="35">
        <v>85</v>
      </c>
      <c r="I180" s="35">
        <v>85</v>
      </c>
      <c r="J180" s="35">
        <v>50</v>
      </c>
      <c r="K180" s="35">
        <v>68</v>
      </c>
      <c r="L180" s="35">
        <f t="shared" si="10"/>
        <v>503</v>
      </c>
      <c r="M180" s="36">
        <f t="shared" si="11"/>
        <v>71.857142857142861</v>
      </c>
      <c r="N180" s="35" t="str">
        <f t="shared" si="12"/>
        <v>FAIL</v>
      </c>
      <c r="O180" t="str">
        <f t="shared" si="13"/>
        <v>First Class</v>
      </c>
      <c r="P180" t="str">
        <f t="shared" si="14"/>
        <v>No</v>
      </c>
    </row>
    <row r="181" spans="1:16" ht="15.5" hidden="1" x14ac:dyDescent="0.35">
      <c r="A181" s="34">
        <v>175</v>
      </c>
      <c r="B181" s="35" t="s">
        <v>251</v>
      </c>
      <c r="C181" s="35" t="s">
        <v>206</v>
      </c>
      <c r="D181" s="35" t="s">
        <v>185</v>
      </c>
      <c r="E181" s="35">
        <v>85</v>
      </c>
      <c r="F181" s="35">
        <v>90</v>
      </c>
      <c r="G181" s="35">
        <v>90</v>
      </c>
      <c r="H181" s="35">
        <v>84</v>
      </c>
      <c r="I181" s="35">
        <v>78</v>
      </c>
      <c r="J181" s="35">
        <v>79</v>
      </c>
      <c r="K181" s="35">
        <v>75</v>
      </c>
      <c r="L181" s="35">
        <f t="shared" si="10"/>
        <v>581</v>
      </c>
      <c r="M181" s="36">
        <f t="shared" si="11"/>
        <v>83</v>
      </c>
      <c r="N181" s="35" t="str">
        <f t="shared" si="12"/>
        <v>PASS</v>
      </c>
      <c r="O181" t="str">
        <f t="shared" si="13"/>
        <v>Second Class</v>
      </c>
      <c r="P181" t="str">
        <f t="shared" si="14"/>
        <v>No</v>
      </c>
    </row>
    <row r="182" spans="1:16" ht="15.5" hidden="1" x14ac:dyDescent="0.35">
      <c r="A182" s="34">
        <v>176</v>
      </c>
      <c r="B182" s="35" t="s">
        <v>252</v>
      </c>
      <c r="C182" s="35" t="s">
        <v>206</v>
      </c>
      <c r="D182" s="35" t="s">
        <v>185</v>
      </c>
      <c r="E182" s="35">
        <v>92</v>
      </c>
      <c r="F182" s="35">
        <v>76</v>
      </c>
      <c r="G182" s="35">
        <v>85</v>
      </c>
      <c r="H182" s="35">
        <v>72</v>
      </c>
      <c r="I182" s="35">
        <v>70</v>
      </c>
      <c r="J182" s="35">
        <v>73</v>
      </c>
      <c r="K182" s="35">
        <v>79</v>
      </c>
      <c r="L182" s="35">
        <f t="shared" si="10"/>
        <v>547</v>
      </c>
      <c r="M182" s="36">
        <f t="shared" si="11"/>
        <v>78.142857142857139</v>
      </c>
      <c r="N182" s="35" t="str">
        <f t="shared" si="12"/>
        <v>PASS</v>
      </c>
      <c r="O182" t="str">
        <f t="shared" si="13"/>
        <v>First Class</v>
      </c>
      <c r="P182" t="str">
        <f t="shared" si="14"/>
        <v>No</v>
      </c>
    </row>
    <row r="183" spans="1:16" ht="15.5" hidden="1" x14ac:dyDescent="0.35">
      <c r="A183" s="34">
        <v>177</v>
      </c>
      <c r="B183" s="35" t="s">
        <v>253</v>
      </c>
      <c r="C183" s="35" t="s">
        <v>209</v>
      </c>
      <c r="D183" s="35" t="s">
        <v>179</v>
      </c>
      <c r="E183" s="35">
        <v>71</v>
      </c>
      <c r="F183" s="35">
        <v>75</v>
      </c>
      <c r="G183" s="35">
        <v>39</v>
      </c>
      <c r="H183" s="35">
        <v>77</v>
      </c>
      <c r="I183" s="35">
        <v>55</v>
      </c>
      <c r="J183" s="35">
        <v>87</v>
      </c>
      <c r="K183" s="35">
        <v>85</v>
      </c>
      <c r="L183" s="35">
        <f t="shared" si="10"/>
        <v>489</v>
      </c>
      <c r="M183" s="36">
        <f t="shared" si="11"/>
        <v>69.857142857142861</v>
      </c>
      <c r="N183" s="35" t="str">
        <f t="shared" si="12"/>
        <v>FAIL</v>
      </c>
      <c r="O183" t="str">
        <f t="shared" si="13"/>
        <v>First Class</v>
      </c>
      <c r="P183" t="str">
        <f t="shared" si="14"/>
        <v>No</v>
      </c>
    </row>
    <row r="184" spans="1:16" ht="15.5" hidden="1" x14ac:dyDescent="0.35">
      <c r="A184" s="34">
        <v>178</v>
      </c>
      <c r="B184" s="35" t="s">
        <v>254</v>
      </c>
      <c r="C184" s="35" t="s">
        <v>211</v>
      </c>
      <c r="D184" s="35" t="s">
        <v>179</v>
      </c>
      <c r="E184" s="35">
        <v>87</v>
      </c>
      <c r="F184" s="35">
        <v>58</v>
      </c>
      <c r="G184" s="35">
        <v>84</v>
      </c>
      <c r="H184" s="35">
        <v>87</v>
      </c>
      <c r="I184" s="35">
        <v>97</v>
      </c>
      <c r="J184" s="35">
        <v>78</v>
      </c>
      <c r="K184" s="35">
        <v>84</v>
      </c>
      <c r="L184" s="35">
        <f t="shared" si="10"/>
        <v>575</v>
      </c>
      <c r="M184" s="36">
        <f t="shared" si="11"/>
        <v>82.142857142857139</v>
      </c>
      <c r="N184" s="35" t="str">
        <f t="shared" si="12"/>
        <v>FAIL</v>
      </c>
      <c r="O184" t="str">
        <f t="shared" si="13"/>
        <v>First Class</v>
      </c>
      <c r="P184" t="str">
        <f t="shared" si="14"/>
        <v>No</v>
      </c>
    </row>
    <row r="185" spans="1:16" ht="15.5" hidden="1" x14ac:dyDescent="0.35">
      <c r="A185" s="34">
        <v>179</v>
      </c>
      <c r="B185" s="35" t="s">
        <v>255</v>
      </c>
      <c r="C185" s="35" t="s">
        <v>213</v>
      </c>
      <c r="D185" s="35" t="s">
        <v>179</v>
      </c>
      <c r="E185" s="35">
        <v>94</v>
      </c>
      <c r="F185" s="35">
        <v>52</v>
      </c>
      <c r="G185" s="35">
        <v>92</v>
      </c>
      <c r="H185" s="35">
        <v>87</v>
      </c>
      <c r="I185" s="35">
        <v>79</v>
      </c>
      <c r="J185" s="35">
        <v>80</v>
      </c>
      <c r="K185" s="35">
        <v>72</v>
      </c>
      <c r="L185" s="35">
        <f t="shared" si="10"/>
        <v>556</v>
      </c>
      <c r="M185" s="36">
        <f t="shared" si="11"/>
        <v>79.428571428571431</v>
      </c>
      <c r="N185" s="35" t="str">
        <f t="shared" si="12"/>
        <v>FAIL</v>
      </c>
      <c r="O185" t="str">
        <f t="shared" si="13"/>
        <v>Second Class</v>
      </c>
      <c r="P185" t="str">
        <f t="shared" si="14"/>
        <v>No</v>
      </c>
    </row>
    <row r="186" spans="1:16" ht="15.5" hidden="1" x14ac:dyDescent="0.35">
      <c r="A186" s="34">
        <v>180</v>
      </c>
      <c r="B186" s="35" t="s">
        <v>252</v>
      </c>
      <c r="C186" s="35" t="s">
        <v>206</v>
      </c>
      <c r="D186" s="35" t="s">
        <v>179</v>
      </c>
      <c r="E186" s="35">
        <v>83</v>
      </c>
      <c r="F186" s="35">
        <v>51</v>
      </c>
      <c r="G186" s="35">
        <v>95</v>
      </c>
      <c r="H186" s="35">
        <v>86</v>
      </c>
      <c r="I186" s="35">
        <v>64</v>
      </c>
      <c r="J186" s="35">
        <v>90</v>
      </c>
      <c r="K186" s="35">
        <v>77</v>
      </c>
      <c r="L186" s="35">
        <f t="shared" si="10"/>
        <v>546</v>
      </c>
      <c r="M186" s="36">
        <f t="shared" si="11"/>
        <v>78</v>
      </c>
      <c r="N186" s="35" t="str">
        <f t="shared" si="12"/>
        <v>FAIL</v>
      </c>
      <c r="O186" t="str">
        <f t="shared" si="13"/>
        <v>First Class</v>
      </c>
      <c r="P186" t="str">
        <f t="shared" si="14"/>
        <v>No</v>
      </c>
    </row>
    <row r="187" spans="1:16" ht="15.5" hidden="1" x14ac:dyDescent="0.35">
      <c r="A187" s="34">
        <v>181</v>
      </c>
      <c r="B187" s="35" t="s">
        <v>256</v>
      </c>
      <c r="C187" s="35" t="s">
        <v>211</v>
      </c>
      <c r="D187" s="35" t="s">
        <v>179</v>
      </c>
      <c r="E187" s="35">
        <v>80</v>
      </c>
      <c r="F187" s="35">
        <v>35</v>
      </c>
      <c r="G187" s="35">
        <v>87</v>
      </c>
      <c r="H187" s="35">
        <v>74</v>
      </c>
      <c r="I187" s="35">
        <v>76</v>
      </c>
      <c r="J187" s="35">
        <v>75</v>
      </c>
      <c r="K187" s="35">
        <v>87</v>
      </c>
      <c r="L187" s="35">
        <f t="shared" si="10"/>
        <v>514</v>
      </c>
      <c r="M187" s="36">
        <f t="shared" si="11"/>
        <v>73.428571428571431</v>
      </c>
      <c r="N187" s="35" t="str">
        <f t="shared" si="12"/>
        <v>FAIL</v>
      </c>
      <c r="O187" t="str">
        <f t="shared" si="13"/>
        <v>First Class</v>
      </c>
      <c r="P187" t="str">
        <f t="shared" si="14"/>
        <v>No</v>
      </c>
    </row>
    <row r="188" spans="1:16" ht="15.5" hidden="1" x14ac:dyDescent="0.35">
      <c r="A188" s="34">
        <v>182</v>
      </c>
      <c r="B188" s="35" t="s">
        <v>257</v>
      </c>
      <c r="C188" s="35" t="s">
        <v>213</v>
      </c>
      <c r="D188" s="35" t="s">
        <v>179</v>
      </c>
      <c r="E188" s="35">
        <v>90</v>
      </c>
      <c r="F188" s="35">
        <v>77</v>
      </c>
      <c r="G188" s="35">
        <v>81</v>
      </c>
      <c r="H188" s="35">
        <v>89</v>
      </c>
      <c r="I188" s="35">
        <v>61</v>
      </c>
      <c r="J188" s="35">
        <v>68</v>
      </c>
      <c r="K188" s="35">
        <v>87</v>
      </c>
      <c r="L188" s="35">
        <f t="shared" si="10"/>
        <v>553</v>
      </c>
      <c r="M188" s="36">
        <f t="shared" si="11"/>
        <v>79</v>
      </c>
      <c r="N188" s="35" t="str">
        <f t="shared" si="12"/>
        <v>PASS</v>
      </c>
      <c r="O188" t="str">
        <f t="shared" si="13"/>
        <v>Second Class</v>
      </c>
      <c r="P188" t="str">
        <f t="shared" si="14"/>
        <v>No</v>
      </c>
    </row>
    <row r="189" spans="1:16" ht="15.5" hidden="1" x14ac:dyDescent="0.35">
      <c r="A189" s="34">
        <v>183</v>
      </c>
      <c r="B189" s="35" t="s">
        <v>258</v>
      </c>
      <c r="C189" s="35" t="s">
        <v>206</v>
      </c>
      <c r="D189" s="35" t="s">
        <v>179</v>
      </c>
      <c r="E189" s="35">
        <v>75</v>
      </c>
      <c r="F189" s="35">
        <v>60</v>
      </c>
      <c r="G189" s="35">
        <v>91</v>
      </c>
      <c r="H189" s="35">
        <v>92</v>
      </c>
      <c r="I189" s="35">
        <v>85</v>
      </c>
      <c r="J189" s="35">
        <v>80</v>
      </c>
      <c r="K189" s="35">
        <v>86</v>
      </c>
      <c r="L189" s="35">
        <f t="shared" si="10"/>
        <v>569</v>
      </c>
      <c r="M189" s="36">
        <f t="shared" si="11"/>
        <v>81.285714285714292</v>
      </c>
      <c r="N189" s="35" t="str">
        <f t="shared" si="12"/>
        <v>PASS</v>
      </c>
      <c r="O189" t="str">
        <f t="shared" si="13"/>
        <v>First Class</v>
      </c>
      <c r="P189" t="str">
        <f t="shared" si="14"/>
        <v>No</v>
      </c>
    </row>
    <row r="190" spans="1:16" ht="15.5" hidden="1" x14ac:dyDescent="0.35">
      <c r="A190" s="34">
        <v>184</v>
      </c>
      <c r="B190" s="35" t="s">
        <v>259</v>
      </c>
      <c r="C190" s="35" t="s">
        <v>206</v>
      </c>
      <c r="D190" s="35" t="s">
        <v>179</v>
      </c>
      <c r="E190" s="35">
        <v>68</v>
      </c>
      <c r="F190" s="35">
        <v>54</v>
      </c>
      <c r="G190" s="35">
        <v>84</v>
      </c>
      <c r="H190" s="35">
        <v>89</v>
      </c>
      <c r="I190" s="35">
        <v>94</v>
      </c>
      <c r="J190" s="35">
        <v>71</v>
      </c>
      <c r="K190" s="35">
        <v>74</v>
      </c>
      <c r="L190" s="35">
        <f t="shared" si="10"/>
        <v>534</v>
      </c>
      <c r="M190" s="36">
        <f t="shared" si="11"/>
        <v>76.285714285714292</v>
      </c>
      <c r="N190" s="35" t="str">
        <f t="shared" si="12"/>
        <v>FAIL</v>
      </c>
      <c r="O190" t="str">
        <f t="shared" si="13"/>
        <v>First Class</v>
      </c>
      <c r="P190" t="str">
        <f t="shared" si="14"/>
        <v>No</v>
      </c>
    </row>
    <row r="191" spans="1:16" ht="15.5" hidden="1" x14ac:dyDescent="0.35">
      <c r="A191" s="34">
        <v>185</v>
      </c>
      <c r="B191" s="35" t="s">
        <v>260</v>
      </c>
      <c r="C191" s="35" t="s">
        <v>217</v>
      </c>
      <c r="D191" s="35" t="s">
        <v>181</v>
      </c>
      <c r="E191" s="35">
        <v>80</v>
      </c>
      <c r="F191" s="35">
        <v>63</v>
      </c>
      <c r="G191" s="35">
        <v>94</v>
      </c>
      <c r="H191" s="35">
        <v>78</v>
      </c>
      <c r="I191" s="35">
        <v>70</v>
      </c>
      <c r="J191" s="35">
        <v>74</v>
      </c>
      <c r="K191" s="35">
        <v>89</v>
      </c>
      <c r="L191" s="35">
        <f t="shared" si="10"/>
        <v>548</v>
      </c>
      <c r="M191" s="36">
        <f t="shared" si="11"/>
        <v>78.285714285714292</v>
      </c>
      <c r="N191" s="35" t="str">
        <f t="shared" si="12"/>
        <v>PASS</v>
      </c>
      <c r="O191" t="str">
        <f t="shared" si="13"/>
        <v>First Class</v>
      </c>
      <c r="P191" t="str">
        <f t="shared" si="14"/>
        <v>No</v>
      </c>
    </row>
    <row r="192" spans="1:16" ht="15.5" hidden="1" x14ac:dyDescent="0.35">
      <c r="A192" s="34">
        <v>186</v>
      </c>
      <c r="B192" s="35" t="s">
        <v>261</v>
      </c>
      <c r="C192" s="35" t="s">
        <v>219</v>
      </c>
      <c r="D192" s="35" t="s">
        <v>181</v>
      </c>
      <c r="E192" s="35">
        <v>71</v>
      </c>
      <c r="F192" s="35">
        <v>66</v>
      </c>
      <c r="G192" s="35">
        <v>96</v>
      </c>
      <c r="H192" s="35">
        <v>88</v>
      </c>
      <c r="I192" s="35">
        <v>52</v>
      </c>
      <c r="J192" s="35">
        <v>77</v>
      </c>
      <c r="K192" s="35">
        <v>92</v>
      </c>
      <c r="L192" s="35">
        <f t="shared" si="10"/>
        <v>542</v>
      </c>
      <c r="M192" s="36">
        <f t="shared" si="11"/>
        <v>77.428571428571431</v>
      </c>
      <c r="N192" s="35" t="str">
        <f t="shared" si="12"/>
        <v>FAIL</v>
      </c>
      <c r="O192" t="str">
        <f t="shared" si="13"/>
        <v>Second Class</v>
      </c>
      <c r="P192" t="str">
        <f t="shared" si="14"/>
        <v>No</v>
      </c>
    </row>
    <row r="193" spans="1:16" ht="15.5" hidden="1" x14ac:dyDescent="0.35">
      <c r="A193" s="34">
        <v>187</v>
      </c>
      <c r="B193" s="35" t="s">
        <v>262</v>
      </c>
      <c r="C193" s="35" t="s">
        <v>221</v>
      </c>
      <c r="D193" s="35" t="s">
        <v>181</v>
      </c>
      <c r="E193" s="35">
        <v>74</v>
      </c>
      <c r="F193" s="35">
        <v>79</v>
      </c>
      <c r="G193" s="35">
        <v>95</v>
      </c>
      <c r="H193" s="35">
        <v>77</v>
      </c>
      <c r="I193" s="35">
        <v>63</v>
      </c>
      <c r="J193" s="35">
        <v>81</v>
      </c>
      <c r="K193" s="35">
        <v>89</v>
      </c>
      <c r="L193" s="35">
        <f t="shared" si="10"/>
        <v>558</v>
      </c>
      <c r="M193" s="36">
        <f t="shared" si="11"/>
        <v>79.714285714285708</v>
      </c>
      <c r="N193" s="35" t="str">
        <f t="shared" si="12"/>
        <v>PASS</v>
      </c>
      <c r="O193" t="str">
        <f t="shared" si="13"/>
        <v>First Class</v>
      </c>
      <c r="P193" t="str">
        <f t="shared" si="14"/>
        <v>No</v>
      </c>
    </row>
    <row r="194" spans="1:16" ht="15.5" hidden="1" x14ac:dyDescent="0.35">
      <c r="A194" s="34">
        <v>188</v>
      </c>
      <c r="B194" s="35" t="s">
        <v>263</v>
      </c>
      <c r="C194" s="35" t="s">
        <v>223</v>
      </c>
      <c r="D194" s="35" t="s">
        <v>181</v>
      </c>
      <c r="E194" s="35">
        <v>77</v>
      </c>
      <c r="F194" s="35">
        <v>52</v>
      </c>
      <c r="G194" s="35">
        <v>88</v>
      </c>
      <c r="H194" s="35">
        <v>87</v>
      </c>
      <c r="I194" s="35">
        <v>78</v>
      </c>
      <c r="J194" s="35">
        <v>91</v>
      </c>
      <c r="K194" s="35">
        <v>78</v>
      </c>
      <c r="L194" s="35">
        <f t="shared" si="10"/>
        <v>551</v>
      </c>
      <c r="M194" s="36">
        <f t="shared" si="11"/>
        <v>78.714285714285708</v>
      </c>
      <c r="N194" s="35" t="str">
        <f t="shared" si="12"/>
        <v>FAIL</v>
      </c>
      <c r="O194" t="str">
        <f t="shared" si="13"/>
        <v>First Class</v>
      </c>
      <c r="P194" t="str">
        <f t="shared" si="14"/>
        <v>No</v>
      </c>
    </row>
    <row r="195" spans="1:16" ht="15.5" hidden="1" x14ac:dyDescent="0.35">
      <c r="A195" s="34">
        <v>189</v>
      </c>
      <c r="B195" s="35" t="s">
        <v>249</v>
      </c>
      <c r="C195" s="35" t="s">
        <v>225</v>
      </c>
      <c r="D195" s="35" t="s">
        <v>181</v>
      </c>
      <c r="E195" s="35">
        <v>81</v>
      </c>
      <c r="F195" s="35">
        <v>62</v>
      </c>
      <c r="G195" s="35">
        <v>50</v>
      </c>
      <c r="H195" s="35">
        <v>87</v>
      </c>
      <c r="I195" s="35">
        <v>66</v>
      </c>
      <c r="J195" s="35">
        <v>84</v>
      </c>
      <c r="K195" s="35">
        <v>88</v>
      </c>
      <c r="L195" s="35">
        <f t="shared" si="10"/>
        <v>518</v>
      </c>
      <c r="M195" s="36">
        <f t="shared" si="11"/>
        <v>74</v>
      </c>
      <c r="N195" s="35" t="str">
        <f t="shared" si="12"/>
        <v>FAIL</v>
      </c>
      <c r="O195" t="str">
        <f t="shared" si="13"/>
        <v>First Class</v>
      </c>
      <c r="P195" t="str">
        <f t="shared" si="14"/>
        <v>No</v>
      </c>
    </row>
    <row r="196" spans="1:16" ht="15.5" hidden="1" x14ac:dyDescent="0.35">
      <c r="A196" s="34">
        <v>190</v>
      </c>
      <c r="B196" s="35" t="s">
        <v>264</v>
      </c>
      <c r="C196" s="35" t="s">
        <v>227</v>
      </c>
      <c r="D196" s="35" t="s">
        <v>181</v>
      </c>
      <c r="E196" s="35">
        <v>91</v>
      </c>
      <c r="F196" s="35">
        <v>55</v>
      </c>
      <c r="G196" s="35">
        <v>79</v>
      </c>
      <c r="H196" s="35">
        <v>86</v>
      </c>
      <c r="I196" s="35">
        <v>52</v>
      </c>
      <c r="J196" s="35">
        <v>73</v>
      </c>
      <c r="K196" s="35">
        <v>81</v>
      </c>
      <c r="L196" s="35">
        <f t="shared" si="10"/>
        <v>517</v>
      </c>
      <c r="M196" s="36">
        <f t="shared" si="11"/>
        <v>73.857142857142861</v>
      </c>
      <c r="N196" s="35" t="str">
        <f t="shared" si="12"/>
        <v>FAIL</v>
      </c>
      <c r="O196" t="str">
        <f t="shared" si="13"/>
        <v>First Class</v>
      </c>
      <c r="P196" t="str">
        <f t="shared" si="14"/>
        <v>No</v>
      </c>
    </row>
    <row r="197" spans="1:16" ht="15.5" hidden="1" x14ac:dyDescent="0.35">
      <c r="A197" s="34">
        <v>191</v>
      </c>
      <c r="B197" s="35" t="s">
        <v>265</v>
      </c>
      <c r="C197" s="35" t="s">
        <v>229</v>
      </c>
      <c r="D197" s="35" t="s">
        <v>181</v>
      </c>
      <c r="E197" s="35">
        <v>84</v>
      </c>
      <c r="F197" s="35">
        <v>65</v>
      </c>
      <c r="G197" s="35">
        <v>73</v>
      </c>
      <c r="H197" s="35">
        <v>74</v>
      </c>
      <c r="I197" s="35">
        <v>81</v>
      </c>
      <c r="J197" s="35">
        <v>97</v>
      </c>
      <c r="K197" s="35">
        <v>91</v>
      </c>
      <c r="L197" s="35">
        <f t="shared" si="10"/>
        <v>565</v>
      </c>
      <c r="M197" s="36">
        <f t="shared" si="11"/>
        <v>80.714285714285708</v>
      </c>
      <c r="N197" s="35" t="str">
        <f t="shared" si="12"/>
        <v>PASS</v>
      </c>
      <c r="O197" t="str">
        <f t="shared" si="13"/>
        <v>First Class</v>
      </c>
      <c r="P197" t="str">
        <f t="shared" si="14"/>
        <v>No</v>
      </c>
    </row>
    <row r="198" spans="1:16" ht="15.5" hidden="1" x14ac:dyDescent="0.35">
      <c r="A198" s="34">
        <v>192</v>
      </c>
      <c r="B198" s="35" t="s">
        <v>266</v>
      </c>
      <c r="C198" s="35" t="s">
        <v>231</v>
      </c>
      <c r="D198" s="35" t="s">
        <v>181</v>
      </c>
      <c r="E198" s="35">
        <v>73</v>
      </c>
      <c r="F198" s="35">
        <v>91</v>
      </c>
      <c r="G198" s="35">
        <v>87</v>
      </c>
      <c r="H198" s="35">
        <v>89</v>
      </c>
      <c r="I198" s="35">
        <v>81</v>
      </c>
      <c r="J198" s="35">
        <v>91</v>
      </c>
      <c r="K198" s="35">
        <v>93</v>
      </c>
      <c r="L198" s="35">
        <f t="shared" si="10"/>
        <v>605</v>
      </c>
      <c r="M198" s="36">
        <f t="shared" si="11"/>
        <v>86.428571428571431</v>
      </c>
      <c r="N198" s="35" t="str">
        <f t="shared" si="12"/>
        <v>PASS</v>
      </c>
      <c r="O198" t="str">
        <f t="shared" si="13"/>
        <v>First Class</v>
      </c>
      <c r="P198" t="str">
        <f t="shared" si="14"/>
        <v>No</v>
      </c>
    </row>
    <row r="199" spans="1:16" ht="15.5" hidden="1" x14ac:dyDescent="0.35">
      <c r="A199" s="34">
        <v>193</v>
      </c>
      <c r="B199" s="35" t="s">
        <v>267</v>
      </c>
      <c r="C199" s="35" t="s">
        <v>232</v>
      </c>
      <c r="D199" s="35" t="s">
        <v>179</v>
      </c>
      <c r="E199" s="35">
        <v>97</v>
      </c>
      <c r="F199" s="35">
        <v>65</v>
      </c>
      <c r="G199" s="35">
        <v>78</v>
      </c>
      <c r="H199" s="35">
        <v>92</v>
      </c>
      <c r="I199" s="35">
        <v>54</v>
      </c>
      <c r="J199" s="35">
        <v>84</v>
      </c>
      <c r="K199" s="35">
        <v>85</v>
      </c>
      <c r="L199" s="35">
        <f t="shared" si="10"/>
        <v>555</v>
      </c>
      <c r="M199" s="36">
        <f t="shared" si="11"/>
        <v>79.285714285714292</v>
      </c>
      <c r="N199" s="35" t="str">
        <f t="shared" si="12"/>
        <v>FAIL</v>
      </c>
      <c r="O199" t="str">
        <f t="shared" si="13"/>
        <v>First Class</v>
      </c>
      <c r="P199" t="str">
        <f t="shared" si="14"/>
        <v>No</v>
      </c>
    </row>
    <row r="200" spans="1:16" ht="15.5" hidden="1" x14ac:dyDescent="0.35">
      <c r="A200" s="34">
        <v>194</v>
      </c>
      <c r="B200" s="35" t="s">
        <v>268</v>
      </c>
      <c r="C200" s="35" t="s">
        <v>187</v>
      </c>
      <c r="D200" s="35" t="s">
        <v>179</v>
      </c>
      <c r="E200" s="35">
        <v>91</v>
      </c>
      <c r="F200" s="35">
        <v>58</v>
      </c>
      <c r="G200" s="35">
        <v>80</v>
      </c>
      <c r="H200" s="35">
        <v>89</v>
      </c>
      <c r="I200" s="35">
        <v>63</v>
      </c>
      <c r="J200" s="35">
        <v>75</v>
      </c>
      <c r="K200" s="35">
        <v>78</v>
      </c>
      <c r="L200" s="35">
        <f t="shared" ref="L200:L263" si="15">SUM(E200:K200)</f>
        <v>534</v>
      </c>
      <c r="M200" s="36">
        <f t="shared" ref="M200:M263" si="16">AVERAGE(E200:K200)</f>
        <v>76.285714285714292</v>
      </c>
      <c r="N200" s="35" t="str">
        <f t="shared" ref="N200:N263" si="17">IF(MIN(E200:K200)&gt;=60,"PASS","FAIL")</f>
        <v>FAIL</v>
      </c>
      <c r="O200" t="str">
        <f t="shared" ref="O200:O263" si="18">IF(M195&gt;=85,"Distinction",IF(M195&gt;=75,"First Class",IF(M195&gt;=65,"Second Class",IF(M195&gt;=60,"Pass","Fail"))))</f>
        <v>Second Class</v>
      </c>
      <c r="P200" t="str">
        <f t="shared" ref="P200:P263" si="19">IF(M195&gt;=85,"Yes","No")</f>
        <v>No</v>
      </c>
    </row>
    <row r="201" spans="1:16" ht="15.5" hidden="1" x14ac:dyDescent="0.35">
      <c r="A201" s="34">
        <v>195</v>
      </c>
      <c r="B201" s="35" t="s">
        <v>269</v>
      </c>
      <c r="C201" s="35" t="s">
        <v>191</v>
      </c>
      <c r="D201" s="35" t="s">
        <v>179</v>
      </c>
      <c r="E201" s="35">
        <v>84</v>
      </c>
      <c r="F201" s="35">
        <v>45</v>
      </c>
      <c r="G201" s="35">
        <v>90</v>
      </c>
      <c r="H201" s="35">
        <v>78</v>
      </c>
      <c r="I201" s="35">
        <v>56</v>
      </c>
      <c r="J201" s="35">
        <v>79</v>
      </c>
      <c r="K201" s="35">
        <v>90</v>
      </c>
      <c r="L201" s="35">
        <f t="shared" si="15"/>
        <v>522</v>
      </c>
      <c r="M201" s="36">
        <f t="shared" si="16"/>
        <v>74.571428571428569</v>
      </c>
      <c r="N201" s="35" t="str">
        <f t="shared" si="17"/>
        <v>FAIL</v>
      </c>
      <c r="O201" t="str">
        <f t="shared" si="18"/>
        <v>Second Class</v>
      </c>
      <c r="P201" t="str">
        <f t="shared" si="19"/>
        <v>No</v>
      </c>
    </row>
    <row r="202" spans="1:16" ht="15.5" hidden="1" x14ac:dyDescent="0.35">
      <c r="A202" s="34">
        <v>196</v>
      </c>
      <c r="B202" s="35" t="s">
        <v>339</v>
      </c>
      <c r="C202" s="35" t="s">
        <v>191</v>
      </c>
      <c r="D202" s="35" t="s">
        <v>179</v>
      </c>
      <c r="E202" s="35">
        <v>75</v>
      </c>
      <c r="F202" s="35">
        <v>68</v>
      </c>
      <c r="G202" s="35">
        <v>75</v>
      </c>
      <c r="H202" s="35">
        <v>88</v>
      </c>
      <c r="I202" s="35">
        <v>42</v>
      </c>
      <c r="J202" s="35">
        <v>85</v>
      </c>
      <c r="K202" s="35">
        <v>45</v>
      </c>
      <c r="L202" s="35">
        <f t="shared" si="15"/>
        <v>478</v>
      </c>
      <c r="M202" s="36">
        <f t="shared" si="16"/>
        <v>68.285714285714292</v>
      </c>
      <c r="N202" s="35" t="str">
        <f t="shared" si="17"/>
        <v>FAIL</v>
      </c>
      <c r="O202" t="str">
        <f t="shared" si="18"/>
        <v>First Class</v>
      </c>
      <c r="P202" t="str">
        <f t="shared" si="19"/>
        <v>No</v>
      </c>
    </row>
    <row r="203" spans="1:16" ht="15.5" x14ac:dyDescent="0.35">
      <c r="A203" s="34">
        <v>197</v>
      </c>
      <c r="B203" s="35" t="s">
        <v>340</v>
      </c>
      <c r="C203" s="35" t="s">
        <v>194</v>
      </c>
      <c r="D203" s="35" t="s">
        <v>179</v>
      </c>
      <c r="E203" s="35">
        <v>79</v>
      </c>
      <c r="F203" s="35">
        <v>71</v>
      </c>
      <c r="G203" s="35">
        <v>68</v>
      </c>
      <c r="H203" s="35">
        <v>81</v>
      </c>
      <c r="I203" s="35">
        <v>90</v>
      </c>
      <c r="J203" s="35">
        <v>84</v>
      </c>
      <c r="K203" s="35">
        <v>75</v>
      </c>
      <c r="L203" s="35">
        <f t="shared" si="15"/>
        <v>548</v>
      </c>
      <c r="M203" s="36">
        <f t="shared" si="16"/>
        <v>78.285714285714292</v>
      </c>
      <c r="N203" s="35" t="str">
        <f t="shared" si="17"/>
        <v>PASS</v>
      </c>
      <c r="O203" t="str">
        <f t="shared" si="18"/>
        <v>Distinction</v>
      </c>
      <c r="P203" t="str">
        <f t="shared" si="19"/>
        <v>Yes</v>
      </c>
    </row>
    <row r="204" spans="1:16" ht="15.5" hidden="1" x14ac:dyDescent="0.35">
      <c r="A204" s="34">
        <v>198</v>
      </c>
      <c r="B204" s="35" t="s">
        <v>273</v>
      </c>
      <c r="C204" s="35" t="s">
        <v>194</v>
      </c>
      <c r="D204" s="35" t="s">
        <v>185</v>
      </c>
      <c r="E204" s="35">
        <v>85</v>
      </c>
      <c r="F204" s="35">
        <v>69</v>
      </c>
      <c r="G204" s="35">
        <v>80</v>
      </c>
      <c r="H204" s="35">
        <v>91</v>
      </c>
      <c r="I204" s="35">
        <v>76</v>
      </c>
      <c r="J204" s="35">
        <v>72</v>
      </c>
      <c r="K204" s="35">
        <v>99</v>
      </c>
      <c r="L204" s="35">
        <f t="shared" si="15"/>
        <v>572</v>
      </c>
      <c r="M204" s="36">
        <f t="shared" si="16"/>
        <v>81.714285714285708</v>
      </c>
      <c r="N204" s="35" t="str">
        <f t="shared" si="17"/>
        <v>PASS</v>
      </c>
      <c r="O204" t="str">
        <f t="shared" si="18"/>
        <v>First Class</v>
      </c>
      <c r="P204" t="str">
        <f t="shared" si="19"/>
        <v>No</v>
      </c>
    </row>
    <row r="205" spans="1:16" ht="15.5" hidden="1" x14ac:dyDescent="0.35">
      <c r="A205" s="34">
        <v>199</v>
      </c>
      <c r="B205" s="35" t="s">
        <v>341</v>
      </c>
      <c r="C205" s="35" t="s">
        <v>197</v>
      </c>
      <c r="D205" s="35" t="s">
        <v>185</v>
      </c>
      <c r="E205" s="35">
        <v>84</v>
      </c>
      <c r="F205" s="35">
        <v>62</v>
      </c>
      <c r="G205" s="35">
        <v>71</v>
      </c>
      <c r="H205" s="35">
        <v>93</v>
      </c>
      <c r="I205" s="35">
        <v>75</v>
      </c>
      <c r="J205" s="35">
        <v>77</v>
      </c>
      <c r="K205" s="35">
        <v>89</v>
      </c>
      <c r="L205" s="35">
        <f t="shared" si="15"/>
        <v>551</v>
      </c>
      <c r="M205" s="36">
        <f t="shared" si="16"/>
        <v>78.714285714285708</v>
      </c>
      <c r="N205" s="35" t="str">
        <f t="shared" si="17"/>
        <v>PASS</v>
      </c>
      <c r="O205" t="str">
        <f t="shared" si="18"/>
        <v>First Class</v>
      </c>
      <c r="P205" t="str">
        <f t="shared" si="19"/>
        <v>No</v>
      </c>
    </row>
    <row r="206" spans="1:16" ht="15.5" hidden="1" x14ac:dyDescent="0.35">
      <c r="A206" s="34">
        <v>200</v>
      </c>
      <c r="B206" s="35" t="s">
        <v>342</v>
      </c>
      <c r="C206" s="35" t="s">
        <v>199</v>
      </c>
      <c r="D206" s="35" t="s">
        <v>185</v>
      </c>
      <c r="E206" s="35">
        <v>72</v>
      </c>
      <c r="F206" s="35">
        <v>62</v>
      </c>
      <c r="G206" s="35">
        <v>74</v>
      </c>
      <c r="H206" s="35">
        <v>85</v>
      </c>
      <c r="I206" s="35">
        <v>58</v>
      </c>
      <c r="J206" s="35">
        <v>87</v>
      </c>
      <c r="K206" s="35">
        <v>87</v>
      </c>
      <c r="L206" s="35">
        <f t="shared" si="15"/>
        <v>525</v>
      </c>
      <c r="M206" s="36">
        <f t="shared" si="16"/>
        <v>75</v>
      </c>
      <c r="N206" s="35" t="str">
        <f t="shared" si="17"/>
        <v>FAIL</v>
      </c>
      <c r="O206" t="str">
        <f t="shared" si="18"/>
        <v>Second Class</v>
      </c>
      <c r="P206" t="str">
        <f t="shared" si="19"/>
        <v>No</v>
      </c>
    </row>
    <row r="207" spans="1:16" ht="15.5" hidden="1" x14ac:dyDescent="0.35">
      <c r="A207" s="34">
        <v>201</v>
      </c>
      <c r="B207" s="35" t="s">
        <v>343</v>
      </c>
      <c r="C207" s="35" t="s">
        <v>199</v>
      </c>
      <c r="D207" s="35" t="s">
        <v>185</v>
      </c>
      <c r="E207" s="35">
        <v>77</v>
      </c>
      <c r="F207" s="35">
        <v>72</v>
      </c>
      <c r="G207" s="35">
        <v>77</v>
      </c>
      <c r="H207" s="35">
        <v>78</v>
      </c>
      <c r="I207" s="35">
        <v>52</v>
      </c>
      <c r="J207" s="35">
        <v>87</v>
      </c>
      <c r="K207" s="35">
        <v>50</v>
      </c>
      <c r="L207" s="35">
        <f t="shared" si="15"/>
        <v>493</v>
      </c>
      <c r="M207" s="36">
        <f t="shared" si="16"/>
        <v>70.428571428571431</v>
      </c>
      <c r="N207" s="35" t="str">
        <f t="shared" si="17"/>
        <v>FAIL</v>
      </c>
      <c r="O207" t="str">
        <f t="shared" si="18"/>
        <v>Second Class</v>
      </c>
      <c r="P207" t="str">
        <f t="shared" si="19"/>
        <v>No</v>
      </c>
    </row>
    <row r="208" spans="1:16" ht="15.5" hidden="1" x14ac:dyDescent="0.35">
      <c r="A208" s="34">
        <v>202</v>
      </c>
      <c r="B208" s="35" t="s">
        <v>344</v>
      </c>
      <c r="C208" s="35" t="s">
        <v>219</v>
      </c>
      <c r="D208" s="35" t="s">
        <v>185</v>
      </c>
      <c r="E208" s="35">
        <v>87</v>
      </c>
      <c r="F208" s="35">
        <v>73</v>
      </c>
      <c r="G208" s="35">
        <v>81</v>
      </c>
      <c r="H208" s="35">
        <v>70</v>
      </c>
      <c r="I208" s="35">
        <v>51</v>
      </c>
      <c r="J208" s="35">
        <v>86</v>
      </c>
      <c r="K208" s="35">
        <v>63</v>
      </c>
      <c r="L208" s="35">
        <f t="shared" si="15"/>
        <v>511</v>
      </c>
      <c r="M208" s="36">
        <f t="shared" si="16"/>
        <v>73</v>
      </c>
      <c r="N208" s="35" t="str">
        <f t="shared" si="17"/>
        <v>FAIL</v>
      </c>
      <c r="O208" t="str">
        <f t="shared" si="18"/>
        <v>First Class</v>
      </c>
      <c r="P208" t="str">
        <f t="shared" si="19"/>
        <v>No</v>
      </c>
    </row>
    <row r="209" spans="1:16" ht="15.5" hidden="1" x14ac:dyDescent="0.35">
      <c r="A209" s="34">
        <v>203</v>
      </c>
      <c r="B209" s="35" t="s">
        <v>345</v>
      </c>
      <c r="C209" s="35" t="s">
        <v>221</v>
      </c>
      <c r="D209" s="35" t="s">
        <v>185</v>
      </c>
      <c r="E209" s="35">
        <v>87</v>
      </c>
      <c r="F209" s="35">
        <v>71</v>
      </c>
      <c r="G209" s="35">
        <v>91</v>
      </c>
      <c r="H209" s="35">
        <v>55</v>
      </c>
      <c r="I209" s="35">
        <v>35</v>
      </c>
      <c r="J209" s="35">
        <v>74</v>
      </c>
      <c r="K209" s="35">
        <v>74</v>
      </c>
      <c r="L209" s="35">
        <f t="shared" si="15"/>
        <v>487</v>
      </c>
      <c r="M209" s="36">
        <f t="shared" si="16"/>
        <v>69.571428571428569</v>
      </c>
      <c r="N209" s="35" t="str">
        <f t="shared" si="17"/>
        <v>FAIL</v>
      </c>
      <c r="O209" t="str">
        <f t="shared" si="18"/>
        <v>First Class</v>
      </c>
      <c r="P209" t="str">
        <f t="shared" si="19"/>
        <v>No</v>
      </c>
    </row>
    <row r="210" spans="1:16" ht="15.5" hidden="1" x14ac:dyDescent="0.35">
      <c r="A210" s="34">
        <v>204</v>
      </c>
      <c r="B210" s="35" t="s">
        <v>346</v>
      </c>
      <c r="C210" s="35" t="s">
        <v>223</v>
      </c>
      <c r="D210" s="35" t="s">
        <v>185</v>
      </c>
      <c r="E210" s="35">
        <v>89</v>
      </c>
      <c r="F210" s="35">
        <v>64</v>
      </c>
      <c r="G210" s="35">
        <v>84</v>
      </c>
      <c r="H210" s="35">
        <v>97</v>
      </c>
      <c r="I210" s="35">
        <v>77</v>
      </c>
      <c r="J210" s="35">
        <v>89</v>
      </c>
      <c r="K210" s="35">
        <v>89</v>
      </c>
      <c r="L210" s="35">
        <f t="shared" si="15"/>
        <v>589</v>
      </c>
      <c r="M210" s="36">
        <f t="shared" si="16"/>
        <v>84.142857142857139</v>
      </c>
      <c r="N210" s="35" t="str">
        <f t="shared" si="17"/>
        <v>PASS</v>
      </c>
      <c r="O210" t="str">
        <f t="shared" si="18"/>
        <v>First Class</v>
      </c>
      <c r="P210" t="str">
        <f t="shared" si="19"/>
        <v>No</v>
      </c>
    </row>
    <row r="211" spans="1:16" ht="15.5" hidden="1" x14ac:dyDescent="0.35">
      <c r="A211" s="34">
        <v>205</v>
      </c>
      <c r="B211" s="35" t="s">
        <v>347</v>
      </c>
      <c r="C211" s="35" t="s">
        <v>225</v>
      </c>
      <c r="D211" s="35" t="s">
        <v>185</v>
      </c>
      <c r="E211" s="35">
        <v>92</v>
      </c>
      <c r="F211" s="35">
        <v>74</v>
      </c>
      <c r="G211" s="35">
        <v>73</v>
      </c>
      <c r="H211" s="35">
        <v>79</v>
      </c>
      <c r="I211" s="35">
        <v>60</v>
      </c>
      <c r="J211" s="35">
        <v>92</v>
      </c>
      <c r="K211" s="35">
        <v>77</v>
      </c>
      <c r="L211" s="35">
        <f t="shared" si="15"/>
        <v>547</v>
      </c>
      <c r="M211" s="36">
        <f t="shared" si="16"/>
        <v>78.142857142857139</v>
      </c>
      <c r="N211" s="35" t="str">
        <f t="shared" si="17"/>
        <v>PASS</v>
      </c>
      <c r="O211" t="str">
        <f t="shared" si="18"/>
        <v>First Class</v>
      </c>
      <c r="P211" t="str">
        <f t="shared" si="19"/>
        <v>No</v>
      </c>
    </row>
    <row r="212" spans="1:16" ht="15.5" hidden="1" x14ac:dyDescent="0.35">
      <c r="A212" s="34">
        <v>206</v>
      </c>
      <c r="B212" s="35" t="s">
        <v>348</v>
      </c>
      <c r="C212" s="35" t="s">
        <v>227</v>
      </c>
      <c r="D212" s="35" t="s">
        <v>179</v>
      </c>
      <c r="E212" s="35">
        <v>89</v>
      </c>
      <c r="F212" s="35">
        <v>77</v>
      </c>
      <c r="G212" s="35">
        <v>97</v>
      </c>
      <c r="H212" s="35">
        <v>64</v>
      </c>
      <c r="I212" s="35">
        <v>54</v>
      </c>
      <c r="J212" s="35">
        <v>89</v>
      </c>
      <c r="K212" s="35">
        <v>85</v>
      </c>
      <c r="L212" s="35">
        <f t="shared" si="15"/>
        <v>555</v>
      </c>
      <c r="M212" s="36">
        <f t="shared" si="16"/>
        <v>79.285714285714292</v>
      </c>
      <c r="N212" s="35" t="str">
        <f t="shared" si="17"/>
        <v>FAIL</v>
      </c>
      <c r="O212" t="str">
        <f t="shared" si="18"/>
        <v>Second Class</v>
      </c>
      <c r="P212" t="str">
        <f t="shared" si="19"/>
        <v>No</v>
      </c>
    </row>
    <row r="213" spans="1:16" ht="15.5" hidden="1" x14ac:dyDescent="0.35">
      <c r="A213" s="34">
        <v>207</v>
      </c>
      <c r="B213" s="35" t="s">
        <v>349</v>
      </c>
      <c r="C213" s="35" t="s">
        <v>199</v>
      </c>
      <c r="D213" s="35" t="s">
        <v>179</v>
      </c>
      <c r="E213" s="35">
        <v>78</v>
      </c>
      <c r="F213" s="35">
        <v>75</v>
      </c>
      <c r="G213" s="35">
        <v>91</v>
      </c>
      <c r="H213" s="35">
        <v>76</v>
      </c>
      <c r="I213" s="35">
        <v>63</v>
      </c>
      <c r="J213" s="35">
        <v>78</v>
      </c>
      <c r="K213" s="35">
        <v>92</v>
      </c>
      <c r="L213" s="35">
        <f t="shared" si="15"/>
        <v>553</v>
      </c>
      <c r="M213" s="36">
        <f t="shared" si="16"/>
        <v>79</v>
      </c>
      <c r="N213" s="35" t="str">
        <f t="shared" si="17"/>
        <v>PASS</v>
      </c>
      <c r="O213" t="str">
        <f t="shared" si="18"/>
        <v>Second Class</v>
      </c>
      <c r="P213" t="str">
        <f t="shared" si="19"/>
        <v>No</v>
      </c>
    </row>
    <row r="214" spans="1:16" ht="15.5" hidden="1" x14ac:dyDescent="0.35">
      <c r="A214" s="34">
        <v>208</v>
      </c>
      <c r="B214" s="35" t="s">
        <v>350</v>
      </c>
      <c r="C214" s="35" t="s">
        <v>203</v>
      </c>
      <c r="D214" s="35" t="s">
        <v>185</v>
      </c>
      <c r="E214" s="35">
        <v>88</v>
      </c>
      <c r="F214" s="35">
        <v>63</v>
      </c>
      <c r="G214" s="35">
        <v>84</v>
      </c>
      <c r="H214" s="35">
        <v>61</v>
      </c>
      <c r="I214" s="35">
        <v>66</v>
      </c>
      <c r="J214" s="35">
        <v>88</v>
      </c>
      <c r="K214" s="35">
        <v>71</v>
      </c>
      <c r="L214" s="35">
        <f t="shared" si="15"/>
        <v>521</v>
      </c>
      <c r="M214" s="36">
        <f t="shared" si="16"/>
        <v>74.428571428571431</v>
      </c>
      <c r="N214" s="35" t="str">
        <f t="shared" si="17"/>
        <v>PASS</v>
      </c>
      <c r="O214" t="str">
        <f t="shared" si="18"/>
        <v>Second Class</v>
      </c>
      <c r="P214" t="str">
        <f t="shared" si="19"/>
        <v>No</v>
      </c>
    </row>
    <row r="215" spans="1:16" ht="15.5" hidden="1" x14ac:dyDescent="0.35">
      <c r="A215" s="34">
        <v>209</v>
      </c>
      <c r="B215" s="35" t="s">
        <v>351</v>
      </c>
      <c r="C215" s="35" t="s">
        <v>203</v>
      </c>
      <c r="D215" s="35" t="s">
        <v>181</v>
      </c>
      <c r="E215" s="35">
        <v>81</v>
      </c>
      <c r="F215" s="35">
        <v>73</v>
      </c>
      <c r="G215" s="35">
        <v>75</v>
      </c>
      <c r="H215" s="35">
        <v>85</v>
      </c>
      <c r="I215" s="35">
        <v>79</v>
      </c>
      <c r="J215" s="35">
        <v>81</v>
      </c>
      <c r="K215" s="35">
        <v>50</v>
      </c>
      <c r="L215" s="35">
        <f t="shared" si="15"/>
        <v>524</v>
      </c>
      <c r="M215" s="36">
        <f t="shared" si="16"/>
        <v>74.857142857142861</v>
      </c>
      <c r="N215" s="35" t="str">
        <f t="shared" si="17"/>
        <v>FAIL</v>
      </c>
      <c r="O215" t="str">
        <f t="shared" si="18"/>
        <v>First Class</v>
      </c>
      <c r="P215" t="str">
        <f t="shared" si="19"/>
        <v>No</v>
      </c>
    </row>
    <row r="216" spans="1:16" ht="15.5" hidden="1" x14ac:dyDescent="0.35">
      <c r="A216" s="34">
        <v>210</v>
      </c>
      <c r="B216" s="35" t="s">
        <v>352</v>
      </c>
      <c r="C216" s="35" t="s">
        <v>206</v>
      </c>
      <c r="D216" s="35" t="s">
        <v>185</v>
      </c>
      <c r="E216" s="35">
        <v>91</v>
      </c>
      <c r="F216" s="35">
        <v>66</v>
      </c>
      <c r="G216" s="35">
        <v>79</v>
      </c>
      <c r="H216" s="35">
        <v>94</v>
      </c>
      <c r="I216" s="35">
        <v>52</v>
      </c>
      <c r="J216" s="35">
        <v>91</v>
      </c>
      <c r="K216" s="35">
        <v>79</v>
      </c>
      <c r="L216" s="35">
        <f t="shared" si="15"/>
        <v>552</v>
      </c>
      <c r="M216" s="36">
        <f t="shared" si="16"/>
        <v>78.857142857142861</v>
      </c>
      <c r="N216" s="35" t="str">
        <f t="shared" si="17"/>
        <v>FAIL</v>
      </c>
      <c r="O216" t="str">
        <f t="shared" si="18"/>
        <v>First Class</v>
      </c>
      <c r="P216" t="str">
        <f t="shared" si="19"/>
        <v>No</v>
      </c>
    </row>
    <row r="217" spans="1:16" ht="15.5" hidden="1" x14ac:dyDescent="0.35">
      <c r="A217" s="34">
        <v>211</v>
      </c>
      <c r="B217" s="35" t="s">
        <v>353</v>
      </c>
      <c r="C217" s="35" t="s">
        <v>206</v>
      </c>
      <c r="D217" s="35" t="s">
        <v>181</v>
      </c>
      <c r="E217" s="35">
        <v>93</v>
      </c>
      <c r="F217" s="35">
        <v>76</v>
      </c>
      <c r="G217" s="35">
        <v>85</v>
      </c>
      <c r="H217" s="35">
        <v>70</v>
      </c>
      <c r="I217" s="35">
        <v>62</v>
      </c>
      <c r="J217" s="35">
        <v>93</v>
      </c>
      <c r="K217" s="35">
        <v>73</v>
      </c>
      <c r="L217" s="35">
        <f t="shared" si="15"/>
        <v>552</v>
      </c>
      <c r="M217" s="36">
        <f t="shared" si="16"/>
        <v>78.857142857142861</v>
      </c>
      <c r="N217" s="35" t="str">
        <f t="shared" si="17"/>
        <v>PASS</v>
      </c>
      <c r="O217" t="str">
        <f t="shared" si="18"/>
        <v>First Class</v>
      </c>
      <c r="P217" t="str">
        <f t="shared" si="19"/>
        <v>No</v>
      </c>
    </row>
    <row r="218" spans="1:16" ht="15.5" hidden="1" x14ac:dyDescent="0.35">
      <c r="A218" s="34">
        <v>212</v>
      </c>
      <c r="B218" s="35" t="s">
        <v>354</v>
      </c>
      <c r="C218" s="35" t="s">
        <v>209</v>
      </c>
      <c r="D218" s="35" t="s">
        <v>185</v>
      </c>
      <c r="E218" s="35">
        <v>85</v>
      </c>
      <c r="F218" s="35">
        <v>92</v>
      </c>
      <c r="G218" s="35">
        <v>84</v>
      </c>
      <c r="H218" s="35">
        <v>63</v>
      </c>
      <c r="I218" s="35">
        <v>55</v>
      </c>
      <c r="J218" s="35">
        <v>85</v>
      </c>
      <c r="K218" s="35">
        <v>87</v>
      </c>
      <c r="L218" s="35">
        <f t="shared" si="15"/>
        <v>551</v>
      </c>
      <c r="M218" s="36">
        <f t="shared" si="16"/>
        <v>78.714285714285708</v>
      </c>
      <c r="N218" s="35" t="str">
        <f t="shared" si="17"/>
        <v>FAIL</v>
      </c>
      <c r="O218" t="str">
        <f t="shared" si="18"/>
        <v>First Class</v>
      </c>
      <c r="P218" t="str">
        <f t="shared" si="19"/>
        <v>No</v>
      </c>
    </row>
    <row r="219" spans="1:16" ht="15.5" hidden="1" x14ac:dyDescent="0.35">
      <c r="A219" s="34">
        <v>213</v>
      </c>
      <c r="B219" s="35" t="s">
        <v>355</v>
      </c>
      <c r="C219" s="35" t="s">
        <v>211</v>
      </c>
      <c r="D219" s="35" t="s">
        <v>181</v>
      </c>
      <c r="E219" s="35">
        <v>78</v>
      </c>
      <c r="F219" s="35">
        <v>75</v>
      </c>
      <c r="G219" s="35">
        <v>72</v>
      </c>
      <c r="H219" s="35">
        <v>66</v>
      </c>
      <c r="I219" s="35">
        <v>65</v>
      </c>
      <c r="J219" s="35">
        <v>78</v>
      </c>
      <c r="K219" s="35">
        <v>78</v>
      </c>
      <c r="L219" s="35">
        <f t="shared" si="15"/>
        <v>512</v>
      </c>
      <c r="M219" s="36">
        <f t="shared" si="16"/>
        <v>73.142857142857139</v>
      </c>
      <c r="N219" s="35" t="str">
        <f t="shared" si="17"/>
        <v>PASS</v>
      </c>
      <c r="O219" t="str">
        <f t="shared" si="18"/>
        <v>Second Class</v>
      </c>
      <c r="P219" t="str">
        <f t="shared" si="19"/>
        <v>No</v>
      </c>
    </row>
    <row r="220" spans="1:16" ht="15.5" hidden="1" x14ac:dyDescent="0.35">
      <c r="A220" s="34">
        <v>214</v>
      </c>
      <c r="B220" s="35" t="s">
        <v>356</v>
      </c>
      <c r="C220" s="35" t="s">
        <v>213</v>
      </c>
      <c r="D220" s="35" t="s">
        <v>185</v>
      </c>
      <c r="E220" s="35">
        <v>74</v>
      </c>
      <c r="F220" s="35">
        <v>68</v>
      </c>
      <c r="G220" s="35">
        <v>77</v>
      </c>
      <c r="H220" s="35">
        <v>79</v>
      </c>
      <c r="I220" s="35">
        <v>91</v>
      </c>
      <c r="J220" s="35">
        <v>70</v>
      </c>
      <c r="K220" s="35">
        <v>80</v>
      </c>
      <c r="L220" s="35">
        <f t="shared" si="15"/>
        <v>539</v>
      </c>
      <c r="M220" s="36">
        <f t="shared" si="16"/>
        <v>77</v>
      </c>
      <c r="N220" s="35" t="str">
        <f t="shared" si="17"/>
        <v>PASS</v>
      </c>
      <c r="O220" t="str">
        <f t="shared" si="18"/>
        <v>Second Class</v>
      </c>
      <c r="P220" t="str">
        <f t="shared" si="19"/>
        <v>No</v>
      </c>
    </row>
    <row r="221" spans="1:16" ht="15.5" hidden="1" x14ac:dyDescent="0.35">
      <c r="A221" s="34">
        <v>215</v>
      </c>
      <c r="B221" s="35" t="s">
        <v>357</v>
      </c>
      <c r="C221" s="35" t="s">
        <v>206</v>
      </c>
      <c r="D221" s="35" t="s">
        <v>179</v>
      </c>
      <c r="E221" s="35">
        <v>89</v>
      </c>
      <c r="F221" s="35">
        <v>75</v>
      </c>
      <c r="G221" s="35">
        <v>87</v>
      </c>
      <c r="H221" s="35">
        <v>52</v>
      </c>
      <c r="I221" s="35">
        <v>65</v>
      </c>
      <c r="J221" s="35">
        <v>55</v>
      </c>
      <c r="K221" s="35">
        <v>90</v>
      </c>
      <c r="L221" s="35">
        <f t="shared" si="15"/>
        <v>513</v>
      </c>
      <c r="M221" s="36">
        <f t="shared" si="16"/>
        <v>73.285714285714292</v>
      </c>
      <c r="N221" s="35" t="str">
        <f t="shared" si="17"/>
        <v>FAIL</v>
      </c>
      <c r="O221" t="str">
        <f t="shared" si="18"/>
        <v>First Class</v>
      </c>
      <c r="P221" t="str">
        <f t="shared" si="19"/>
        <v>No</v>
      </c>
    </row>
    <row r="222" spans="1:16" ht="15.5" hidden="1" x14ac:dyDescent="0.35">
      <c r="A222" s="34">
        <v>216</v>
      </c>
      <c r="B222" s="35" t="s">
        <v>358</v>
      </c>
      <c r="C222" s="35" t="s">
        <v>211</v>
      </c>
      <c r="D222" s="35" t="s">
        <v>181</v>
      </c>
      <c r="E222" s="35">
        <v>92</v>
      </c>
      <c r="F222" s="35">
        <v>79</v>
      </c>
      <c r="G222" s="35">
        <v>87</v>
      </c>
      <c r="H222" s="35">
        <v>62</v>
      </c>
      <c r="I222" s="35">
        <v>58</v>
      </c>
      <c r="J222" s="35">
        <v>97</v>
      </c>
      <c r="K222" s="35">
        <v>75</v>
      </c>
      <c r="L222" s="35">
        <f t="shared" si="15"/>
        <v>550</v>
      </c>
      <c r="M222" s="36">
        <f t="shared" si="16"/>
        <v>78.571428571428569</v>
      </c>
      <c r="N222" s="35" t="str">
        <f t="shared" si="17"/>
        <v>FAIL</v>
      </c>
      <c r="O222" t="str">
        <f t="shared" si="18"/>
        <v>First Class</v>
      </c>
      <c r="P222" t="str">
        <f t="shared" si="19"/>
        <v>No</v>
      </c>
    </row>
    <row r="223" spans="1:16" ht="15.5" hidden="1" x14ac:dyDescent="0.35">
      <c r="A223" s="34">
        <v>217</v>
      </c>
      <c r="B223" s="35" t="s">
        <v>359</v>
      </c>
      <c r="C223" s="35" t="s">
        <v>213</v>
      </c>
      <c r="D223" s="35" t="s">
        <v>181</v>
      </c>
      <c r="E223" s="35">
        <v>89</v>
      </c>
      <c r="F223" s="35">
        <v>85</v>
      </c>
      <c r="G223" s="35">
        <v>86</v>
      </c>
      <c r="H223" s="35">
        <v>55</v>
      </c>
      <c r="I223" s="35">
        <v>45</v>
      </c>
      <c r="J223" s="35">
        <v>79</v>
      </c>
      <c r="K223" s="35">
        <v>68</v>
      </c>
      <c r="L223" s="35">
        <f t="shared" si="15"/>
        <v>507</v>
      </c>
      <c r="M223" s="36">
        <f t="shared" si="16"/>
        <v>72.428571428571431</v>
      </c>
      <c r="N223" s="35" t="str">
        <f t="shared" si="17"/>
        <v>FAIL</v>
      </c>
      <c r="O223" t="str">
        <f t="shared" si="18"/>
        <v>First Class</v>
      </c>
      <c r="P223" t="str">
        <f t="shared" si="19"/>
        <v>No</v>
      </c>
    </row>
    <row r="224" spans="1:16" ht="15.5" hidden="1" x14ac:dyDescent="0.35">
      <c r="A224" s="34">
        <v>218</v>
      </c>
      <c r="B224" s="35" t="s">
        <v>359</v>
      </c>
      <c r="C224" s="35" t="s">
        <v>206</v>
      </c>
      <c r="D224" s="35" t="s">
        <v>185</v>
      </c>
      <c r="E224" s="35">
        <v>78</v>
      </c>
      <c r="F224" s="35">
        <v>84</v>
      </c>
      <c r="G224" s="35">
        <v>74</v>
      </c>
      <c r="H224" s="35">
        <v>65</v>
      </c>
      <c r="I224" s="35">
        <v>68</v>
      </c>
      <c r="J224" s="35">
        <v>64</v>
      </c>
      <c r="K224" s="35">
        <v>80</v>
      </c>
      <c r="L224" s="35">
        <f t="shared" si="15"/>
        <v>513</v>
      </c>
      <c r="M224" s="36">
        <f t="shared" si="16"/>
        <v>73.285714285714292</v>
      </c>
      <c r="N224" s="35" t="str">
        <f t="shared" si="17"/>
        <v>PASS</v>
      </c>
      <c r="O224" t="str">
        <f t="shared" si="18"/>
        <v>Second Class</v>
      </c>
      <c r="P224" t="str">
        <f t="shared" si="19"/>
        <v>No</v>
      </c>
    </row>
    <row r="225" spans="1:16" ht="15.5" hidden="1" x14ac:dyDescent="0.35">
      <c r="A225" s="34">
        <v>219</v>
      </c>
      <c r="B225" s="35" t="s">
        <v>360</v>
      </c>
      <c r="C225" s="35" t="s">
        <v>206</v>
      </c>
      <c r="D225" s="35" t="s">
        <v>185</v>
      </c>
      <c r="E225" s="35">
        <v>88</v>
      </c>
      <c r="F225" s="35">
        <v>72</v>
      </c>
      <c r="G225" s="35">
        <v>89</v>
      </c>
      <c r="H225" s="35">
        <v>91</v>
      </c>
      <c r="I225" s="35">
        <v>71</v>
      </c>
      <c r="J225" s="35">
        <v>76</v>
      </c>
      <c r="K225" s="35">
        <v>71</v>
      </c>
      <c r="L225" s="35">
        <f t="shared" si="15"/>
        <v>558</v>
      </c>
      <c r="M225" s="36">
        <f t="shared" si="16"/>
        <v>79.714285714285708</v>
      </c>
      <c r="N225" s="35" t="str">
        <f t="shared" si="17"/>
        <v>PASS</v>
      </c>
      <c r="O225" t="str">
        <f t="shared" si="18"/>
        <v>First Class</v>
      </c>
      <c r="P225" t="str">
        <f t="shared" si="19"/>
        <v>No</v>
      </c>
    </row>
    <row r="226" spans="1:16" ht="15.5" hidden="1" x14ac:dyDescent="0.35">
      <c r="A226" s="34">
        <v>220</v>
      </c>
      <c r="B226" s="35" t="s">
        <v>361</v>
      </c>
      <c r="C226" s="35" t="s">
        <v>217</v>
      </c>
      <c r="D226" s="35" t="s">
        <v>179</v>
      </c>
      <c r="E226" s="35">
        <v>81</v>
      </c>
      <c r="F226" s="35">
        <v>77</v>
      </c>
      <c r="G226" s="35">
        <v>92</v>
      </c>
      <c r="H226" s="35">
        <v>65</v>
      </c>
      <c r="I226" s="35">
        <v>69</v>
      </c>
      <c r="J226" s="35">
        <v>61</v>
      </c>
      <c r="K226" s="35">
        <v>74</v>
      </c>
      <c r="L226" s="35">
        <f t="shared" si="15"/>
        <v>519</v>
      </c>
      <c r="M226" s="36">
        <f t="shared" si="16"/>
        <v>74.142857142857139</v>
      </c>
      <c r="N226" s="35" t="str">
        <f t="shared" si="17"/>
        <v>PASS</v>
      </c>
      <c r="O226" t="str">
        <f t="shared" si="18"/>
        <v>Second Class</v>
      </c>
      <c r="P226" t="str">
        <f t="shared" si="19"/>
        <v>No</v>
      </c>
    </row>
    <row r="227" spans="1:16" ht="15.5" hidden="1" x14ac:dyDescent="0.35">
      <c r="A227" s="34">
        <v>221</v>
      </c>
      <c r="B227" s="35" t="s">
        <v>362</v>
      </c>
      <c r="C227" s="35" t="s">
        <v>219</v>
      </c>
      <c r="D227" s="35" t="s">
        <v>185</v>
      </c>
      <c r="E227" s="35">
        <v>91</v>
      </c>
      <c r="F227" s="35">
        <v>87</v>
      </c>
      <c r="G227" s="35">
        <v>89</v>
      </c>
      <c r="H227" s="35">
        <v>58</v>
      </c>
      <c r="I227" s="35">
        <v>62</v>
      </c>
      <c r="J227" s="35">
        <v>85</v>
      </c>
      <c r="K227" s="35">
        <v>77</v>
      </c>
      <c r="L227" s="35">
        <f t="shared" si="15"/>
        <v>549</v>
      </c>
      <c r="M227" s="36">
        <f t="shared" si="16"/>
        <v>78.428571428571431</v>
      </c>
      <c r="N227" s="35" t="str">
        <f t="shared" si="17"/>
        <v>FAIL</v>
      </c>
      <c r="O227" t="str">
        <f t="shared" si="18"/>
        <v>First Class</v>
      </c>
      <c r="P227" t="str">
        <f t="shared" si="19"/>
        <v>No</v>
      </c>
    </row>
    <row r="228" spans="1:16" ht="15.5" hidden="1" x14ac:dyDescent="0.35">
      <c r="A228" s="34">
        <v>222</v>
      </c>
      <c r="B228" s="35" t="s">
        <v>363</v>
      </c>
      <c r="C228" s="35" t="s">
        <v>221</v>
      </c>
      <c r="D228" s="35" t="s">
        <v>185</v>
      </c>
      <c r="E228" s="35">
        <v>93</v>
      </c>
      <c r="F228" s="35">
        <v>87</v>
      </c>
      <c r="G228" s="35">
        <v>78</v>
      </c>
      <c r="H228" s="35">
        <v>45</v>
      </c>
      <c r="I228" s="35">
        <v>62</v>
      </c>
      <c r="J228" s="35">
        <v>94</v>
      </c>
      <c r="K228" s="35">
        <v>81</v>
      </c>
      <c r="L228" s="35">
        <f t="shared" si="15"/>
        <v>540</v>
      </c>
      <c r="M228" s="36">
        <f t="shared" si="16"/>
        <v>77.142857142857139</v>
      </c>
      <c r="N228" s="35" t="str">
        <f t="shared" si="17"/>
        <v>FAIL</v>
      </c>
      <c r="O228" t="str">
        <f t="shared" si="18"/>
        <v>Second Class</v>
      </c>
      <c r="P228" t="str">
        <f t="shared" si="19"/>
        <v>No</v>
      </c>
    </row>
    <row r="229" spans="1:16" ht="15.5" hidden="1" x14ac:dyDescent="0.35">
      <c r="A229" s="34">
        <v>223</v>
      </c>
      <c r="B229" s="35" t="s">
        <v>364</v>
      </c>
      <c r="C229" s="35" t="s">
        <v>223</v>
      </c>
      <c r="D229" s="35" t="s">
        <v>179</v>
      </c>
      <c r="E229" s="35">
        <v>85</v>
      </c>
      <c r="F229" s="35">
        <v>86</v>
      </c>
      <c r="G229" s="35">
        <v>88</v>
      </c>
      <c r="H229" s="35">
        <v>68</v>
      </c>
      <c r="I229" s="35">
        <v>72</v>
      </c>
      <c r="J229" s="35">
        <v>70</v>
      </c>
      <c r="K229" s="35">
        <v>91</v>
      </c>
      <c r="L229" s="35">
        <f t="shared" si="15"/>
        <v>560</v>
      </c>
      <c r="M229" s="36">
        <f t="shared" si="16"/>
        <v>80</v>
      </c>
      <c r="N229" s="35" t="str">
        <f t="shared" si="17"/>
        <v>PASS</v>
      </c>
      <c r="O229" t="str">
        <f t="shared" si="18"/>
        <v>Second Class</v>
      </c>
      <c r="P229" t="str">
        <f t="shared" si="19"/>
        <v>No</v>
      </c>
    </row>
    <row r="230" spans="1:16" ht="15.5" hidden="1" x14ac:dyDescent="0.35">
      <c r="A230" s="34">
        <v>224</v>
      </c>
      <c r="B230" s="35" t="s">
        <v>365</v>
      </c>
      <c r="C230" s="35" t="s">
        <v>225</v>
      </c>
      <c r="D230" s="35" t="s">
        <v>179</v>
      </c>
      <c r="E230" s="35">
        <v>78</v>
      </c>
      <c r="F230" s="35">
        <v>74</v>
      </c>
      <c r="G230" s="35">
        <v>81</v>
      </c>
      <c r="H230" s="35">
        <v>71</v>
      </c>
      <c r="I230" s="35">
        <v>73</v>
      </c>
      <c r="J230" s="35">
        <v>52</v>
      </c>
      <c r="K230" s="35">
        <v>84</v>
      </c>
      <c r="L230" s="35">
        <f t="shared" si="15"/>
        <v>513</v>
      </c>
      <c r="M230" s="36">
        <f t="shared" si="16"/>
        <v>73.285714285714292</v>
      </c>
      <c r="N230" s="35" t="str">
        <f t="shared" si="17"/>
        <v>FAIL</v>
      </c>
      <c r="O230" t="str">
        <f t="shared" si="18"/>
        <v>First Class</v>
      </c>
      <c r="P230" t="str">
        <f t="shared" si="19"/>
        <v>No</v>
      </c>
    </row>
    <row r="231" spans="1:16" ht="15.5" hidden="1" x14ac:dyDescent="0.35">
      <c r="A231" s="34">
        <v>225</v>
      </c>
      <c r="B231" s="35" t="s">
        <v>366</v>
      </c>
      <c r="C231" s="35" t="s">
        <v>227</v>
      </c>
      <c r="D231" s="35" t="s">
        <v>179</v>
      </c>
      <c r="E231" s="35">
        <v>90</v>
      </c>
      <c r="F231" s="35">
        <v>89</v>
      </c>
      <c r="G231" s="35">
        <v>91</v>
      </c>
      <c r="H231" s="35">
        <v>69</v>
      </c>
      <c r="I231" s="35">
        <v>71</v>
      </c>
      <c r="J231" s="35">
        <v>63</v>
      </c>
      <c r="K231" s="35">
        <v>73</v>
      </c>
      <c r="L231" s="35">
        <f t="shared" si="15"/>
        <v>546</v>
      </c>
      <c r="M231" s="36">
        <f t="shared" si="16"/>
        <v>78</v>
      </c>
      <c r="N231" s="35" t="str">
        <f t="shared" si="17"/>
        <v>PASS</v>
      </c>
      <c r="O231" t="str">
        <f t="shared" si="18"/>
        <v>Second Class</v>
      </c>
      <c r="P231" t="str">
        <f t="shared" si="19"/>
        <v>No</v>
      </c>
    </row>
    <row r="232" spans="1:16" ht="15.5" hidden="1" x14ac:dyDescent="0.35">
      <c r="A232" s="34">
        <v>226</v>
      </c>
      <c r="B232" s="35" t="s">
        <v>367</v>
      </c>
      <c r="C232" s="35" t="s">
        <v>229</v>
      </c>
      <c r="D232" s="35" t="s">
        <v>179</v>
      </c>
      <c r="E232" s="35">
        <v>70</v>
      </c>
      <c r="F232" s="35">
        <v>92</v>
      </c>
      <c r="G232" s="35">
        <v>93</v>
      </c>
      <c r="H232" s="35">
        <v>62</v>
      </c>
      <c r="I232" s="35">
        <v>64</v>
      </c>
      <c r="J232" s="35">
        <v>78</v>
      </c>
      <c r="K232" s="35">
        <v>97</v>
      </c>
      <c r="L232" s="35">
        <f t="shared" si="15"/>
        <v>556</v>
      </c>
      <c r="M232" s="36">
        <f t="shared" si="16"/>
        <v>79.428571428571431</v>
      </c>
      <c r="N232" s="35" t="str">
        <f t="shared" si="17"/>
        <v>PASS</v>
      </c>
      <c r="O232" t="str">
        <f t="shared" si="18"/>
        <v>First Class</v>
      </c>
      <c r="P232" t="str">
        <f t="shared" si="19"/>
        <v>No</v>
      </c>
    </row>
    <row r="233" spans="1:16" ht="15.5" hidden="1" x14ac:dyDescent="0.35">
      <c r="A233" s="34">
        <v>227</v>
      </c>
      <c r="B233" s="35" t="s">
        <v>270</v>
      </c>
      <c r="C233" s="35" t="s">
        <v>231</v>
      </c>
      <c r="D233" s="35" t="s">
        <v>179</v>
      </c>
      <c r="E233" s="35">
        <v>63</v>
      </c>
      <c r="F233" s="35">
        <v>89</v>
      </c>
      <c r="G233" s="35">
        <v>85</v>
      </c>
      <c r="H233" s="35">
        <v>62</v>
      </c>
      <c r="I233" s="35">
        <v>74</v>
      </c>
      <c r="J233" s="35">
        <v>66</v>
      </c>
      <c r="K233" s="35">
        <v>91</v>
      </c>
      <c r="L233" s="35">
        <f t="shared" si="15"/>
        <v>530</v>
      </c>
      <c r="M233" s="36">
        <f t="shared" si="16"/>
        <v>75.714285714285708</v>
      </c>
      <c r="N233" s="35" t="str">
        <f t="shared" si="17"/>
        <v>PASS</v>
      </c>
      <c r="O233" t="str">
        <f t="shared" si="18"/>
        <v>First Class</v>
      </c>
      <c r="P233" t="str">
        <f t="shared" si="19"/>
        <v>No</v>
      </c>
    </row>
    <row r="234" spans="1:16" ht="15.5" hidden="1" x14ac:dyDescent="0.35">
      <c r="A234" s="34">
        <v>228</v>
      </c>
      <c r="B234" s="35" t="s">
        <v>368</v>
      </c>
      <c r="C234" s="35" t="s">
        <v>232</v>
      </c>
      <c r="D234" s="35" t="s">
        <v>185</v>
      </c>
      <c r="E234" s="35">
        <v>66</v>
      </c>
      <c r="F234" s="35">
        <v>78</v>
      </c>
      <c r="G234" s="35">
        <v>78</v>
      </c>
      <c r="H234" s="35">
        <v>72</v>
      </c>
      <c r="I234" s="35">
        <v>77</v>
      </c>
      <c r="J234" s="35">
        <v>52</v>
      </c>
      <c r="K234" s="35">
        <v>84</v>
      </c>
      <c r="L234" s="35">
        <f t="shared" si="15"/>
        <v>507</v>
      </c>
      <c r="M234" s="36">
        <f t="shared" si="16"/>
        <v>72.428571428571431</v>
      </c>
      <c r="N234" s="35" t="str">
        <f t="shared" si="17"/>
        <v>FAIL</v>
      </c>
      <c r="O234" t="str">
        <f t="shared" si="18"/>
        <v>First Class</v>
      </c>
      <c r="P234" t="str">
        <f t="shared" si="19"/>
        <v>No</v>
      </c>
    </row>
    <row r="235" spans="1:16" ht="15.5" hidden="1" x14ac:dyDescent="0.35">
      <c r="A235" s="34">
        <v>229</v>
      </c>
      <c r="B235" s="35" t="s">
        <v>272</v>
      </c>
      <c r="C235" s="35" t="s">
        <v>187</v>
      </c>
      <c r="D235" s="35" t="s">
        <v>181</v>
      </c>
      <c r="E235" s="35">
        <v>79</v>
      </c>
      <c r="F235" s="35">
        <v>88</v>
      </c>
      <c r="G235" s="35">
        <v>70</v>
      </c>
      <c r="H235" s="35">
        <v>73</v>
      </c>
      <c r="I235" s="35">
        <v>75</v>
      </c>
      <c r="J235" s="35">
        <v>81</v>
      </c>
      <c r="K235" s="35">
        <v>85</v>
      </c>
      <c r="L235" s="35">
        <f t="shared" si="15"/>
        <v>551</v>
      </c>
      <c r="M235" s="36">
        <f t="shared" si="16"/>
        <v>78.714285714285708</v>
      </c>
      <c r="N235" s="35" t="str">
        <f t="shared" si="17"/>
        <v>PASS</v>
      </c>
      <c r="O235" t="str">
        <f t="shared" si="18"/>
        <v>Second Class</v>
      </c>
      <c r="P235" t="str">
        <f t="shared" si="19"/>
        <v>No</v>
      </c>
    </row>
    <row r="236" spans="1:16" ht="15.5" hidden="1" x14ac:dyDescent="0.35">
      <c r="A236" s="34">
        <v>230</v>
      </c>
      <c r="B236" s="35" t="s">
        <v>369</v>
      </c>
      <c r="C236" s="35" t="s">
        <v>191</v>
      </c>
      <c r="D236" s="35" t="s">
        <v>185</v>
      </c>
      <c r="E236" s="35">
        <v>52</v>
      </c>
      <c r="F236" s="35">
        <v>81</v>
      </c>
      <c r="G236" s="35">
        <v>55</v>
      </c>
      <c r="H236" s="35">
        <v>71</v>
      </c>
      <c r="I236" s="35">
        <v>63</v>
      </c>
      <c r="J236" s="35">
        <v>81</v>
      </c>
      <c r="K236" s="35">
        <v>84</v>
      </c>
      <c r="L236" s="35">
        <f t="shared" si="15"/>
        <v>487</v>
      </c>
      <c r="M236" s="36">
        <f t="shared" si="16"/>
        <v>69.571428571428569</v>
      </c>
      <c r="N236" s="35" t="str">
        <f t="shared" si="17"/>
        <v>FAIL</v>
      </c>
      <c r="O236" t="str">
        <f t="shared" si="18"/>
        <v>First Class</v>
      </c>
      <c r="P236" t="str">
        <f t="shared" si="19"/>
        <v>No</v>
      </c>
    </row>
    <row r="237" spans="1:16" ht="15.5" hidden="1" x14ac:dyDescent="0.35">
      <c r="A237" s="34">
        <v>231</v>
      </c>
      <c r="B237" s="35" t="s">
        <v>370</v>
      </c>
      <c r="C237" s="35" t="s">
        <v>191</v>
      </c>
      <c r="D237" s="35" t="s">
        <v>181</v>
      </c>
      <c r="E237" s="35">
        <v>62</v>
      </c>
      <c r="F237" s="35">
        <v>91</v>
      </c>
      <c r="G237" s="35">
        <v>97</v>
      </c>
      <c r="H237" s="35">
        <v>64</v>
      </c>
      <c r="I237" s="35">
        <v>73</v>
      </c>
      <c r="J237" s="35">
        <v>54</v>
      </c>
      <c r="K237" s="35">
        <v>72</v>
      </c>
      <c r="L237" s="35">
        <f t="shared" si="15"/>
        <v>513</v>
      </c>
      <c r="M237" s="36">
        <f t="shared" si="16"/>
        <v>73.285714285714292</v>
      </c>
      <c r="N237" s="35" t="str">
        <f t="shared" si="17"/>
        <v>FAIL</v>
      </c>
      <c r="O237" t="str">
        <f t="shared" si="18"/>
        <v>First Class</v>
      </c>
      <c r="P237" t="str">
        <f t="shared" si="19"/>
        <v>No</v>
      </c>
    </row>
    <row r="238" spans="1:16" ht="15.5" hidden="1" x14ac:dyDescent="0.35">
      <c r="A238" s="34">
        <v>232</v>
      </c>
      <c r="B238" s="35" t="s">
        <v>371</v>
      </c>
      <c r="C238" s="35" t="s">
        <v>194</v>
      </c>
      <c r="D238" s="35" t="s">
        <v>185</v>
      </c>
      <c r="E238" s="35">
        <v>55</v>
      </c>
      <c r="F238" s="35">
        <v>93</v>
      </c>
      <c r="G238" s="35">
        <v>79</v>
      </c>
      <c r="H238" s="35">
        <v>74</v>
      </c>
      <c r="I238" s="35">
        <v>66</v>
      </c>
      <c r="J238" s="35">
        <v>63</v>
      </c>
      <c r="K238" s="35">
        <v>77</v>
      </c>
      <c r="L238" s="35">
        <f t="shared" si="15"/>
        <v>507</v>
      </c>
      <c r="M238" s="36">
        <f t="shared" si="16"/>
        <v>72.428571428571431</v>
      </c>
      <c r="N238" s="35" t="str">
        <f t="shared" si="17"/>
        <v>FAIL</v>
      </c>
      <c r="O238" t="str">
        <f t="shared" si="18"/>
        <v>First Class</v>
      </c>
      <c r="P238" t="str">
        <f t="shared" si="19"/>
        <v>No</v>
      </c>
    </row>
    <row r="239" spans="1:16" ht="15.5" hidden="1" x14ac:dyDescent="0.35">
      <c r="A239" s="34">
        <v>233</v>
      </c>
      <c r="B239" s="35" t="s">
        <v>276</v>
      </c>
      <c r="C239" s="35" t="s">
        <v>194</v>
      </c>
      <c r="D239" s="35" t="s">
        <v>181</v>
      </c>
      <c r="E239" s="35">
        <v>65</v>
      </c>
      <c r="F239" s="35">
        <v>85</v>
      </c>
      <c r="G239" s="35">
        <v>64</v>
      </c>
      <c r="H239" s="35">
        <v>77</v>
      </c>
      <c r="I239" s="35">
        <v>76</v>
      </c>
      <c r="J239" s="35">
        <v>56</v>
      </c>
      <c r="K239" s="35">
        <v>87</v>
      </c>
      <c r="L239" s="35">
        <f t="shared" si="15"/>
        <v>510</v>
      </c>
      <c r="M239" s="36">
        <f t="shared" si="16"/>
        <v>72.857142857142861</v>
      </c>
      <c r="N239" s="35" t="str">
        <f t="shared" si="17"/>
        <v>FAIL</v>
      </c>
      <c r="O239" t="str">
        <f t="shared" si="18"/>
        <v>Second Class</v>
      </c>
      <c r="P239" t="str">
        <f t="shared" si="19"/>
        <v>No</v>
      </c>
    </row>
    <row r="240" spans="1:16" ht="15.5" hidden="1" x14ac:dyDescent="0.35">
      <c r="A240" s="34">
        <v>234</v>
      </c>
      <c r="B240" s="35" t="s">
        <v>372</v>
      </c>
      <c r="C240" s="35" t="s">
        <v>197</v>
      </c>
      <c r="D240" s="35" t="s">
        <v>185</v>
      </c>
      <c r="E240" s="35">
        <v>91</v>
      </c>
      <c r="F240" s="35">
        <v>78</v>
      </c>
      <c r="G240" s="35">
        <v>76</v>
      </c>
      <c r="H240" s="35">
        <v>75</v>
      </c>
      <c r="I240" s="35">
        <v>92</v>
      </c>
      <c r="J240" s="35">
        <v>42</v>
      </c>
      <c r="K240" s="35">
        <v>87</v>
      </c>
      <c r="L240" s="35">
        <f t="shared" si="15"/>
        <v>541</v>
      </c>
      <c r="M240" s="36">
        <f t="shared" si="16"/>
        <v>77.285714285714292</v>
      </c>
      <c r="N240" s="35" t="str">
        <f t="shared" si="17"/>
        <v>FAIL</v>
      </c>
      <c r="O240" t="str">
        <f t="shared" si="18"/>
        <v>First Class</v>
      </c>
      <c r="P240" t="str">
        <f t="shared" si="19"/>
        <v>No</v>
      </c>
    </row>
    <row r="241" spans="1:16" ht="15.5" hidden="1" x14ac:dyDescent="0.35">
      <c r="A241" s="34">
        <v>235</v>
      </c>
      <c r="B241" s="35" t="s">
        <v>373</v>
      </c>
      <c r="C241" s="35" t="s">
        <v>199</v>
      </c>
      <c r="D241" s="35" t="s">
        <v>179</v>
      </c>
      <c r="E241" s="35">
        <v>65</v>
      </c>
      <c r="F241" s="35">
        <v>90</v>
      </c>
      <c r="G241" s="35">
        <v>61</v>
      </c>
      <c r="H241" s="35">
        <v>63</v>
      </c>
      <c r="I241" s="35">
        <v>75</v>
      </c>
      <c r="J241" s="35">
        <v>90</v>
      </c>
      <c r="K241" s="35">
        <v>86</v>
      </c>
      <c r="L241" s="35">
        <f t="shared" si="15"/>
        <v>530</v>
      </c>
      <c r="M241" s="36">
        <f t="shared" si="16"/>
        <v>75.714285714285708</v>
      </c>
      <c r="N241" s="35" t="str">
        <f t="shared" si="17"/>
        <v>PASS</v>
      </c>
      <c r="O241" t="str">
        <f t="shared" si="18"/>
        <v>Second Class</v>
      </c>
      <c r="P241" t="str">
        <f t="shared" si="19"/>
        <v>No</v>
      </c>
    </row>
    <row r="242" spans="1:16" ht="15.5" hidden="1" x14ac:dyDescent="0.35">
      <c r="A242" s="34">
        <v>236</v>
      </c>
      <c r="B242" s="35" t="s">
        <v>279</v>
      </c>
      <c r="C242" s="35" t="s">
        <v>199</v>
      </c>
      <c r="D242" s="35" t="s">
        <v>181</v>
      </c>
      <c r="E242" s="35">
        <v>58</v>
      </c>
      <c r="F242" s="35">
        <v>45</v>
      </c>
      <c r="G242" s="35">
        <v>85</v>
      </c>
      <c r="H242" s="35">
        <v>73</v>
      </c>
      <c r="I242" s="35">
        <v>68</v>
      </c>
      <c r="J242" s="35">
        <v>76</v>
      </c>
      <c r="K242" s="35">
        <v>74</v>
      </c>
      <c r="L242" s="35">
        <f t="shared" si="15"/>
        <v>479</v>
      </c>
      <c r="M242" s="36">
        <f t="shared" si="16"/>
        <v>68.428571428571431</v>
      </c>
      <c r="N242" s="35" t="str">
        <f t="shared" si="17"/>
        <v>FAIL</v>
      </c>
      <c r="O242" t="str">
        <f t="shared" si="18"/>
        <v>Second Class</v>
      </c>
      <c r="P242" t="str">
        <f t="shared" si="19"/>
        <v>No</v>
      </c>
    </row>
    <row r="243" spans="1:16" ht="15.5" hidden="1" x14ac:dyDescent="0.35">
      <c r="A243" s="34">
        <v>237</v>
      </c>
      <c r="B243" s="35" t="s">
        <v>374</v>
      </c>
      <c r="C243" s="35" t="s">
        <v>219</v>
      </c>
      <c r="D243" s="35" t="s">
        <v>181</v>
      </c>
      <c r="E243" s="35">
        <v>45</v>
      </c>
      <c r="F243" s="35">
        <v>75</v>
      </c>
      <c r="G243" s="35">
        <v>94</v>
      </c>
      <c r="H243" s="35">
        <v>66</v>
      </c>
      <c r="I243" s="35">
        <v>75</v>
      </c>
      <c r="J243" s="35">
        <v>75</v>
      </c>
      <c r="K243" s="35">
        <v>89</v>
      </c>
      <c r="L243" s="35">
        <f t="shared" si="15"/>
        <v>519</v>
      </c>
      <c r="M243" s="36">
        <f t="shared" si="16"/>
        <v>74.142857142857139</v>
      </c>
      <c r="N243" s="35" t="str">
        <f t="shared" si="17"/>
        <v>FAIL</v>
      </c>
      <c r="O243" t="str">
        <f t="shared" si="18"/>
        <v>Second Class</v>
      </c>
      <c r="P243" t="str">
        <f t="shared" si="19"/>
        <v>No</v>
      </c>
    </row>
    <row r="244" spans="1:16" ht="15.5" hidden="1" x14ac:dyDescent="0.35">
      <c r="A244" s="34">
        <v>238</v>
      </c>
      <c r="B244" s="35" t="s">
        <v>375</v>
      </c>
      <c r="C244" s="35" t="s">
        <v>221</v>
      </c>
      <c r="D244" s="35" t="s">
        <v>185</v>
      </c>
      <c r="E244" s="35">
        <v>68</v>
      </c>
      <c r="F244" s="35">
        <v>99</v>
      </c>
      <c r="G244" s="35">
        <v>70</v>
      </c>
      <c r="H244" s="35">
        <v>76</v>
      </c>
      <c r="I244" s="35">
        <v>79</v>
      </c>
      <c r="J244" s="35">
        <v>58</v>
      </c>
      <c r="K244" s="35">
        <v>92</v>
      </c>
      <c r="L244" s="35">
        <f t="shared" si="15"/>
        <v>542</v>
      </c>
      <c r="M244" s="36">
        <f t="shared" si="16"/>
        <v>77.428571428571431</v>
      </c>
      <c r="N244" s="35" t="str">
        <f t="shared" si="17"/>
        <v>FAIL</v>
      </c>
      <c r="O244" t="str">
        <f t="shared" si="18"/>
        <v>Second Class</v>
      </c>
      <c r="P244" t="str">
        <f t="shared" si="19"/>
        <v>No</v>
      </c>
    </row>
    <row r="245" spans="1:16" ht="15.5" hidden="1" x14ac:dyDescent="0.35">
      <c r="A245" s="34">
        <v>239</v>
      </c>
      <c r="B245" s="35" t="s">
        <v>376</v>
      </c>
      <c r="C245" s="35" t="s">
        <v>223</v>
      </c>
      <c r="D245" s="35" t="s">
        <v>185</v>
      </c>
      <c r="E245" s="35">
        <v>71</v>
      </c>
      <c r="F245" s="35">
        <v>89</v>
      </c>
      <c r="G245" s="35">
        <v>52</v>
      </c>
      <c r="H245" s="35">
        <v>92</v>
      </c>
      <c r="I245" s="35">
        <v>85</v>
      </c>
      <c r="J245" s="35">
        <v>52</v>
      </c>
      <c r="K245" s="35">
        <v>89</v>
      </c>
      <c r="L245" s="35">
        <f t="shared" si="15"/>
        <v>530</v>
      </c>
      <c r="M245" s="36">
        <f t="shared" si="16"/>
        <v>75.714285714285708</v>
      </c>
      <c r="N245" s="35" t="str">
        <f t="shared" si="17"/>
        <v>FAIL</v>
      </c>
      <c r="O245" t="str">
        <f t="shared" si="18"/>
        <v>First Class</v>
      </c>
      <c r="P245" t="str">
        <f t="shared" si="19"/>
        <v>No</v>
      </c>
    </row>
    <row r="246" spans="1:16" ht="15.5" hidden="1" x14ac:dyDescent="0.35">
      <c r="A246" s="34">
        <v>240</v>
      </c>
      <c r="B246" s="35" t="s">
        <v>285</v>
      </c>
      <c r="C246" s="35" t="s">
        <v>225</v>
      </c>
      <c r="D246" s="35" t="s">
        <v>179</v>
      </c>
      <c r="E246" s="35">
        <v>69</v>
      </c>
      <c r="F246" s="35">
        <v>87</v>
      </c>
      <c r="G246" s="35">
        <v>63</v>
      </c>
      <c r="H246" s="35">
        <v>75</v>
      </c>
      <c r="I246" s="35">
        <v>84</v>
      </c>
      <c r="J246" s="35">
        <v>51</v>
      </c>
      <c r="K246" s="35">
        <v>78</v>
      </c>
      <c r="L246" s="35">
        <f t="shared" si="15"/>
        <v>507</v>
      </c>
      <c r="M246" s="36">
        <f t="shared" si="16"/>
        <v>72.428571428571431</v>
      </c>
      <c r="N246" s="35" t="str">
        <f t="shared" si="17"/>
        <v>FAIL</v>
      </c>
      <c r="O246" t="str">
        <f t="shared" si="18"/>
        <v>First Class</v>
      </c>
      <c r="P246" t="str">
        <f t="shared" si="19"/>
        <v>No</v>
      </c>
    </row>
    <row r="247" spans="1:16" ht="15.5" hidden="1" x14ac:dyDescent="0.35">
      <c r="A247" s="34">
        <v>241</v>
      </c>
      <c r="B247" s="35" t="s">
        <v>377</v>
      </c>
      <c r="C247" s="35" t="s">
        <v>227</v>
      </c>
      <c r="D247" s="35" t="s">
        <v>185</v>
      </c>
      <c r="E247" s="35">
        <v>62</v>
      </c>
      <c r="F247" s="35">
        <v>50</v>
      </c>
      <c r="G247" s="35">
        <v>78</v>
      </c>
      <c r="H247" s="35">
        <v>68</v>
      </c>
      <c r="I247" s="35">
        <v>72</v>
      </c>
      <c r="J247" s="35">
        <v>35</v>
      </c>
      <c r="K247" s="35">
        <v>88</v>
      </c>
      <c r="L247" s="35">
        <f t="shared" si="15"/>
        <v>453</v>
      </c>
      <c r="M247" s="36">
        <f t="shared" si="16"/>
        <v>64.714285714285708</v>
      </c>
      <c r="N247" s="35" t="str">
        <f t="shared" si="17"/>
        <v>FAIL</v>
      </c>
      <c r="O247" t="str">
        <f t="shared" si="18"/>
        <v>Second Class</v>
      </c>
      <c r="P247" t="str">
        <f t="shared" si="19"/>
        <v>No</v>
      </c>
    </row>
    <row r="248" spans="1:16" ht="15.5" hidden="1" x14ac:dyDescent="0.35">
      <c r="A248" s="34">
        <v>242</v>
      </c>
      <c r="B248" s="35" t="s">
        <v>378</v>
      </c>
      <c r="C248" s="35" t="s">
        <v>199</v>
      </c>
      <c r="D248" s="35" t="s">
        <v>185</v>
      </c>
      <c r="E248" s="35">
        <v>62</v>
      </c>
      <c r="F248" s="35">
        <v>63</v>
      </c>
      <c r="G248" s="35">
        <v>66</v>
      </c>
      <c r="H248" s="35">
        <v>75</v>
      </c>
      <c r="I248" s="35">
        <v>77</v>
      </c>
      <c r="J248" s="35">
        <v>77</v>
      </c>
      <c r="K248" s="35">
        <v>81</v>
      </c>
      <c r="L248" s="35">
        <f t="shared" si="15"/>
        <v>501</v>
      </c>
      <c r="M248" s="36">
        <f t="shared" si="16"/>
        <v>71.571428571428569</v>
      </c>
      <c r="N248" s="35" t="str">
        <f t="shared" si="17"/>
        <v>PASS</v>
      </c>
      <c r="O248" t="str">
        <f t="shared" si="18"/>
        <v>Second Class</v>
      </c>
      <c r="P248" t="str">
        <f t="shared" si="19"/>
        <v>No</v>
      </c>
    </row>
    <row r="249" spans="1:16" ht="15.5" hidden="1" x14ac:dyDescent="0.35">
      <c r="A249" s="34">
        <v>243</v>
      </c>
      <c r="B249" s="35" t="s">
        <v>379</v>
      </c>
      <c r="C249" s="35" t="s">
        <v>203</v>
      </c>
      <c r="D249" s="35" t="s">
        <v>179</v>
      </c>
      <c r="E249" s="35">
        <v>92</v>
      </c>
      <c r="F249" s="35">
        <v>74</v>
      </c>
      <c r="G249" s="35">
        <v>52</v>
      </c>
      <c r="H249" s="35">
        <v>79</v>
      </c>
      <c r="I249" s="35">
        <v>87</v>
      </c>
      <c r="J249" s="35">
        <v>60</v>
      </c>
      <c r="K249" s="35">
        <v>91</v>
      </c>
      <c r="L249" s="35">
        <f t="shared" si="15"/>
        <v>535</v>
      </c>
      <c r="M249" s="36">
        <f t="shared" si="16"/>
        <v>76.428571428571431</v>
      </c>
      <c r="N249" s="35" t="str">
        <f t="shared" si="17"/>
        <v>FAIL</v>
      </c>
      <c r="O249" t="str">
        <f t="shared" si="18"/>
        <v>First Class</v>
      </c>
      <c r="P249" t="str">
        <f t="shared" si="19"/>
        <v>No</v>
      </c>
    </row>
    <row r="250" spans="1:16" ht="15.5" hidden="1" x14ac:dyDescent="0.35">
      <c r="A250" s="34">
        <v>244</v>
      </c>
      <c r="B250" s="35" t="s">
        <v>248</v>
      </c>
      <c r="C250" s="35" t="s">
        <v>203</v>
      </c>
      <c r="D250" s="35" t="s">
        <v>179</v>
      </c>
      <c r="E250" s="35">
        <v>75</v>
      </c>
      <c r="F250" s="35">
        <v>89</v>
      </c>
      <c r="G250" s="35">
        <v>81</v>
      </c>
      <c r="H250" s="35">
        <v>85</v>
      </c>
      <c r="I250" s="35">
        <v>87</v>
      </c>
      <c r="J250" s="35">
        <v>54</v>
      </c>
      <c r="K250" s="35">
        <v>93</v>
      </c>
      <c r="L250" s="35">
        <f t="shared" si="15"/>
        <v>564</v>
      </c>
      <c r="M250" s="36">
        <f t="shared" si="16"/>
        <v>80.571428571428569</v>
      </c>
      <c r="N250" s="35" t="str">
        <f t="shared" si="17"/>
        <v>FAIL</v>
      </c>
      <c r="O250" t="str">
        <f t="shared" si="18"/>
        <v>First Class</v>
      </c>
      <c r="P250" t="str">
        <f t="shared" si="19"/>
        <v>No</v>
      </c>
    </row>
    <row r="251" spans="1:16" ht="15.5" hidden="1" x14ac:dyDescent="0.35">
      <c r="A251" s="34">
        <v>245</v>
      </c>
      <c r="B251" s="35" t="s">
        <v>380</v>
      </c>
      <c r="C251" s="35" t="s">
        <v>206</v>
      </c>
      <c r="D251" s="35" t="s">
        <v>179</v>
      </c>
      <c r="E251" s="35">
        <v>68</v>
      </c>
      <c r="F251" s="35">
        <v>77</v>
      </c>
      <c r="G251" s="35">
        <v>81</v>
      </c>
      <c r="H251" s="35">
        <v>84</v>
      </c>
      <c r="I251" s="35">
        <v>86</v>
      </c>
      <c r="J251" s="35">
        <v>63</v>
      </c>
      <c r="K251" s="35">
        <v>85</v>
      </c>
      <c r="L251" s="35">
        <f t="shared" si="15"/>
        <v>544</v>
      </c>
      <c r="M251" s="36">
        <f t="shared" si="16"/>
        <v>77.714285714285708</v>
      </c>
      <c r="N251" s="35" t="str">
        <f t="shared" si="17"/>
        <v>PASS</v>
      </c>
      <c r="O251" t="str">
        <f t="shared" si="18"/>
        <v>Second Class</v>
      </c>
      <c r="P251" t="str">
        <f t="shared" si="19"/>
        <v>No</v>
      </c>
    </row>
    <row r="252" spans="1:16" ht="15.5" hidden="1" x14ac:dyDescent="0.35">
      <c r="A252" s="34">
        <v>246</v>
      </c>
      <c r="B252" s="35" t="s">
        <v>381</v>
      </c>
      <c r="C252" s="35" t="s">
        <v>206</v>
      </c>
      <c r="D252" s="35" t="s">
        <v>185</v>
      </c>
      <c r="E252" s="35">
        <v>75</v>
      </c>
      <c r="F252" s="35">
        <v>85</v>
      </c>
      <c r="G252" s="35">
        <v>54</v>
      </c>
      <c r="H252" s="35">
        <v>75</v>
      </c>
      <c r="I252" s="35">
        <v>74</v>
      </c>
      <c r="J252" s="35">
        <v>66</v>
      </c>
      <c r="K252" s="35">
        <v>78</v>
      </c>
      <c r="L252" s="35">
        <f t="shared" si="15"/>
        <v>507</v>
      </c>
      <c r="M252" s="36">
        <f t="shared" si="16"/>
        <v>72.428571428571431</v>
      </c>
      <c r="N252" s="35" t="str">
        <f t="shared" si="17"/>
        <v>FAIL</v>
      </c>
      <c r="O252" t="str">
        <f t="shared" si="18"/>
        <v>Pass</v>
      </c>
      <c r="P252" t="str">
        <f t="shared" si="19"/>
        <v>No</v>
      </c>
    </row>
    <row r="253" spans="1:16" ht="15.5" hidden="1" x14ac:dyDescent="0.35">
      <c r="A253" s="34">
        <v>247</v>
      </c>
      <c r="B253" s="35" t="s">
        <v>382</v>
      </c>
      <c r="C253" s="35" t="s">
        <v>209</v>
      </c>
      <c r="D253" s="35" t="s">
        <v>185</v>
      </c>
      <c r="E253" s="35">
        <v>79</v>
      </c>
      <c r="F253" s="35">
        <v>92</v>
      </c>
      <c r="G253" s="35">
        <v>63</v>
      </c>
      <c r="H253" s="35">
        <v>79</v>
      </c>
      <c r="I253" s="35">
        <v>89</v>
      </c>
      <c r="J253" s="35">
        <v>79</v>
      </c>
      <c r="K253" s="35">
        <v>70</v>
      </c>
      <c r="L253" s="35">
        <f t="shared" si="15"/>
        <v>551</v>
      </c>
      <c r="M253" s="36">
        <f t="shared" si="16"/>
        <v>78.714285714285708</v>
      </c>
      <c r="N253" s="35" t="str">
        <f t="shared" si="17"/>
        <v>PASS</v>
      </c>
      <c r="O253" t="str">
        <f t="shared" si="18"/>
        <v>Second Class</v>
      </c>
      <c r="P253" t="str">
        <f t="shared" si="19"/>
        <v>No</v>
      </c>
    </row>
    <row r="254" spans="1:16" ht="15.5" hidden="1" x14ac:dyDescent="0.35">
      <c r="A254" s="34">
        <v>248</v>
      </c>
      <c r="B254" s="35" t="s">
        <v>271</v>
      </c>
      <c r="C254" s="35" t="s">
        <v>211</v>
      </c>
      <c r="D254" s="35" t="s">
        <v>179</v>
      </c>
      <c r="E254" s="35">
        <v>85</v>
      </c>
      <c r="F254" s="35">
        <v>71</v>
      </c>
      <c r="G254" s="35">
        <v>56</v>
      </c>
      <c r="H254" s="35">
        <v>85</v>
      </c>
      <c r="I254" s="35">
        <v>92</v>
      </c>
      <c r="J254" s="35">
        <v>52</v>
      </c>
      <c r="K254" s="35">
        <v>55</v>
      </c>
      <c r="L254" s="35">
        <f t="shared" si="15"/>
        <v>496</v>
      </c>
      <c r="M254" s="36">
        <f t="shared" si="16"/>
        <v>70.857142857142861</v>
      </c>
      <c r="N254" s="35" t="str">
        <f t="shared" si="17"/>
        <v>FAIL</v>
      </c>
      <c r="O254" t="str">
        <f t="shared" si="18"/>
        <v>First Class</v>
      </c>
      <c r="P254" t="str">
        <f t="shared" si="19"/>
        <v>No</v>
      </c>
    </row>
    <row r="255" spans="1:16" ht="15.5" hidden="1" x14ac:dyDescent="0.35">
      <c r="A255" s="34">
        <v>249</v>
      </c>
      <c r="B255" s="35" t="s">
        <v>383</v>
      </c>
      <c r="C255" s="35" t="s">
        <v>213</v>
      </c>
      <c r="D255" s="35" t="s">
        <v>185</v>
      </c>
      <c r="E255" s="35">
        <v>84</v>
      </c>
      <c r="F255" s="35">
        <v>50</v>
      </c>
      <c r="G255" s="35">
        <v>42</v>
      </c>
      <c r="H255" s="35">
        <v>84</v>
      </c>
      <c r="I255" s="35">
        <v>89</v>
      </c>
      <c r="J255" s="35">
        <v>62</v>
      </c>
      <c r="K255" s="35">
        <v>97</v>
      </c>
      <c r="L255" s="35">
        <f t="shared" si="15"/>
        <v>508</v>
      </c>
      <c r="M255" s="36">
        <f t="shared" si="16"/>
        <v>72.571428571428569</v>
      </c>
      <c r="N255" s="35" t="str">
        <f t="shared" si="17"/>
        <v>FAIL</v>
      </c>
      <c r="O255" t="str">
        <f t="shared" si="18"/>
        <v>First Class</v>
      </c>
      <c r="P255" t="str">
        <f t="shared" si="19"/>
        <v>No</v>
      </c>
    </row>
    <row r="256" spans="1:16" ht="15.5" hidden="1" x14ac:dyDescent="0.35">
      <c r="A256" s="34">
        <v>250</v>
      </c>
      <c r="B256" s="35" t="s">
        <v>273</v>
      </c>
      <c r="C256" s="35" t="s">
        <v>206</v>
      </c>
      <c r="D256" s="35" t="s">
        <v>185</v>
      </c>
      <c r="E256" s="35">
        <v>72</v>
      </c>
      <c r="F256" s="35">
        <v>79</v>
      </c>
      <c r="G256" s="35">
        <v>90</v>
      </c>
      <c r="H256" s="35">
        <v>72</v>
      </c>
      <c r="I256" s="35">
        <v>78</v>
      </c>
      <c r="J256" s="35">
        <v>55</v>
      </c>
      <c r="K256" s="35">
        <v>79</v>
      </c>
      <c r="L256" s="35">
        <f t="shared" si="15"/>
        <v>525</v>
      </c>
      <c r="M256" s="36">
        <f t="shared" si="16"/>
        <v>75</v>
      </c>
      <c r="N256" s="35" t="str">
        <f t="shared" si="17"/>
        <v>FAIL</v>
      </c>
      <c r="O256" t="str">
        <f t="shared" si="18"/>
        <v>First Class</v>
      </c>
      <c r="P256" t="str">
        <f t="shared" si="19"/>
        <v>No</v>
      </c>
    </row>
    <row r="257" spans="1:16" ht="15.5" hidden="1" x14ac:dyDescent="0.35">
      <c r="A257" s="34">
        <v>251</v>
      </c>
      <c r="B257" s="35" t="s">
        <v>274</v>
      </c>
      <c r="C257" s="35" t="s">
        <v>178</v>
      </c>
      <c r="D257" s="35" t="s">
        <v>179</v>
      </c>
      <c r="E257" s="35">
        <v>77</v>
      </c>
      <c r="F257" s="35">
        <v>73</v>
      </c>
      <c r="G257" s="35">
        <v>76</v>
      </c>
      <c r="H257" s="35">
        <v>77</v>
      </c>
      <c r="I257" s="35">
        <v>88</v>
      </c>
      <c r="J257" s="35">
        <v>65</v>
      </c>
      <c r="K257" s="35">
        <v>64</v>
      </c>
      <c r="L257" s="35">
        <f t="shared" si="15"/>
        <v>520</v>
      </c>
      <c r="M257" s="36">
        <f t="shared" si="16"/>
        <v>74.285714285714292</v>
      </c>
      <c r="N257" s="35" t="str">
        <f t="shared" si="17"/>
        <v>PASS</v>
      </c>
      <c r="O257" t="str">
        <f t="shared" si="18"/>
        <v>Second Class</v>
      </c>
      <c r="P257" t="str">
        <f t="shared" si="19"/>
        <v>No</v>
      </c>
    </row>
    <row r="258" spans="1:16" ht="15.5" hidden="1" x14ac:dyDescent="0.35">
      <c r="A258" s="34">
        <v>252</v>
      </c>
      <c r="B258" s="35" t="s">
        <v>275</v>
      </c>
      <c r="C258" s="35" t="s">
        <v>178</v>
      </c>
      <c r="D258" s="35" t="s">
        <v>181</v>
      </c>
      <c r="E258" s="35">
        <v>87</v>
      </c>
      <c r="F258" s="35">
        <v>87</v>
      </c>
      <c r="G258" s="35">
        <v>75</v>
      </c>
      <c r="H258" s="35">
        <v>87</v>
      </c>
      <c r="I258" s="35">
        <v>81</v>
      </c>
      <c r="J258" s="35">
        <v>91</v>
      </c>
      <c r="K258" s="35">
        <v>76</v>
      </c>
      <c r="L258" s="35">
        <f t="shared" si="15"/>
        <v>584</v>
      </c>
      <c r="M258" s="36">
        <f t="shared" si="16"/>
        <v>83.428571428571431</v>
      </c>
      <c r="N258" s="35" t="str">
        <f t="shared" si="17"/>
        <v>PASS</v>
      </c>
      <c r="O258" t="str">
        <f t="shared" si="18"/>
        <v>First Class</v>
      </c>
      <c r="P258" t="str">
        <f t="shared" si="19"/>
        <v>No</v>
      </c>
    </row>
    <row r="259" spans="1:16" ht="15.5" hidden="1" x14ac:dyDescent="0.35">
      <c r="A259" s="34">
        <v>253</v>
      </c>
      <c r="B259" s="35" t="s">
        <v>384</v>
      </c>
      <c r="C259" s="35" t="s">
        <v>183</v>
      </c>
      <c r="D259" s="35" t="s">
        <v>181</v>
      </c>
      <c r="E259" s="35">
        <v>87</v>
      </c>
      <c r="F259" s="35">
        <v>78</v>
      </c>
      <c r="G259" s="35">
        <v>58</v>
      </c>
      <c r="H259" s="35">
        <v>87</v>
      </c>
      <c r="I259" s="35">
        <v>91</v>
      </c>
      <c r="J259" s="35">
        <v>65</v>
      </c>
      <c r="K259" s="35">
        <v>61</v>
      </c>
      <c r="L259" s="35">
        <f t="shared" si="15"/>
        <v>527</v>
      </c>
      <c r="M259" s="36">
        <f t="shared" si="16"/>
        <v>75.285714285714292</v>
      </c>
      <c r="N259" s="35" t="str">
        <f t="shared" si="17"/>
        <v>FAIL</v>
      </c>
      <c r="O259" t="str">
        <f t="shared" si="18"/>
        <v>Second Class</v>
      </c>
      <c r="P259" t="str">
        <f t="shared" si="19"/>
        <v>No</v>
      </c>
    </row>
    <row r="260" spans="1:16" ht="15.5" hidden="1" x14ac:dyDescent="0.35">
      <c r="A260" s="34">
        <v>254</v>
      </c>
      <c r="B260" s="35" t="s">
        <v>277</v>
      </c>
      <c r="C260" s="35" t="s">
        <v>183</v>
      </c>
      <c r="D260" s="35" t="s">
        <v>185</v>
      </c>
      <c r="E260" s="35">
        <v>86</v>
      </c>
      <c r="F260" s="35">
        <v>80</v>
      </c>
      <c r="G260" s="35">
        <v>52</v>
      </c>
      <c r="H260" s="35">
        <v>86</v>
      </c>
      <c r="I260" s="35">
        <v>93</v>
      </c>
      <c r="J260" s="35">
        <v>58</v>
      </c>
      <c r="K260" s="35">
        <v>85</v>
      </c>
      <c r="L260" s="35">
        <f t="shared" si="15"/>
        <v>540</v>
      </c>
      <c r="M260" s="36">
        <f t="shared" si="16"/>
        <v>77.142857142857139</v>
      </c>
      <c r="N260" s="35" t="str">
        <f t="shared" si="17"/>
        <v>FAIL</v>
      </c>
      <c r="O260" t="str">
        <f t="shared" si="18"/>
        <v>Second Class</v>
      </c>
      <c r="P260" t="str">
        <f t="shared" si="19"/>
        <v>No</v>
      </c>
    </row>
    <row r="261" spans="1:16" ht="15.5" hidden="1" x14ac:dyDescent="0.35">
      <c r="A261" s="34">
        <v>255</v>
      </c>
      <c r="B261" s="35" t="s">
        <v>278</v>
      </c>
      <c r="C261" s="35" t="s">
        <v>187</v>
      </c>
      <c r="D261" s="35" t="s">
        <v>185</v>
      </c>
      <c r="E261" s="35">
        <v>74</v>
      </c>
      <c r="F261" s="35">
        <v>90</v>
      </c>
      <c r="G261" s="35">
        <v>51</v>
      </c>
      <c r="H261" s="35">
        <v>74</v>
      </c>
      <c r="I261" s="35">
        <v>85</v>
      </c>
      <c r="J261" s="35">
        <v>45</v>
      </c>
      <c r="K261" s="35">
        <v>94</v>
      </c>
      <c r="L261" s="35">
        <f t="shared" si="15"/>
        <v>513</v>
      </c>
      <c r="M261" s="36">
        <f t="shared" si="16"/>
        <v>73.285714285714292</v>
      </c>
      <c r="N261" s="35" t="str">
        <f t="shared" si="17"/>
        <v>FAIL</v>
      </c>
      <c r="O261" t="str">
        <f t="shared" si="18"/>
        <v>First Class</v>
      </c>
      <c r="P261" t="str">
        <f t="shared" si="19"/>
        <v>No</v>
      </c>
    </row>
    <row r="262" spans="1:16" ht="15.5" hidden="1" x14ac:dyDescent="0.35">
      <c r="A262" s="34">
        <v>256</v>
      </c>
      <c r="B262" s="35" t="s">
        <v>385</v>
      </c>
      <c r="C262" s="35" t="s">
        <v>187</v>
      </c>
      <c r="D262" s="35" t="s">
        <v>179</v>
      </c>
      <c r="E262" s="35">
        <v>91</v>
      </c>
      <c r="F262" s="35">
        <v>75</v>
      </c>
      <c r="G262" s="35">
        <v>35</v>
      </c>
      <c r="H262" s="35">
        <v>89</v>
      </c>
      <c r="I262" s="35">
        <v>78</v>
      </c>
      <c r="J262" s="35">
        <v>68</v>
      </c>
      <c r="K262" s="35">
        <v>70</v>
      </c>
      <c r="L262" s="35">
        <f t="shared" si="15"/>
        <v>506</v>
      </c>
      <c r="M262" s="36">
        <f t="shared" si="16"/>
        <v>72.285714285714292</v>
      </c>
      <c r="N262" s="35" t="str">
        <f t="shared" si="17"/>
        <v>FAIL</v>
      </c>
      <c r="O262" t="str">
        <f t="shared" si="18"/>
        <v>Second Class</v>
      </c>
      <c r="P262" t="str">
        <f t="shared" si="19"/>
        <v>No</v>
      </c>
    </row>
    <row r="263" spans="1:16" ht="15.5" hidden="1" x14ac:dyDescent="0.35">
      <c r="A263" s="34">
        <v>257</v>
      </c>
      <c r="B263" s="35" t="s">
        <v>386</v>
      </c>
      <c r="C263" s="35" t="s">
        <v>187</v>
      </c>
      <c r="D263" s="35" t="s">
        <v>185</v>
      </c>
      <c r="E263" s="35">
        <v>84</v>
      </c>
      <c r="F263" s="35">
        <v>68</v>
      </c>
      <c r="G263" s="35">
        <v>77</v>
      </c>
      <c r="H263" s="35">
        <v>92</v>
      </c>
      <c r="I263" s="35">
        <v>90</v>
      </c>
      <c r="J263" s="35">
        <v>71</v>
      </c>
      <c r="K263" s="35">
        <v>52</v>
      </c>
      <c r="L263" s="35">
        <f t="shared" si="15"/>
        <v>534</v>
      </c>
      <c r="M263" s="36">
        <f t="shared" si="16"/>
        <v>76.285714285714292</v>
      </c>
      <c r="N263" s="35" t="str">
        <f t="shared" si="17"/>
        <v>FAIL</v>
      </c>
      <c r="O263" t="str">
        <f t="shared" si="18"/>
        <v>First Class</v>
      </c>
      <c r="P263" t="str">
        <f t="shared" si="19"/>
        <v>No</v>
      </c>
    </row>
    <row r="264" spans="1:16" ht="15.5" hidden="1" x14ac:dyDescent="0.35">
      <c r="A264" s="34">
        <v>258</v>
      </c>
      <c r="B264" s="35" t="s">
        <v>387</v>
      </c>
      <c r="C264" s="35" t="s">
        <v>191</v>
      </c>
      <c r="D264" s="35" t="s">
        <v>185</v>
      </c>
      <c r="E264" s="35">
        <v>85</v>
      </c>
      <c r="F264" s="35">
        <v>80</v>
      </c>
      <c r="G264" s="35">
        <v>60</v>
      </c>
      <c r="H264" s="35">
        <v>89</v>
      </c>
      <c r="I264" s="35">
        <v>45</v>
      </c>
      <c r="J264" s="35">
        <v>69</v>
      </c>
      <c r="K264" s="35">
        <v>63</v>
      </c>
      <c r="L264" s="35">
        <f t="shared" ref="L264:L327" si="20">SUM(E264:K264)</f>
        <v>491</v>
      </c>
      <c r="M264" s="36">
        <f t="shared" ref="M264:M327" si="21">AVERAGE(E264:K264)</f>
        <v>70.142857142857139</v>
      </c>
      <c r="N264" s="35" t="str">
        <f t="shared" ref="N264:N327" si="22">IF(MIN(E264:K264)&gt;=60,"PASS","FAIL")</f>
        <v>FAIL</v>
      </c>
      <c r="O264" t="str">
        <f t="shared" ref="O264:O327" si="23">IF(M259&gt;=85,"Distinction",IF(M259&gt;=75,"First Class",IF(M259&gt;=65,"Second Class",IF(M259&gt;=60,"Pass","Fail"))))</f>
        <v>First Class</v>
      </c>
      <c r="P264" t="str">
        <f t="shared" ref="P264:P327" si="24">IF(M259&gt;=85,"Yes","No")</f>
        <v>No</v>
      </c>
    </row>
    <row r="265" spans="1:16" ht="15.5" hidden="1" x14ac:dyDescent="0.35">
      <c r="A265" s="34">
        <v>259</v>
      </c>
      <c r="B265" s="35" t="s">
        <v>388</v>
      </c>
      <c r="C265" s="35" t="s">
        <v>191</v>
      </c>
      <c r="D265" s="35" t="s">
        <v>179</v>
      </c>
      <c r="E265" s="35">
        <v>84</v>
      </c>
      <c r="F265" s="35">
        <v>71</v>
      </c>
      <c r="G265" s="35">
        <v>54</v>
      </c>
      <c r="H265" s="35">
        <v>78</v>
      </c>
      <c r="I265" s="35">
        <v>75</v>
      </c>
      <c r="J265" s="35">
        <v>62</v>
      </c>
      <c r="K265" s="35">
        <v>78</v>
      </c>
      <c r="L265" s="35">
        <f t="shared" si="20"/>
        <v>502</v>
      </c>
      <c r="M265" s="36">
        <f t="shared" si="21"/>
        <v>71.714285714285708</v>
      </c>
      <c r="N265" s="35" t="str">
        <f t="shared" si="22"/>
        <v>FAIL</v>
      </c>
      <c r="O265" t="str">
        <f t="shared" si="23"/>
        <v>First Class</v>
      </c>
      <c r="P265" t="str">
        <f t="shared" si="24"/>
        <v>No</v>
      </c>
    </row>
    <row r="266" spans="1:16" ht="15.5" hidden="1" x14ac:dyDescent="0.35">
      <c r="A266" s="34">
        <v>260</v>
      </c>
      <c r="B266" s="35" t="s">
        <v>389</v>
      </c>
      <c r="C266" s="35" t="s">
        <v>194</v>
      </c>
      <c r="D266" s="35" t="s">
        <v>179</v>
      </c>
      <c r="E266" s="35">
        <v>72</v>
      </c>
      <c r="F266" s="35">
        <v>74</v>
      </c>
      <c r="G266" s="35">
        <v>63</v>
      </c>
      <c r="H266" s="35">
        <v>88</v>
      </c>
      <c r="I266" s="35">
        <v>99</v>
      </c>
      <c r="J266" s="35">
        <v>62</v>
      </c>
      <c r="K266" s="35">
        <v>66</v>
      </c>
      <c r="L266" s="35">
        <f t="shared" si="20"/>
        <v>524</v>
      </c>
      <c r="M266" s="36">
        <f t="shared" si="21"/>
        <v>74.857142857142861</v>
      </c>
      <c r="N266" s="35" t="str">
        <f t="shared" si="22"/>
        <v>PASS</v>
      </c>
      <c r="O266" t="str">
        <f t="shared" si="23"/>
        <v>Second Class</v>
      </c>
      <c r="P266" t="str">
        <f t="shared" si="24"/>
        <v>No</v>
      </c>
    </row>
    <row r="267" spans="1:16" ht="15.5" hidden="1" x14ac:dyDescent="0.35">
      <c r="A267" s="34">
        <v>261</v>
      </c>
      <c r="B267" s="35" t="s">
        <v>390</v>
      </c>
      <c r="C267" s="35" t="s">
        <v>194</v>
      </c>
      <c r="D267" s="35" t="s">
        <v>179</v>
      </c>
      <c r="E267" s="35">
        <v>77</v>
      </c>
      <c r="F267" s="35">
        <v>77</v>
      </c>
      <c r="G267" s="35">
        <v>66</v>
      </c>
      <c r="H267" s="35">
        <v>81</v>
      </c>
      <c r="I267" s="35">
        <v>89</v>
      </c>
      <c r="J267" s="35">
        <v>72</v>
      </c>
      <c r="K267" s="35">
        <v>52</v>
      </c>
      <c r="L267" s="35">
        <f t="shared" si="20"/>
        <v>514</v>
      </c>
      <c r="M267" s="36">
        <f t="shared" si="21"/>
        <v>73.428571428571431</v>
      </c>
      <c r="N267" s="35" t="str">
        <f t="shared" si="22"/>
        <v>FAIL</v>
      </c>
      <c r="O267" t="str">
        <f t="shared" si="23"/>
        <v>Second Class</v>
      </c>
      <c r="P267" t="str">
        <f t="shared" si="24"/>
        <v>No</v>
      </c>
    </row>
    <row r="268" spans="1:16" ht="15.5" hidden="1" x14ac:dyDescent="0.35">
      <c r="A268" s="34">
        <v>262</v>
      </c>
      <c r="B268" s="35" t="s">
        <v>391</v>
      </c>
      <c r="C268" s="35" t="s">
        <v>197</v>
      </c>
      <c r="D268" s="35" t="s">
        <v>179</v>
      </c>
      <c r="E268" s="35">
        <v>87</v>
      </c>
      <c r="F268" s="35">
        <v>81</v>
      </c>
      <c r="G268" s="35">
        <v>79</v>
      </c>
      <c r="H268" s="35">
        <v>91</v>
      </c>
      <c r="I268" s="35">
        <v>87</v>
      </c>
      <c r="J268" s="35">
        <v>73</v>
      </c>
      <c r="K268" s="35">
        <v>81</v>
      </c>
      <c r="L268" s="35">
        <f t="shared" si="20"/>
        <v>579</v>
      </c>
      <c r="M268" s="36">
        <f t="shared" si="21"/>
        <v>82.714285714285708</v>
      </c>
      <c r="N268" s="35" t="str">
        <f t="shared" si="22"/>
        <v>PASS</v>
      </c>
      <c r="O268" t="str">
        <f t="shared" si="23"/>
        <v>First Class</v>
      </c>
      <c r="P268" t="str">
        <f t="shared" si="24"/>
        <v>No</v>
      </c>
    </row>
    <row r="269" spans="1:16" ht="15.5" hidden="1" x14ac:dyDescent="0.35">
      <c r="A269" s="34">
        <v>263</v>
      </c>
      <c r="B269" s="35" t="s">
        <v>392</v>
      </c>
      <c r="C269" s="35" t="s">
        <v>199</v>
      </c>
      <c r="D269" s="35" t="s">
        <v>179</v>
      </c>
      <c r="E269" s="35">
        <v>87</v>
      </c>
      <c r="F269" s="35">
        <v>91</v>
      </c>
      <c r="G269" s="35">
        <v>52</v>
      </c>
      <c r="H269" s="35">
        <v>93</v>
      </c>
      <c r="I269" s="35">
        <v>50</v>
      </c>
      <c r="J269" s="35">
        <v>71</v>
      </c>
      <c r="K269" s="35">
        <v>81</v>
      </c>
      <c r="L269" s="35">
        <f t="shared" si="20"/>
        <v>525</v>
      </c>
      <c r="M269" s="36">
        <f t="shared" si="21"/>
        <v>75</v>
      </c>
      <c r="N269" s="35" t="str">
        <f t="shared" si="22"/>
        <v>FAIL</v>
      </c>
      <c r="O269" t="str">
        <f t="shared" si="23"/>
        <v>Second Class</v>
      </c>
      <c r="P269" t="str">
        <f t="shared" si="24"/>
        <v>No</v>
      </c>
    </row>
    <row r="270" spans="1:16" ht="15.5" hidden="1" x14ac:dyDescent="0.35">
      <c r="A270" s="34">
        <v>264</v>
      </c>
      <c r="B270" s="35" t="s">
        <v>393</v>
      </c>
      <c r="C270" s="35" t="s">
        <v>199</v>
      </c>
      <c r="D270" s="35" t="s">
        <v>185</v>
      </c>
      <c r="E270" s="35">
        <v>86</v>
      </c>
      <c r="F270" s="35">
        <v>84</v>
      </c>
      <c r="G270" s="35">
        <v>62</v>
      </c>
      <c r="H270" s="35">
        <v>85</v>
      </c>
      <c r="I270" s="35">
        <v>63</v>
      </c>
      <c r="J270" s="35">
        <v>64</v>
      </c>
      <c r="K270" s="35">
        <v>54</v>
      </c>
      <c r="L270" s="35">
        <f t="shared" si="20"/>
        <v>498</v>
      </c>
      <c r="M270" s="36">
        <f t="shared" si="21"/>
        <v>71.142857142857139</v>
      </c>
      <c r="N270" s="35" t="str">
        <f t="shared" si="22"/>
        <v>FAIL</v>
      </c>
      <c r="O270" t="str">
        <f t="shared" si="23"/>
        <v>Second Class</v>
      </c>
      <c r="P270" t="str">
        <f t="shared" si="24"/>
        <v>No</v>
      </c>
    </row>
    <row r="271" spans="1:16" ht="15.5" hidden="1" x14ac:dyDescent="0.35">
      <c r="A271" s="34">
        <v>265</v>
      </c>
      <c r="B271" s="35" t="s">
        <v>394</v>
      </c>
      <c r="C271" s="35" t="s">
        <v>199</v>
      </c>
      <c r="D271" s="35" t="s">
        <v>181</v>
      </c>
      <c r="E271" s="35">
        <v>74</v>
      </c>
      <c r="F271" s="35">
        <v>73</v>
      </c>
      <c r="G271" s="35">
        <v>55</v>
      </c>
      <c r="H271" s="35">
        <v>78</v>
      </c>
      <c r="I271" s="35">
        <v>74</v>
      </c>
      <c r="J271" s="35">
        <v>74</v>
      </c>
      <c r="K271" s="35">
        <v>63</v>
      </c>
      <c r="L271" s="35">
        <f t="shared" si="20"/>
        <v>491</v>
      </c>
      <c r="M271" s="36">
        <f t="shared" si="21"/>
        <v>70.142857142857139</v>
      </c>
      <c r="N271" s="35" t="str">
        <f t="shared" si="22"/>
        <v>FAIL</v>
      </c>
      <c r="O271" t="str">
        <f t="shared" si="23"/>
        <v>Second Class</v>
      </c>
      <c r="P271" t="str">
        <f t="shared" si="24"/>
        <v>No</v>
      </c>
    </row>
    <row r="272" spans="1:16" ht="15.5" hidden="1" x14ac:dyDescent="0.35">
      <c r="A272" s="34">
        <v>266</v>
      </c>
      <c r="B272" s="35" t="s">
        <v>395</v>
      </c>
      <c r="C272" s="35" t="s">
        <v>203</v>
      </c>
      <c r="D272" s="35" t="s">
        <v>185</v>
      </c>
      <c r="E272" s="35">
        <v>89</v>
      </c>
      <c r="F272" s="35">
        <v>97</v>
      </c>
      <c r="G272" s="35">
        <v>65</v>
      </c>
      <c r="H272" s="35">
        <v>70</v>
      </c>
      <c r="I272" s="35">
        <v>89</v>
      </c>
      <c r="J272" s="35">
        <v>77</v>
      </c>
      <c r="K272" s="35">
        <v>56</v>
      </c>
      <c r="L272" s="35">
        <f t="shared" si="20"/>
        <v>543</v>
      </c>
      <c r="M272" s="36">
        <f t="shared" si="21"/>
        <v>77.571428571428569</v>
      </c>
      <c r="N272" s="35" t="str">
        <f t="shared" si="22"/>
        <v>FAIL</v>
      </c>
      <c r="O272" t="str">
        <f t="shared" si="23"/>
        <v>Second Class</v>
      </c>
      <c r="P272" t="str">
        <f t="shared" si="24"/>
        <v>No</v>
      </c>
    </row>
    <row r="273" spans="1:16" ht="15.5" hidden="1" x14ac:dyDescent="0.35">
      <c r="A273" s="34">
        <v>267</v>
      </c>
      <c r="B273" s="35" t="s">
        <v>396</v>
      </c>
      <c r="C273" s="35" t="s">
        <v>203</v>
      </c>
      <c r="D273" s="35" t="s">
        <v>181</v>
      </c>
      <c r="E273" s="35">
        <v>92</v>
      </c>
      <c r="F273" s="35">
        <v>91</v>
      </c>
      <c r="G273" s="35">
        <v>91</v>
      </c>
      <c r="H273" s="35">
        <v>55</v>
      </c>
      <c r="I273" s="35">
        <v>77</v>
      </c>
      <c r="J273" s="35">
        <v>75</v>
      </c>
      <c r="K273" s="35">
        <v>42</v>
      </c>
      <c r="L273" s="35">
        <f t="shared" si="20"/>
        <v>523</v>
      </c>
      <c r="M273" s="36">
        <f t="shared" si="21"/>
        <v>74.714285714285708</v>
      </c>
      <c r="N273" s="35" t="str">
        <f t="shared" si="22"/>
        <v>FAIL</v>
      </c>
      <c r="O273" t="str">
        <f t="shared" si="23"/>
        <v>First Class</v>
      </c>
      <c r="P273" t="str">
        <f t="shared" si="24"/>
        <v>No</v>
      </c>
    </row>
    <row r="274" spans="1:16" ht="15.5" hidden="1" x14ac:dyDescent="0.35">
      <c r="A274" s="34">
        <v>268</v>
      </c>
      <c r="B274" s="35" t="s">
        <v>397</v>
      </c>
      <c r="C274" s="35" t="s">
        <v>206</v>
      </c>
      <c r="D274" s="35" t="s">
        <v>185</v>
      </c>
      <c r="E274" s="35">
        <v>89</v>
      </c>
      <c r="F274" s="35">
        <v>84</v>
      </c>
      <c r="G274" s="35">
        <v>65</v>
      </c>
      <c r="H274" s="35">
        <v>97</v>
      </c>
      <c r="I274" s="35">
        <v>85</v>
      </c>
      <c r="J274" s="35">
        <v>63</v>
      </c>
      <c r="K274" s="35">
        <v>90</v>
      </c>
      <c r="L274" s="35">
        <f t="shared" si="20"/>
        <v>573</v>
      </c>
      <c r="M274" s="36">
        <f t="shared" si="21"/>
        <v>81.857142857142861</v>
      </c>
      <c r="N274" s="35" t="str">
        <f t="shared" si="22"/>
        <v>PASS</v>
      </c>
      <c r="O274" t="str">
        <f t="shared" si="23"/>
        <v>First Class</v>
      </c>
      <c r="P274" t="str">
        <f t="shared" si="24"/>
        <v>No</v>
      </c>
    </row>
    <row r="275" spans="1:16" ht="15.5" hidden="1" x14ac:dyDescent="0.35">
      <c r="A275" s="34">
        <v>269</v>
      </c>
      <c r="B275" s="35" t="s">
        <v>398</v>
      </c>
      <c r="C275" s="35" t="s">
        <v>206</v>
      </c>
      <c r="D275" s="35" t="s">
        <v>181</v>
      </c>
      <c r="E275" s="35">
        <v>78</v>
      </c>
      <c r="F275" s="35">
        <v>76</v>
      </c>
      <c r="G275" s="35">
        <v>58</v>
      </c>
      <c r="H275" s="35">
        <v>79</v>
      </c>
      <c r="I275" s="35">
        <v>92</v>
      </c>
      <c r="J275" s="35">
        <v>73</v>
      </c>
      <c r="K275" s="35">
        <v>76</v>
      </c>
      <c r="L275" s="35">
        <f t="shared" si="20"/>
        <v>532</v>
      </c>
      <c r="M275" s="36">
        <f t="shared" si="21"/>
        <v>76</v>
      </c>
      <c r="N275" s="35" t="str">
        <f t="shared" si="22"/>
        <v>FAIL</v>
      </c>
      <c r="O275" t="str">
        <f t="shared" si="23"/>
        <v>Second Class</v>
      </c>
      <c r="P275" t="str">
        <f t="shared" si="24"/>
        <v>No</v>
      </c>
    </row>
    <row r="276" spans="1:16" ht="15.5" hidden="1" x14ac:dyDescent="0.35">
      <c r="A276" s="34">
        <v>270</v>
      </c>
      <c r="B276" s="35" t="s">
        <v>392</v>
      </c>
      <c r="C276" s="35" t="s">
        <v>209</v>
      </c>
      <c r="D276" s="35" t="s">
        <v>185</v>
      </c>
      <c r="E276" s="35">
        <v>88</v>
      </c>
      <c r="F276" s="35">
        <v>92</v>
      </c>
      <c r="G276" s="35">
        <v>45</v>
      </c>
      <c r="H276" s="35">
        <v>64</v>
      </c>
      <c r="I276" s="35">
        <v>71</v>
      </c>
      <c r="J276" s="35">
        <v>66</v>
      </c>
      <c r="K276" s="35">
        <v>75</v>
      </c>
      <c r="L276" s="35">
        <f t="shared" si="20"/>
        <v>501</v>
      </c>
      <c r="M276" s="36">
        <f t="shared" si="21"/>
        <v>71.571428571428569</v>
      </c>
      <c r="N276" s="35" t="str">
        <f t="shared" si="22"/>
        <v>FAIL</v>
      </c>
      <c r="O276" t="str">
        <f t="shared" si="23"/>
        <v>Second Class</v>
      </c>
      <c r="P276" t="str">
        <f t="shared" si="24"/>
        <v>No</v>
      </c>
    </row>
    <row r="277" spans="1:16" ht="15.5" hidden="1" x14ac:dyDescent="0.35">
      <c r="A277" s="34">
        <v>271</v>
      </c>
      <c r="B277" s="35" t="s">
        <v>399</v>
      </c>
      <c r="C277" s="35" t="s">
        <v>211</v>
      </c>
      <c r="D277" s="35" t="s">
        <v>179</v>
      </c>
      <c r="E277" s="35">
        <v>81</v>
      </c>
      <c r="F277" s="35">
        <v>75</v>
      </c>
      <c r="G277" s="35">
        <v>68</v>
      </c>
      <c r="H277" s="35">
        <v>76</v>
      </c>
      <c r="I277" s="35">
        <v>50</v>
      </c>
      <c r="J277" s="35">
        <v>76</v>
      </c>
      <c r="K277" s="35">
        <v>58</v>
      </c>
      <c r="L277" s="35">
        <f t="shared" si="20"/>
        <v>484</v>
      </c>
      <c r="M277" s="36">
        <f t="shared" si="21"/>
        <v>69.142857142857139</v>
      </c>
      <c r="N277" s="35" t="str">
        <f t="shared" si="22"/>
        <v>FAIL</v>
      </c>
      <c r="O277" t="str">
        <f t="shared" si="23"/>
        <v>First Class</v>
      </c>
      <c r="P277" t="str">
        <f t="shared" si="24"/>
        <v>No</v>
      </c>
    </row>
    <row r="278" spans="1:16" ht="15.5" hidden="1" x14ac:dyDescent="0.35">
      <c r="A278" s="34">
        <v>272</v>
      </c>
      <c r="B278" s="35" t="s">
        <v>393</v>
      </c>
      <c r="C278" s="35" t="s">
        <v>213</v>
      </c>
      <c r="D278" s="35" t="s">
        <v>181</v>
      </c>
      <c r="E278" s="35">
        <v>91</v>
      </c>
      <c r="F278" s="35">
        <v>68</v>
      </c>
      <c r="G278" s="35">
        <v>71</v>
      </c>
      <c r="H278" s="35">
        <v>61</v>
      </c>
      <c r="I278" s="35">
        <v>79</v>
      </c>
      <c r="J278" s="35">
        <v>92</v>
      </c>
      <c r="K278" s="35">
        <v>52</v>
      </c>
      <c r="L278" s="35">
        <f t="shared" si="20"/>
        <v>514</v>
      </c>
      <c r="M278" s="36">
        <f t="shared" si="21"/>
        <v>73.428571428571431</v>
      </c>
      <c r="N278" s="35" t="str">
        <f t="shared" si="22"/>
        <v>FAIL</v>
      </c>
      <c r="O278" t="str">
        <f t="shared" si="23"/>
        <v>Second Class</v>
      </c>
      <c r="P278" t="str">
        <f t="shared" si="24"/>
        <v>No</v>
      </c>
    </row>
    <row r="279" spans="1:16" ht="15.5" hidden="1" x14ac:dyDescent="0.35">
      <c r="A279" s="34">
        <v>273</v>
      </c>
      <c r="B279" s="35" t="s">
        <v>400</v>
      </c>
      <c r="C279" s="35" t="s">
        <v>206</v>
      </c>
      <c r="D279" s="35" t="s">
        <v>181</v>
      </c>
      <c r="E279" s="35">
        <v>93</v>
      </c>
      <c r="F279" s="35">
        <v>75</v>
      </c>
      <c r="G279" s="35">
        <v>69</v>
      </c>
      <c r="H279" s="35">
        <v>85</v>
      </c>
      <c r="I279" s="35">
        <v>73</v>
      </c>
      <c r="J279" s="35">
        <v>75</v>
      </c>
      <c r="K279" s="35">
        <v>51</v>
      </c>
      <c r="L279" s="35">
        <f t="shared" si="20"/>
        <v>521</v>
      </c>
      <c r="M279" s="36">
        <f t="shared" si="21"/>
        <v>74.428571428571431</v>
      </c>
      <c r="N279" s="35" t="str">
        <f t="shared" si="22"/>
        <v>FAIL</v>
      </c>
      <c r="O279" t="str">
        <f t="shared" si="23"/>
        <v>First Class</v>
      </c>
      <c r="P279" t="str">
        <f t="shared" si="24"/>
        <v>No</v>
      </c>
    </row>
    <row r="280" spans="1:16" ht="15.5" hidden="1" x14ac:dyDescent="0.35">
      <c r="A280" s="34">
        <v>274</v>
      </c>
      <c r="B280" s="35" t="s">
        <v>401</v>
      </c>
      <c r="C280" s="35" t="s">
        <v>206</v>
      </c>
      <c r="D280" s="35" t="s">
        <v>185</v>
      </c>
      <c r="E280" s="35">
        <v>85</v>
      </c>
      <c r="F280" s="35">
        <v>79</v>
      </c>
      <c r="G280" s="35">
        <v>62</v>
      </c>
      <c r="H280" s="35">
        <v>94</v>
      </c>
      <c r="I280" s="35">
        <v>87</v>
      </c>
      <c r="J280" s="35">
        <v>68</v>
      </c>
      <c r="K280" s="35">
        <v>35</v>
      </c>
      <c r="L280" s="35">
        <f t="shared" si="20"/>
        <v>510</v>
      </c>
      <c r="M280" s="36">
        <f t="shared" si="21"/>
        <v>72.857142857142861</v>
      </c>
      <c r="N280" s="35" t="str">
        <f t="shared" si="22"/>
        <v>FAIL</v>
      </c>
      <c r="O280" t="str">
        <f t="shared" si="23"/>
        <v>First Class</v>
      </c>
      <c r="P280" t="str">
        <f t="shared" si="24"/>
        <v>No</v>
      </c>
    </row>
    <row r="281" spans="1:16" ht="15.5" hidden="1" x14ac:dyDescent="0.35">
      <c r="A281" s="34">
        <v>275</v>
      </c>
      <c r="B281" s="35" t="s">
        <v>366</v>
      </c>
      <c r="C281" s="35" t="s">
        <v>217</v>
      </c>
      <c r="D281" s="35" t="s">
        <v>185</v>
      </c>
      <c r="E281" s="35">
        <v>78</v>
      </c>
      <c r="F281" s="35">
        <v>85</v>
      </c>
      <c r="G281" s="35">
        <v>62</v>
      </c>
      <c r="H281" s="35">
        <v>70</v>
      </c>
      <c r="I281" s="35">
        <v>78</v>
      </c>
      <c r="J281" s="35">
        <v>75</v>
      </c>
      <c r="K281" s="35">
        <v>77</v>
      </c>
      <c r="L281" s="35">
        <f t="shared" si="20"/>
        <v>525</v>
      </c>
      <c r="M281" s="36">
        <f t="shared" si="21"/>
        <v>75</v>
      </c>
      <c r="N281" s="35" t="str">
        <f t="shared" si="22"/>
        <v>PASS</v>
      </c>
      <c r="O281" t="str">
        <f t="shared" si="23"/>
        <v>Second Class</v>
      </c>
      <c r="P281" t="str">
        <f t="shared" si="24"/>
        <v>No</v>
      </c>
    </row>
    <row r="282" spans="1:16" ht="15.5" hidden="1" x14ac:dyDescent="0.35">
      <c r="A282" s="34">
        <v>276</v>
      </c>
      <c r="B282" s="35" t="s">
        <v>402</v>
      </c>
      <c r="C282" s="35" t="s">
        <v>219</v>
      </c>
      <c r="D282" s="35" t="s">
        <v>179</v>
      </c>
      <c r="E282" s="35">
        <v>70</v>
      </c>
      <c r="F282" s="35">
        <v>84</v>
      </c>
      <c r="G282" s="35">
        <v>72</v>
      </c>
      <c r="H282" s="35">
        <v>82</v>
      </c>
      <c r="I282" s="35">
        <v>80</v>
      </c>
      <c r="J282" s="35">
        <v>79</v>
      </c>
      <c r="K282" s="35">
        <v>60</v>
      </c>
      <c r="L282" s="35">
        <f t="shared" si="20"/>
        <v>527</v>
      </c>
      <c r="M282" s="36">
        <f t="shared" si="21"/>
        <v>75.285714285714292</v>
      </c>
      <c r="N282" s="35" t="str">
        <f t="shared" si="22"/>
        <v>PASS</v>
      </c>
      <c r="O282" t="str">
        <f t="shared" si="23"/>
        <v>Second Class</v>
      </c>
      <c r="P282" t="str">
        <f t="shared" si="24"/>
        <v>No</v>
      </c>
    </row>
    <row r="283" spans="1:16" ht="15.5" hidden="1" x14ac:dyDescent="0.35">
      <c r="A283" s="34">
        <v>277</v>
      </c>
      <c r="B283" s="35" t="s">
        <v>403</v>
      </c>
      <c r="C283" s="35" t="s">
        <v>221</v>
      </c>
      <c r="D283" s="35" t="s">
        <v>185</v>
      </c>
      <c r="E283" s="35">
        <v>55</v>
      </c>
      <c r="F283" s="35">
        <v>72</v>
      </c>
      <c r="G283" s="35">
        <v>73</v>
      </c>
      <c r="H283" s="35">
        <v>96</v>
      </c>
      <c r="I283" s="35">
        <v>90</v>
      </c>
      <c r="J283" s="35">
        <v>85</v>
      </c>
      <c r="K283" s="35">
        <v>54</v>
      </c>
      <c r="L283" s="35">
        <f t="shared" si="20"/>
        <v>525</v>
      </c>
      <c r="M283" s="36">
        <f t="shared" si="21"/>
        <v>75</v>
      </c>
      <c r="N283" s="35" t="str">
        <f t="shared" si="22"/>
        <v>FAIL</v>
      </c>
      <c r="O283" t="str">
        <f t="shared" si="23"/>
        <v>Second Class</v>
      </c>
      <c r="P283" t="str">
        <f t="shared" si="24"/>
        <v>No</v>
      </c>
    </row>
    <row r="284" spans="1:16" ht="15.5" hidden="1" x14ac:dyDescent="0.35">
      <c r="A284" s="34">
        <v>278</v>
      </c>
      <c r="B284" s="35" t="s">
        <v>404</v>
      </c>
      <c r="C284" s="35" t="s">
        <v>223</v>
      </c>
      <c r="D284" s="35" t="s">
        <v>185</v>
      </c>
      <c r="E284" s="35">
        <v>97</v>
      </c>
      <c r="F284" s="35">
        <v>77</v>
      </c>
      <c r="G284" s="35">
        <v>71</v>
      </c>
      <c r="H284" s="35">
        <v>90</v>
      </c>
      <c r="I284" s="35">
        <v>75</v>
      </c>
      <c r="J284" s="35">
        <v>84</v>
      </c>
      <c r="K284" s="35">
        <v>63</v>
      </c>
      <c r="L284" s="35">
        <f t="shared" si="20"/>
        <v>557</v>
      </c>
      <c r="M284" s="36">
        <f t="shared" si="21"/>
        <v>79.571428571428569</v>
      </c>
      <c r="N284" s="35" t="str">
        <f t="shared" si="22"/>
        <v>PASS</v>
      </c>
      <c r="O284" t="str">
        <f t="shared" si="23"/>
        <v>Second Class</v>
      </c>
      <c r="P284" t="str">
        <f t="shared" si="24"/>
        <v>No</v>
      </c>
    </row>
    <row r="285" spans="1:16" ht="15.5" hidden="1" x14ac:dyDescent="0.35">
      <c r="A285" s="34">
        <v>279</v>
      </c>
      <c r="B285" s="35" t="s">
        <v>405</v>
      </c>
      <c r="C285" s="35" t="s">
        <v>225</v>
      </c>
      <c r="D285" s="35" t="s">
        <v>179</v>
      </c>
      <c r="E285" s="35">
        <v>79</v>
      </c>
      <c r="F285" s="35">
        <v>87</v>
      </c>
      <c r="G285" s="35">
        <v>64</v>
      </c>
      <c r="H285" s="35">
        <v>85</v>
      </c>
      <c r="I285" s="35">
        <v>68</v>
      </c>
      <c r="J285" s="35">
        <v>72</v>
      </c>
      <c r="K285" s="35">
        <v>66</v>
      </c>
      <c r="L285" s="35">
        <f t="shared" si="20"/>
        <v>521</v>
      </c>
      <c r="M285" s="36">
        <f t="shared" si="21"/>
        <v>74.428571428571431</v>
      </c>
      <c r="N285" s="35" t="str">
        <f t="shared" si="22"/>
        <v>PASS</v>
      </c>
      <c r="O285" t="str">
        <f t="shared" si="23"/>
        <v>Second Class</v>
      </c>
      <c r="P285" t="str">
        <f t="shared" si="24"/>
        <v>No</v>
      </c>
    </row>
    <row r="286" spans="1:16" ht="15.5" hidden="1" x14ac:dyDescent="0.35">
      <c r="A286" s="34">
        <v>280</v>
      </c>
      <c r="B286" s="35" t="s">
        <v>406</v>
      </c>
      <c r="C286" s="35" t="s">
        <v>227</v>
      </c>
      <c r="D286" s="35" t="s">
        <v>179</v>
      </c>
      <c r="E286" s="35">
        <v>64</v>
      </c>
      <c r="F286" s="35">
        <v>87</v>
      </c>
      <c r="G286" s="35">
        <v>74</v>
      </c>
      <c r="H286" s="35">
        <v>39</v>
      </c>
      <c r="I286" s="35">
        <v>80</v>
      </c>
      <c r="J286" s="35">
        <v>77</v>
      </c>
      <c r="K286" s="35">
        <v>79</v>
      </c>
      <c r="L286" s="35">
        <f t="shared" si="20"/>
        <v>500</v>
      </c>
      <c r="M286" s="36">
        <f t="shared" si="21"/>
        <v>71.428571428571431</v>
      </c>
      <c r="N286" s="35" t="str">
        <f t="shared" si="22"/>
        <v>FAIL</v>
      </c>
      <c r="O286" t="str">
        <f t="shared" si="23"/>
        <v>First Class</v>
      </c>
      <c r="P286" t="str">
        <f t="shared" si="24"/>
        <v>No</v>
      </c>
    </row>
    <row r="287" spans="1:16" ht="15.5" hidden="1" x14ac:dyDescent="0.35">
      <c r="A287" s="34">
        <v>281</v>
      </c>
      <c r="B287" s="35" t="s">
        <v>407</v>
      </c>
      <c r="C287" s="35" t="s">
        <v>229</v>
      </c>
      <c r="D287" s="35" t="s">
        <v>179</v>
      </c>
      <c r="E287" s="35">
        <v>76</v>
      </c>
      <c r="F287" s="35">
        <v>86</v>
      </c>
      <c r="G287" s="35">
        <v>77</v>
      </c>
      <c r="H287" s="35">
        <v>84</v>
      </c>
      <c r="I287" s="35">
        <v>71</v>
      </c>
      <c r="J287" s="35">
        <v>87</v>
      </c>
      <c r="K287" s="35">
        <v>52</v>
      </c>
      <c r="L287" s="35">
        <f t="shared" si="20"/>
        <v>533</v>
      </c>
      <c r="M287" s="36">
        <f t="shared" si="21"/>
        <v>76.142857142857139</v>
      </c>
      <c r="N287" s="35" t="str">
        <f t="shared" si="22"/>
        <v>FAIL</v>
      </c>
      <c r="O287" t="str">
        <f t="shared" si="23"/>
        <v>First Class</v>
      </c>
      <c r="P287" t="str">
        <f t="shared" si="24"/>
        <v>No</v>
      </c>
    </row>
    <row r="288" spans="1:16" ht="15.5" hidden="1" x14ac:dyDescent="0.35">
      <c r="A288" s="34">
        <v>282</v>
      </c>
      <c r="B288" s="35" t="s">
        <v>408</v>
      </c>
      <c r="C288" s="35" t="s">
        <v>231</v>
      </c>
      <c r="D288" s="35" t="s">
        <v>179</v>
      </c>
      <c r="E288" s="35">
        <v>61</v>
      </c>
      <c r="F288" s="35">
        <v>74</v>
      </c>
      <c r="G288" s="35">
        <v>75</v>
      </c>
      <c r="H288" s="35">
        <v>92</v>
      </c>
      <c r="I288" s="35">
        <v>74</v>
      </c>
      <c r="J288" s="35">
        <v>87</v>
      </c>
      <c r="K288" s="35">
        <v>62</v>
      </c>
      <c r="L288" s="35">
        <f t="shared" si="20"/>
        <v>525</v>
      </c>
      <c r="M288" s="36">
        <f t="shared" si="21"/>
        <v>75</v>
      </c>
      <c r="N288" s="35" t="str">
        <f t="shared" si="22"/>
        <v>PASS</v>
      </c>
      <c r="O288" t="str">
        <f t="shared" si="23"/>
        <v>First Class</v>
      </c>
      <c r="P288" t="str">
        <f t="shared" si="24"/>
        <v>No</v>
      </c>
    </row>
    <row r="289" spans="1:16" ht="15.5" hidden="1" x14ac:dyDescent="0.35">
      <c r="A289" s="34">
        <v>283</v>
      </c>
      <c r="B289" s="35" t="s">
        <v>387</v>
      </c>
      <c r="C289" s="35" t="s">
        <v>232</v>
      </c>
      <c r="D289" s="35" t="s">
        <v>179</v>
      </c>
      <c r="E289" s="35">
        <v>85</v>
      </c>
      <c r="F289" s="35">
        <v>89</v>
      </c>
      <c r="G289" s="35">
        <v>63</v>
      </c>
      <c r="H289" s="35">
        <v>95</v>
      </c>
      <c r="I289" s="35">
        <v>77</v>
      </c>
      <c r="J289" s="35">
        <v>86</v>
      </c>
      <c r="K289" s="35">
        <v>55</v>
      </c>
      <c r="L289" s="35">
        <f t="shared" si="20"/>
        <v>550</v>
      </c>
      <c r="M289" s="36">
        <f t="shared" si="21"/>
        <v>78.571428571428569</v>
      </c>
      <c r="N289" s="35" t="str">
        <f t="shared" si="22"/>
        <v>FAIL</v>
      </c>
      <c r="O289" t="str">
        <f t="shared" si="23"/>
        <v>First Class</v>
      </c>
      <c r="P289" t="str">
        <f t="shared" si="24"/>
        <v>No</v>
      </c>
    </row>
    <row r="290" spans="1:16" ht="15.5" hidden="1" x14ac:dyDescent="0.35">
      <c r="A290" s="34">
        <v>284</v>
      </c>
      <c r="B290" s="35" t="s">
        <v>389</v>
      </c>
      <c r="C290" s="35" t="s">
        <v>187</v>
      </c>
      <c r="D290" s="35" t="s">
        <v>185</v>
      </c>
      <c r="E290" s="35">
        <v>94</v>
      </c>
      <c r="F290" s="35">
        <v>92</v>
      </c>
      <c r="G290" s="35">
        <v>73</v>
      </c>
      <c r="H290" s="35">
        <v>87</v>
      </c>
      <c r="I290" s="35">
        <v>81</v>
      </c>
      <c r="J290" s="35">
        <v>74</v>
      </c>
      <c r="K290" s="35">
        <v>65</v>
      </c>
      <c r="L290" s="35">
        <f t="shared" si="20"/>
        <v>566</v>
      </c>
      <c r="M290" s="36">
        <f t="shared" si="21"/>
        <v>80.857142857142861</v>
      </c>
      <c r="N290" s="35" t="str">
        <f t="shared" si="22"/>
        <v>PASS</v>
      </c>
      <c r="O290" t="str">
        <f t="shared" si="23"/>
        <v>Second Class</v>
      </c>
      <c r="P290" t="str">
        <f t="shared" si="24"/>
        <v>No</v>
      </c>
    </row>
    <row r="291" spans="1:16" ht="15.5" hidden="1" x14ac:dyDescent="0.35">
      <c r="A291" s="34">
        <v>285</v>
      </c>
      <c r="B291" s="35" t="s">
        <v>409</v>
      </c>
      <c r="C291" s="35" t="s">
        <v>191</v>
      </c>
      <c r="D291" s="35" t="s">
        <v>181</v>
      </c>
      <c r="E291" s="35">
        <v>70</v>
      </c>
      <c r="F291" s="35">
        <v>89</v>
      </c>
      <c r="G291" s="35">
        <v>66</v>
      </c>
      <c r="H291" s="35">
        <v>81</v>
      </c>
      <c r="I291" s="35">
        <v>91</v>
      </c>
      <c r="J291" s="35">
        <v>89</v>
      </c>
      <c r="K291" s="35">
        <v>91</v>
      </c>
      <c r="L291" s="35">
        <f t="shared" si="20"/>
        <v>577</v>
      </c>
      <c r="M291" s="36">
        <f t="shared" si="21"/>
        <v>82.428571428571431</v>
      </c>
      <c r="N291" s="35" t="str">
        <f t="shared" si="22"/>
        <v>PASS</v>
      </c>
      <c r="O291" t="str">
        <f t="shared" si="23"/>
        <v>Second Class</v>
      </c>
      <c r="P291" t="str">
        <f t="shared" si="24"/>
        <v>No</v>
      </c>
    </row>
    <row r="292" spans="1:16" ht="15.5" hidden="1" x14ac:dyDescent="0.35">
      <c r="A292" s="34">
        <v>286</v>
      </c>
      <c r="B292" s="35" t="s">
        <v>410</v>
      </c>
      <c r="C292" s="35" t="s">
        <v>191</v>
      </c>
      <c r="D292" s="35" t="s">
        <v>185</v>
      </c>
      <c r="E292" s="35">
        <v>52</v>
      </c>
      <c r="F292" s="35">
        <v>78</v>
      </c>
      <c r="G292" s="35">
        <v>76</v>
      </c>
      <c r="H292" s="35">
        <v>91</v>
      </c>
      <c r="I292" s="35">
        <v>84</v>
      </c>
      <c r="J292" s="35">
        <v>92</v>
      </c>
      <c r="K292" s="35">
        <v>65</v>
      </c>
      <c r="L292" s="35">
        <f t="shared" si="20"/>
        <v>538</v>
      </c>
      <c r="M292" s="36">
        <f t="shared" si="21"/>
        <v>76.857142857142861</v>
      </c>
      <c r="N292" s="35" t="str">
        <f t="shared" si="22"/>
        <v>FAIL</v>
      </c>
      <c r="O292" t="str">
        <f t="shared" si="23"/>
        <v>First Class</v>
      </c>
      <c r="P292" t="str">
        <f t="shared" si="24"/>
        <v>No</v>
      </c>
    </row>
    <row r="293" spans="1:16" ht="15.5" hidden="1" x14ac:dyDescent="0.35">
      <c r="A293" s="34">
        <v>287</v>
      </c>
      <c r="B293" s="35" t="s">
        <v>411</v>
      </c>
      <c r="C293" s="35" t="s">
        <v>194</v>
      </c>
      <c r="D293" s="35" t="s">
        <v>181</v>
      </c>
      <c r="E293" s="35">
        <v>76</v>
      </c>
      <c r="F293" s="35">
        <v>88</v>
      </c>
      <c r="G293" s="35">
        <v>92</v>
      </c>
      <c r="H293" s="35">
        <v>84</v>
      </c>
      <c r="I293" s="35">
        <v>73</v>
      </c>
      <c r="J293" s="35">
        <v>89</v>
      </c>
      <c r="K293" s="35">
        <v>58</v>
      </c>
      <c r="L293" s="35">
        <f t="shared" si="20"/>
        <v>560</v>
      </c>
      <c r="M293" s="36">
        <f t="shared" si="21"/>
        <v>80</v>
      </c>
      <c r="N293" s="35" t="str">
        <f t="shared" si="22"/>
        <v>FAIL</v>
      </c>
      <c r="O293" t="str">
        <f t="shared" si="23"/>
        <v>First Class</v>
      </c>
      <c r="P293" t="str">
        <f t="shared" si="24"/>
        <v>No</v>
      </c>
    </row>
    <row r="294" spans="1:16" ht="15.5" hidden="1" x14ac:dyDescent="0.35">
      <c r="A294" s="34">
        <v>288</v>
      </c>
      <c r="B294" s="35" t="s">
        <v>412</v>
      </c>
      <c r="C294" s="35" t="s">
        <v>194</v>
      </c>
      <c r="D294" s="35" t="s">
        <v>185</v>
      </c>
      <c r="E294" s="35">
        <v>61</v>
      </c>
      <c r="F294" s="35">
        <v>81</v>
      </c>
      <c r="G294" s="35">
        <v>75</v>
      </c>
      <c r="H294" s="35">
        <v>94</v>
      </c>
      <c r="I294" s="35">
        <v>97</v>
      </c>
      <c r="J294" s="35">
        <v>78</v>
      </c>
      <c r="K294" s="35">
        <v>45</v>
      </c>
      <c r="L294" s="35">
        <f t="shared" si="20"/>
        <v>531</v>
      </c>
      <c r="M294" s="36">
        <f t="shared" si="21"/>
        <v>75.857142857142861</v>
      </c>
      <c r="N294" s="35" t="str">
        <f t="shared" si="22"/>
        <v>FAIL</v>
      </c>
      <c r="O294" t="str">
        <f t="shared" si="23"/>
        <v>First Class</v>
      </c>
      <c r="P294" t="str">
        <f t="shared" si="24"/>
        <v>No</v>
      </c>
    </row>
    <row r="295" spans="1:16" ht="15.5" hidden="1" x14ac:dyDescent="0.35">
      <c r="A295" s="34">
        <v>289</v>
      </c>
      <c r="B295" s="35" t="s">
        <v>332</v>
      </c>
      <c r="C295" s="35" t="s">
        <v>197</v>
      </c>
      <c r="D295" s="35" t="s">
        <v>181</v>
      </c>
      <c r="E295" s="35">
        <v>85</v>
      </c>
      <c r="F295" s="35">
        <v>91</v>
      </c>
      <c r="G295" s="35">
        <v>68</v>
      </c>
      <c r="H295" s="35">
        <v>96</v>
      </c>
      <c r="I295" s="35">
        <v>91</v>
      </c>
      <c r="J295" s="35">
        <v>88</v>
      </c>
      <c r="K295" s="35">
        <v>68</v>
      </c>
      <c r="L295" s="35">
        <f t="shared" si="20"/>
        <v>587</v>
      </c>
      <c r="M295" s="36">
        <f t="shared" si="21"/>
        <v>83.857142857142861</v>
      </c>
      <c r="N295" s="35" t="str">
        <f t="shared" si="22"/>
        <v>PASS</v>
      </c>
      <c r="O295" t="str">
        <f t="shared" si="23"/>
        <v>First Class</v>
      </c>
      <c r="P295" t="str">
        <f t="shared" si="24"/>
        <v>No</v>
      </c>
    </row>
    <row r="296" spans="1:16" ht="15.5" hidden="1" x14ac:dyDescent="0.35">
      <c r="A296" s="34">
        <v>290</v>
      </c>
      <c r="B296" s="35" t="s">
        <v>413</v>
      </c>
      <c r="C296" s="35" t="s">
        <v>199</v>
      </c>
      <c r="D296" s="35" t="s">
        <v>185</v>
      </c>
      <c r="E296" s="35">
        <v>94</v>
      </c>
      <c r="F296" s="35">
        <v>93</v>
      </c>
      <c r="G296" s="35">
        <v>75</v>
      </c>
      <c r="H296" s="35">
        <v>95</v>
      </c>
      <c r="I296" s="35">
        <v>84</v>
      </c>
      <c r="J296" s="35">
        <v>81</v>
      </c>
      <c r="K296" s="35">
        <v>71</v>
      </c>
      <c r="L296" s="35">
        <f t="shared" si="20"/>
        <v>593</v>
      </c>
      <c r="M296" s="36">
        <f t="shared" si="21"/>
        <v>84.714285714285708</v>
      </c>
      <c r="N296" s="35" t="str">
        <f t="shared" si="22"/>
        <v>PASS</v>
      </c>
      <c r="O296" t="str">
        <f t="shared" si="23"/>
        <v>First Class</v>
      </c>
      <c r="P296" t="str">
        <f t="shared" si="24"/>
        <v>No</v>
      </c>
    </row>
    <row r="297" spans="1:16" ht="15.5" hidden="1" x14ac:dyDescent="0.35">
      <c r="A297" s="34">
        <v>291</v>
      </c>
      <c r="B297" s="35" t="s">
        <v>340</v>
      </c>
      <c r="C297" s="35" t="s">
        <v>199</v>
      </c>
      <c r="D297" s="35" t="s">
        <v>179</v>
      </c>
      <c r="E297" s="35">
        <v>70</v>
      </c>
      <c r="F297" s="35">
        <v>85</v>
      </c>
      <c r="G297" s="35">
        <v>79</v>
      </c>
      <c r="H297" s="35">
        <v>88</v>
      </c>
      <c r="I297" s="35">
        <v>71</v>
      </c>
      <c r="J297" s="35">
        <v>91</v>
      </c>
      <c r="K297" s="35">
        <v>69</v>
      </c>
      <c r="L297" s="35">
        <f t="shared" si="20"/>
        <v>553</v>
      </c>
      <c r="M297" s="36">
        <f t="shared" si="21"/>
        <v>79</v>
      </c>
      <c r="N297" s="35" t="str">
        <f t="shared" si="22"/>
        <v>PASS</v>
      </c>
      <c r="O297" t="str">
        <f t="shared" si="23"/>
        <v>First Class</v>
      </c>
      <c r="P297" t="str">
        <f t="shared" si="24"/>
        <v>No</v>
      </c>
    </row>
    <row r="298" spans="1:16" ht="15.5" hidden="1" x14ac:dyDescent="0.35">
      <c r="A298" s="34">
        <v>292</v>
      </c>
      <c r="B298" s="35" t="s">
        <v>273</v>
      </c>
      <c r="C298" s="35" t="s">
        <v>219</v>
      </c>
      <c r="D298" s="35" t="s">
        <v>181</v>
      </c>
      <c r="E298" s="35">
        <v>82</v>
      </c>
      <c r="F298" s="35">
        <v>78</v>
      </c>
      <c r="G298" s="35">
        <v>85</v>
      </c>
      <c r="H298" s="35">
        <v>50</v>
      </c>
      <c r="I298" s="35">
        <v>64</v>
      </c>
      <c r="J298" s="35">
        <v>93</v>
      </c>
      <c r="K298" s="35">
        <v>62</v>
      </c>
      <c r="L298" s="35">
        <f t="shared" si="20"/>
        <v>514</v>
      </c>
      <c r="M298" s="36">
        <f t="shared" si="21"/>
        <v>73.428571428571431</v>
      </c>
      <c r="N298" s="35" t="str">
        <f t="shared" si="22"/>
        <v>FAIL</v>
      </c>
      <c r="O298" t="str">
        <f t="shared" si="23"/>
        <v>First Class</v>
      </c>
      <c r="P298" t="str">
        <f t="shared" si="24"/>
        <v>No</v>
      </c>
    </row>
    <row r="299" spans="1:16" ht="15.5" hidden="1" x14ac:dyDescent="0.35">
      <c r="A299" s="34">
        <v>293</v>
      </c>
      <c r="B299" s="35" t="s">
        <v>341</v>
      </c>
      <c r="C299" s="35" t="s">
        <v>221</v>
      </c>
      <c r="D299" s="35" t="s">
        <v>181</v>
      </c>
      <c r="E299" s="35">
        <v>96</v>
      </c>
      <c r="F299" s="35">
        <v>90</v>
      </c>
      <c r="G299" s="35">
        <v>84</v>
      </c>
      <c r="H299" s="35">
        <v>79</v>
      </c>
      <c r="I299" s="35">
        <v>74</v>
      </c>
      <c r="J299" s="35">
        <v>85</v>
      </c>
      <c r="K299" s="35">
        <v>62</v>
      </c>
      <c r="L299" s="35">
        <f t="shared" si="20"/>
        <v>570</v>
      </c>
      <c r="M299" s="36">
        <f t="shared" si="21"/>
        <v>81.428571428571431</v>
      </c>
      <c r="N299" s="35" t="str">
        <f t="shared" si="22"/>
        <v>PASS</v>
      </c>
      <c r="O299" t="str">
        <f t="shared" si="23"/>
        <v>First Class</v>
      </c>
      <c r="P299" t="str">
        <f t="shared" si="24"/>
        <v>No</v>
      </c>
    </row>
    <row r="300" spans="1:16" ht="15.5" hidden="1" x14ac:dyDescent="0.35">
      <c r="A300" s="34">
        <v>294</v>
      </c>
      <c r="B300" s="35" t="s">
        <v>342</v>
      </c>
      <c r="C300" s="35" t="s">
        <v>223</v>
      </c>
      <c r="D300" s="35" t="s">
        <v>185</v>
      </c>
      <c r="E300" s="35">
        <v>90</v>
      </c>
      <c r="F300" s="35">
        <v>45</v>
      </c>
      <c r="G300" s="35">
        <v>72</v>
      </c>
      <c r="H300" s="35">
        <v>73</v>
      </c>
      <c r="I300" s="35">
        <v>77</v>
      </c>
      <c r="J300" s="35">
        <v>78</v>
      </c>
      <c r="K300" s="35">
        <v>72</v>
      </c>
      <c r="L300" s="35">
        <f t="shared" si="20"/>
        <v>507</v>
      </c>
      <c r="M300" s="36">
        <f t="shared" si="21"/>
        <v>72.428571428571431</v>
      </c>
      <c r="N300" s="35" t="str">
        <f t="shared" si="22"/>
        <v>FAIL</v>
      </c>
      <c r="O300" t="str">
        <f t="shared" si="23"/>
        <v>First Class</v>
      </c>
      <c r="P300" t="str">
        <f t="shared" si="24"/>
        <v>No</v>
      </c>
    </row>
    <row r="301" spans="1:16" ht="15.5" hidden="1" x14ac:dyDescent="0.35">
      <c r="A301" s="34">
        <v>295</v>
      </c>
      <c r="B301" s="35" t="s">
        <v>343</v>
      </c>
      <c r="C301" s="35" t="s">
        <v>225</v>
      </c>
      <c r="D301" s="35" t="s">
        <v>185</v>
      </c>
      <c r="E301" s="35">
        <v>85</v>
      </c>
      <c r="F301" s="35">
        <v>75</v>
      </c>
      <c r="G301" s="35">
        <v>77</v>
      </c>
      <c r="H301" s="35">
        <v>87</v>
      </c>
      <c r="I301" s="35">
        <v>75</v>
      </c>
      <c r="J301" s="35">
        <v>90</v>
      </c>
      <c r="K301" s="35">
        <v>73</v>
      </c>
      <c r="L301" s="35">
        <f t="shared" si="20"/>
        <v>562</v>
      </c>
      <c r="M301" s="36">
        <f t="shared" si="21"/>
        <v>80.285714285714292</v>
      </c>
      <c r="N301" s="35" t="str">
        <f t="shared" si="22"/>
        <v>PASS</v>
      </c>
      <c r="O301" t="str">
        <f t="shared" si="23"/>
        <v>First Class</v>
      </c>
      <c r="P301" t="str">
        <f t="shared" si="24"/>
        <v>No</v>
      </c>
    </row>
    <row r="302" spans="1:16" ht="15.5" hidden="1" x14ac:dyDescent="0.35">
      <c r="A302" s="34">
        <v>296</v>
      </c>
      <c r="B302" s="35" t="s">
        <v>344</v>
      </c>
      <c r="C302" s="35" t="s">
        <v>227</v>
      </c>
      <c r="D302" s="35" t="s">
        <v>185</v>
      </c>
      <c r="E302" s="35">
        <v>39</v>
      </c>
      <c r="F302" s="35">
        <v>99</v>
      </c>
      <c r="G302" s="35">
        <v>87</v>
      </c>
      <c r="H302" s="35">
        <v>78</v>
      </c>
      <c r="I302" s="35">
        <v>63</v>
      </c>
      <c r="J302" s="35">
        <v>45</v>
      </c>
      <c r="K302" s="35">
        <v>71</v>
      </c>
      <c r="L302" s="35">
        <f t="shared" si="20"/>
        <v>482</v>
      </c>
      <c r="M302" s="36">
        <f t="shared" si="21"/>
        <v>68.857142857142861</v>
      </c>
      <c r="N302" s="35" t="str">
        <f t="shared" si="22"/>
        <v>FAIL</v>
      </c>
      <c r="O302" t="str">
        <f t="shared" si="23"/>
        <v>First Class</v>
      </c>
      <c r="P302" t="str">
        <f t="shared" si="24"/>
        <v>No</v>
      </c>
    </row>
    <row r="303" spans="1:16" ht="15.5" hidden="1" x14ac:dyDescent="0.35">
      <c r="A303" s="34">
        <v>297</v>
      </c>
      <c r="B303" s="35" t="s">
        <v>345</v>
      </c>
      <c r="C303" s="35" t="s">
        <v>199</v>
      </c>
      <c r="D303" s="35" t="s">
        <v>185</v>
      </c>
      <c r="E303" s="35">
        <v>84</v>
      </c>
      <c r="F303" s="35">
        <v>89</v>
      </c>
      <c r="G303" s="35">
        <v>87</v>
      </c>
      <c r="H303" s="35">
        <v>80</v>
      </c>
      <c r="I303" s="35">
        <v>73</v>
      </c>
      <c r="J303" s="35">
        <v>75</v>
      </c>
      <c r="K303" s="35">
        <v>64</v>
      </c>
      <c r="L303" s="35">
        <f t="shared" si="20"/>
        <v>552</v>
      </c>
      <c r="M303" s="36">
        <f t="shared" si="21"/>
        <v>78.857142857142861</v>
      </c>
      <c r="N303" s="35" t="str">
        <f t="shared" si="22"/>
        <v>PASS</v>
      </c>
      <c r="O303" t="str">
        <f t="shared" si="23"/>
        <v>Second Class</v>
      </c>
      <c r="P303" t="str">
        <f t="shared" si="24"/>
        <v>No</v>
      </c>
    </row>
    <row r="304" spans="1:16" ht="15.5" hidden="1" x14ac:dyDescent="0.35">
      <c r="A304" s="34">
        <v>298</v>
      </c>
      <c r="B304" s="35" t="s">
        <v>346</v>
      </c>
      <c r="C304" s="35" t="s">
        <v>203</v>
      </c>
      <c r="D304" s="35" t="s">
        <v>185</v>
      </c>
      <c r="E304" s="35">
        <v>92</v>
      </c>
      <c r="F304" s="35">
        <v>87</v>
      </c>
      <c r="G304" s="35">
        <v>86</v>
      </c>
      <c r="H304" s="35">
        <v>90</v>
      </c>
      <c r="I304" s="35">
        <v>66</v>
      </c>
      <c r="J304" s="35">
        <v>99</v>
      </c>
      <c r="K304" s="35">
        <v>74</v>
      </c>
      <c r="L304" s="35">
        <f t="shared" si="20"/>
        <v>594</v>
      </c>
      <c r="M304" s="36">
        <f t="shared" si="21"/>
        <v>84.857142857142861</v>
      </c>
      <c r="N304" s="35" t="str">
        <f t="shared" si="22"/>
        <v>PASS</v>
      </c>
      <c r="O304" t="str">
        <f t="shared" si="23"/>
        <v>First Class</v>
      </c>
      <c r="P304" t="str">
        <f t="shared" si="24"/>
        <v>No</v>
      </c>
    </row>
    <row r="305" spans="1:16" ht="15.5" hidden="1" x14ac:dyDescent="0.35">
      <c r="A305" s="34">
        <v>299</v>
      </c>
      <c r="B305" s="35" t="s">
        <v>347</v>
      </c>
      <c r="C305" s="35" t="s">
        <v>203</v>
      </c>
      <c r="D305" s="35" t="s">
        <v>185</v>
      </c>
      <c r="E305" s="35">
        <v>95</v>
      </c>
      <c r="F305" s="35">
        <v>50</v>
      </c>
      <c r="G305" s="35">
        <v>74</v>
      </c>
      <c r="H305" s="35">
        <v>75</v>
      </c>
      <c r="I305" s="35">
        <v>76</v>
      </c>
      <c r="J305" s="35">
        <v>89</v>
      </c>
      <c r="K305" s="35">
        <v>77</v>
      </c>
      <c r="L305" s="35">
        <f t="shared" si="20"/>
        <v>536</v>
      </c>
      <c r="M305" s="36">
        <f t="shared" si="21"/>
        <v>76.571428571428569</v>
      </c>
      <c r="N305" s="35" t="str">
        <f t="shared" si="22"/>
        <v>FAIL</v>
      </c>
      <c r="O305" t="str">
        <f t="shared" si="23"/>
        <v>Second Class</v>
      </c>
      <c r="P305" t="str">
        <f t="shared" si="24"/>
        <v>No</v>
      </c>
    </row>
    <row r="306" spans="1:16" ht="15.5" hidden="1" x14ac:dyDescent="0.35">
      <c r="A306" s="34">
        <v>300</v>
      </c>
      <c r="B306" s="35" t="s">
        <v>348</v>
      </c>
      <c r="C306" s="35" t="s">
        <v>206</v>
      </c>
      <c r="D306" s="35" t="s">
        <v>185</v>
      </c>
      <c r="E306" s="35">
        <v>87</v>
      </c>
      <c r="F306" s="35">
        <v>63</v>
      </c>
      <c r="G306" s="35">
        <v>89</v>
      </c>
      <c r="H306" s="35">
        <v>68</v>
      </c>
      <c r="I306" s="35">
        <v>92</v>
      </c>
      <c r="J306" s="35">
        <v>87</v>
      </c>
      <c r="K306" s="35">
        <v>75</v>
      </c>
      <c r="L306" s="35">
        <f t="shared" si="20"/>
        <v>561</v>
      </c>
      <c r="M306" s="36">
        <f t="shared" si="21"/>
        <v>80.142857142857139</v>
      </c>
      <c r="N306" s="35" t="str">
        <f t="shared" si="22"/>
        <v>PASS</v>
      </c>
      <c r="O306" t="str">
        <f t="shared" si="23"/>
        <v>First Class</v>
      </c>
      <c r="P306" t="str">
        <f t="shared" si="24"/>
        <v>No</v>
      </c>
    </row>
    <row r="307" spans="1:16" ht="15.5" hidden="1" x14ac:dyDescent="0.35">
      <c r="A307" s="34">
        <v>301</v>
      </c>
      <c r="B307" s="35" t="s">
        <v>349</v>
      </c>
      <c r="C307" s="35" t="s">
        <v>206</v>
      </c>
      <c r="D307" s="35" t="s">
        <v>185</v>
      </c>
      <c r="E307" s="35">
        <v>81</v>
      </c>
      <c r="F307" s="35">
        <v>74</v>
      </c>
      <c r="G307" s="35">
        <v>92</v>
      </c>
      <c r="H307" s="35">
        <v>80</v>
      </c>
      <c r="I307" s="35">
        <v>43</v>
      </c>
      <c r="J307" s="35">
        <v>50</v>
      </c>
      <c r="K307" s="35">
        <v>63</v>
      </c>
      <c r="L307" s="35">
        <f t="shared" si="20"/>
        <v>483</v>
      </c>
      <c r="M307" s="36">
        <f t="shared" si="21"/>
        <v>69</v>
      </c>
      <c r="N307" s="35" t="str">
        <f t="shared" si="22"/>
        <v>FAIL</v>
      </c>
      <c r="O307" t="str">
        <f t="shared" si="23"/>
        <v>Second Class</v>
      </c>
      <c r="P307" t="str">
        <f t="shared" si="24"/>
        <v>No</v>
      </c>
    </row>
    <row r="308" spans="1:16" ht="15.5" hidden="1" x14ac:dyDescent="0.35">
      <c r="A308" s="34">
        <v>302</v>
      </c>
      <c r="B308" s="35" t="s">
        <v>350</v>
      </c>
      <c r="C308" s="35" t="s">
        <v>209</v>
      </c>
      <c r="D308" s="35" t="s">
        <v>179</v>
      </c>
      <c r="E308" s="35">
        <v>91</v>
      </c>
      <c r="F308" s="35">
        <v>89</v>
      </c>
      <c r="G308" s="35">
        <v>89</v>
      </c>
      <c r="H308" s="35">
        <v>71</v>
      </c>
      <c r="I308" s="35">
        <v>50</v>
      </c>
      <c r="J308" s="35">
        <v>63</v>
      </c>
      <c r="K308" s="35">
        <v>73</v>
      </c>
      <c r="L308" s="35">
        <f t="shared" si="20"/>
        <v>526</v>
      </c>
      <c r="M308" s="36">
        <f t="shared" si="21"/>
        <v>75.142857142857139</v>
      </c>
      <c r="N308" s="35" t="str">
        <f t="shared" si="22"/>
        <v>FAIL</v>
      </c>
      <c r="O308" t="str">
        <f t="shared" si="23"/>
        <v>First Class</v>
      </c>
      <c r="P308" t="str">
        <f t="shared" si="24"/>
        <v>No</v>
      </c>
    </row>
    <row r="309" spans="1:16" ht="15.5" hidden="1" x14ac:dyDescent="0.35">
      <c r="A309" s="34">
        <v>303</v>
      </c>
      <c r="B309" s="35" t="s">
        <v>351</v>
      </c>
      <c r="C309" s="35" t="s">
        <v>211</v>
      </c>
      <c r="D309" s="35" t="s">
        <v>179</v>
      </c>
      <c r="E309" s="35">
        <v>84</v>
      </c>
      <c r="F309" s="35">
        <v>77</v>
      </c>
      <c r="G309" s="35">
        <v>78</v>
      </c>
      <c r="H309" s="35">
        <v>74</v>
      </c>
      <c r="I309" s="35">
        <v>79</v>
      </c>
      <c r="J309" s="35">
        <v>74</v>
      </c>
      <c r="K309" s="35">
        <v>66</v>
      </c>
      <c r="L309" s="35">
        <f t="shared" si="20"/>
        <v>532</v>
      </c>
      <c r="M309" s="36">
        <f t="shared" si="21"/>
        <v>76</v>
      </c>
      <c r="N309" s="35" t="str">
        <f t="shared" si="22"/>
        <v>PASS</v>
      </c>
      <c r="O309" t="str">
        <f t="shared" si="23"/>
        <v>First Class</v>
      </c>
      <c r="P309" t="str">
        <f t="shared" si="24"/>
        <v>No</v>
      </c>
    </row>
    <row r="310" spans="1:16" ht="15.5" hidden="1" x14ac:dyDescent="0.35">
      <c r="A310" s="34">
        <v>304</v>
      </c>
      <c r="B310" s="35" t="s">
        <v>352</v>
      </c>
      <c r="C310" s="35" t="s">
        <v>213</v>
      </c>
      <c r="D310" s="35" t="s">
        <v>179</v>
      </c>
      <c r="E310" s="35">
        <v>94</v>
      </c>
      <c r="F310" s="35">
        <v>85</v>
      </c>
      <c r="G310" s="35">
        <v>88</v>
      </c>
      <c r="H310" s="35">
        <v>77</v>
      </c>
      <c r="I310" s="35">
        <v>73</v>
      </c>
      <c r="J310" s="35">
        <v>89</v>
      </c>
      <c r="K310" s="35">
        <v>76</v>
      </c>
      <c r="L310" s="35">
        <f t="shared" si="20"/>
        <v>582</v>
      </c>
      <c r="M310" s="36">
        <f t="shared" si="21"/>
        <v>83.142857142857139</v>
      </c>
      <c r="N310" s="35" t="str">
        <f t="shared" si="22"/>
        <v>PASS</v>
      </c>
      <c r="O310" t="str">
        <f t="shared" si="23"/>
        <v>First Class</v>
      </c>
      <c r="P310" t="str">
        <f t="shared" si="24"/>
        <v>No</v>
      </c>
    </row>
    <row r="311" spans="1:16" ht="15.5" hidden="1" x14ac:dyDescent="0.35">
      <c r="A311" s="34">
        <v>305</v>
      </c>
      <c r="B311" s="35" t="s">
        <v>353</v>
      </c>
      <c r="C311" s="35" t="s">
        <v>206</v>
      </c>
      <c r="D311" s="35" t="s">
        <v>179</v>
      </c>
      <c r="E311" s="35">
        <v>96</v>
      </c>
      <c r="F311" s="35">
        <v>92</v>
      </c>
      <c r="G311" s="35">
        <v>81</v>
      </c>
      <c r="H311" s="35">
        <v>81</v>
      </c>
      <c r="I311" s="35">
        <v>87</v>
      </c>
      <c r="J311" s="35">
        <v>77</v>
      </c>
      <c r="K311" s="35">
        <v>92</v>
      </c>
      <c r="L311" s="35">
        <f t="shared" si="20"/>
        <v>606</v>
      </c>
      <c r="M311" s="36">
        <f t="shared" si="21"/>
        <v>86.571428571428569</v>
      </c>
      <c r="N311" s="35" t="str">
        <f t="shared" si="22"/>
        <v>PASS</v>
      </c>
      <c r="O311" t="str">
        <f t="shared" si="23"/>
        <v>First Class</v>
      </c>
      <c r="P311" t="str">
        <f t="shared" si="24"/>
        <v>No</v>
      </c>
    </row>
    <row r="312" spans="1:16" ht="15.5" hidden="1" x14ac:dyDescent="0.35">
      <c r="A312" s="34">
        <v>306</v>
      </c>
      <c r="B312" s="35" t="s">
        <v>354</v>
      </c>
      <c r="C312" s="35" t="s">
        <v>211</v>
      </c>
      <c r="D312" s="35" t="s">
        <v>179</v>
      </c>
      <c r="E312" s="35">
        <v>95</v>
      </c>
      <c r="F312" s="35">
        <v>71</v>
      </c>
      <c r="G312" s="35">
        <v>91</v>
      </c>
      <c r="H312" s="35">
        <v>91</v>
      </c>
      <c r="I312" s="35">
        <v>78</v>
      </c>
      <c r="J312" s="35">
        <v>85</v>
      </c>
      <c r="K312" s="35">
        <v>75</v>
      </c>
      <c r="L312" s="35">
        <f t="shared" si="20"/>
        <v>586</v>
      </c>
      <c r="M312" s="36">
        <f t="shared" si="21"/>
        <v>83.714285714285708</v>
      </c>
      <c r="N312" s="35" t="str">
        <f t="shared" si="22"/>
        <v>PASS</v>
      </c>
      <c r="O312" t="str">
        <f t="shared" si="23"/>
        <v>Second Class</v>
      </c>
      <c r="P312" t="str">
        <f t="shared" si="24"/>
        <v>No</v>
      </c>
    </row>
    <row r="313" spans="1:16" ht="15.5" hidden="1" x14ac:dyDescent="0.35">
      <c r="A313" s="34">
        <v>307</v>
      </c>
      <c r="B313" s="35" t="s">
        <v>355</v>
      </c>
      <c r="C313" s="35" t="s">
        <v>213</v>
      </c>
      <c r="D313" s="35" t="s">
        <v>179</v>
      </c>
      <c r="E313" s="35">
        <v>88</v>
      </c>
      <c r="F313" s="35">
        <v>50</v>
      </c>
      <c r="G313" s="35">
        <v>93</v>
      </c>
      <c r="H313" s="35">
        <v>84</v>
      </c>
      <c r="I313" s="35">
        <v>80</v>
      </c>
      <c r="J313" s="35">
        <v>92</v>
      </c>
      <c r="K313" s="35">
        <v>68</v>
      </c>
      <c r="L313" s="35">
        <f t="shared" si="20"/>
        <v>555</v>
      </c>
      <c r="M313" s="36">
        <f t="shared" si="21"/>
        <v>79.285714285714292</v>
      </c>
      <c r="N313" s="35" t="str">
        <f t="shared" si="22"/>
        <v>FAIL</v>
      </c>
      <c r="O313" t="str">
        <f t="shared" si="23"/>
        <v>First Class</v>
      </c>
      <c r="P313" t="str">
        <f t="shared" si="24"/>
        <v>No</v>
      </c>
    </row>
    <row r="314" spans="1:16" ht="15.5" hidden="1" x14ac:dyDescent="0.35">
      <c r="A314" s="34">
        <v>308</v>
      </c>
      <c r="B314" s="35" t="s">
        <v>356</v>
      </c>
      <c r="C314" s="35" t="s">
        <v>206</v>
      </c>
      <c r="D314" s="35" t="s">
        <v>179</v>
      </c>
      <c r="E314" s="35">
        <v>50</v>
      </c>
      <c r="F314" s="35">
        <v>79</v>
      </c>
      <c r="G314" s="35">
        <v>85</v>
      </c>
      <c r="H314" s="35">
        <v>73</v>
      </c>
      <c r="I314" s="35">
        <v>90</v>
      </c>
      <c r="J314" s="35">
        <v>71</v>
      </c>
      <c r="K314" s="35">
        <v>75</v>
      </c>
      <c r="L314" s="35">
        <f t="shared" si="20"/>
        <v>523</v>
      </c>
      <c r="M314" s="36">
        <f t="shared" si="21"/>
        <v>74.714285714285708</v>
      </c>
      <c r="N314" s="35" t="str">
        <f t="shared" si="22"/>
        <v>FAIL</v>
      </c>
      <c r="O314" t="str">
        <f t="shared" si="23"/>
        <v>First Class</v>
      </c>
      <c r="P314" t="str">
        <f t="shared" si="24"/>
        <v>No</v>
      </c>
    </row>
    <row r="315" spans="1:16" ht="15.5" hidden="1" x14ac:dyDescent="0.35">
      <c r="A315" s="34">
        <v>309</v>
      </c>
      <c r="B315" s="35" t="s">
        <v>357</v>
      </c>
      <c r="C315" s="35" t="s">
        <v>206</v>
      </c>
      <c r="D315" s="35" t="s">
        <v>179</v>
      </c>
      <c r="E315" s="35">
        <v>79</v>
      </c>
      <c r="F315" s="35">
        <v>73</v>
      </c>
      <c r="G315" s="35">
        <v>78</v>
      </c>
      <c r="H315" s="35">
        <v>97</v>
      </c>
      <c r="I315" s="35">
        <v>75</v>
      </c>
      <c r="J315" s="35">
        <v>50</v>
      </c>
      <c r="K315" s="35">
        <v>79</v>
      </c>
      <c r="L315" s="35">
        <f t="shared" si="20"/>
        <v>531</v>
      </c>
      <c r="M315" s="36">
        <f t="shared" si="21"/>
        <v>75.857142857142861</v>
      </c>
      <c r="N315" s="35" t="str">
        <f t="shared" si="22"/>
        <v>FAIL</v>
      </c>
      <c r="O315" t="str">
        <f t="shared" si="23"/>
        <v>First Class</v>
      </c>
      <c r="P315" t="str">
        <f t="shared" si="24"/>
        <v>No</v>
      </c>
    </row>
    <row r="316" spans="1:16" ht="15.5" x14ac:dyDescent="0.35">
      <c r="A316" s="34">
        <v>310</v>
      </c>
      <c r="B316" s="35" t="s">
        <v>358</v>
      </c>
      <c r="C316" s="35" t="s">
        <v>217</v>
      </c>
      <c r="D316" s="35" t="s">
        <v>181</v>
      </c>
      <c r="E316" s="35">
        <v>73</v>
      </c>
      <c r="F316" s="35">
        <v>87</v>
      </c>
      <c r="G316" s="35">
        <v>90</v>
      </c>
      <c r="H316" s="35">
        <v>91</v>
      </c>
      <c r="I316" s="35">
        <v>68</v>
      </c>
      <c r="J316" s="35">
        <v>79</v>
      </c>
      <c r="K316" s="35">
        <v>85</v>
      </c>
      <c r="L316" s="35">
        <f t="shared" si="20"/>
        <v>573</v>
      </c>
      <c r="M316" s="36">
        <f t="shared" si="21"/>
        <v>81.857142857142861</v>
      </c>
      <c r="N316" s="35" t="str">
        <f t="shared" si="22"/>
        <v>PASS</v>
      </c>
      <c r="O316" t="str">
        <f t="shared" si="23"/>
        <v>Distinction</v>
      </c>
      <c r="P316" t="str">
        <f t="shared" si="24"/>
        <v>Yes</v>
      </c>
    </row>
    <row r="317" spans="1:16" ht="15.5" hidden="1" x14ac:dyDescent="0.35">
      <c r="A317" s="34">
        <v>311</v>
      </c>
      <c r="B317" s="35" t="s">
        <v>359</v>
      </c>
      <c r="C317" s="35" t="s">
        <v>219</v>
      </c>
      <c r="D317" s="35" t="s">
        <v>181</v>
      </c>
      <c r="E317" s="35">
        <v>81</v>
      </c>
      <c r="F317" s="35">
        <v>78</v>
      </c>
      <c r="G317" s="35">
        <v>45</v>
      </c>
      <c r="H317" s="35">
        <v>84</v>
      </c>
      <c r="I317" s="35">
        <v>80</v>
      </c>
      <c r="J317" s="35">
        <v>73</v>
      </c>
      <c r="K317" s="35">
        <v>84</v>
      </c>
      <c r="L317" s="35">
        <f t="shared" si="20"/>
        <v>525</v>
      </c>
      <c r="M317" s="36">
        <f t="shared" si="21"/>
        <v>75</v>
      </c>
      <c r="N317" s="35" t="str">
        <f t="shared" si="22"/>
        <v>FAIL</v>
      </c>
      <c r="O317" t="str">
        <f t="shared" si="23"/>
        <v>First Class</v>
      </c>
      <c r="P317" t="str">
        <f t="shared" si="24"/>
        <v>No</v>
      </c>
    </row>
    <row r="318" spans="1:16" ht="15.5" hidden="1" x14ac:dyDescent="0.35">
      <c r="A318" s="34">
        <v>312</v>
      </c>
      <c r="B318" s="35" t="s">
        <v>359</v>
      </c>
      <c r="C318" s="35" t="s">
        <v>221</v>
      </c>
      <c r="D318" s="35" t="s">
        <v>181</v>
      </c>
      <c r="E318" s="35">
        <v>91</v>
      </c>
      <c r="F318" s="35">
        <v>80</v>
      </c>
      <c r="G318" s="35">
        <v>75</v>
      </c>
      <c r="H318" s="35">
        <v>75</v>
      </c>
      <c r="I318" s="35">
        <v>71</v>
      </c>
      <c r="J318" s="35">
        <v>87</v>
      </c>
      <c r="K318" s="35">
        <v>72</v>
      </c>
      <c r="L318" s="35">
        <f t="shared" si="20"/>
        <v>551</v>
      </c>
      <c r="M318" s="36">
        <f t="shared" si="21"/>
        <v>78.714285714285708</v>
      </c>
      <c r="N318" s="35" t="str">
        <f t="shared" si="22"/>
        <v>PASS</v>
      </c>
      <c r="O318" t="str">
        <f t="shared" si="23"/>
        <v>First Class</v>
      </c>
      <c r="P318" t="str">
        <f t="shared" si="24"/>
        <v>No</v>
      </c>
    </row>
    <row r="319" spans="1:16" ht="15.5" hidden="1" x14ac:dyDescent="0.35">
      <c r="A319" s="34">
        <v>313</v>
      </c>
      <c r="B319" s="35" t="s">
        <v>360</v>
      </c>
      <c r="C319" s="35" t="s">
        <v>223</v>
      </c>
      <c r="D319" s="35" t="s">
        <v>181</v>
      </c>
      <c r="E319" s="35">
        <v>93</v>
      </c>
      <c r="F319" s="35">
        <v>90</v>
      </c>
      <c r="G319" s="35">
        <v>99</v>
      </c>
      <c r="H319" s="35">
        <v>79</v>
      </c>
      <c r="I319" s="35">
        <v>74</v>
      </c>
      <c r="J319" s="35">
        <v>78</v>
      </c>
      <c r="K319" s="35">
        <v>77</v>
      </c>
      <c r="L319" s="35">
        <f t="shared" si="20"/>
        <v>590</v>
      </c>
      <c r="M319" s="36">
        <f t="shared" si="21"/>
        <v>84.285714285714292</v>
      </c>
      <c r="N319" s="35" t="str">
        <f t="shared" si="22"/>
        <v>PASS</v>
      </c>
      <c r="O319" t="str">
        <f t="shared" si="23"/>
        <v>Second Class</v>
      </c>
      <c r="P319" t="str">
        <f t="shared" si="24"/>
        <v>No</v>
      </c>
    </row>
    <row r="320" spans="1:16" ht="15.5" hidden="1" x14ac:dyDescent="0.35">
      <c r="A320" s="34">
        <v>314</v>
      </c>
      <c r="B320" s="35" t="s">
        <v>361</v>
      </c>
      <c r="C320" s="35" t="s">
        <v>225</v>
      </c>
      <c r="D320" s="35" t="s">
        <v>181</v>
      </c>
      <c r="E320" s="35">
        <v>85</v>
      </c>
      <c r="F320" s="35">
        <v>75</v>
      </c>
      <c r="G320" s="35">
        <v>89</v>
      </c>
      <c r="H320" s="35">
        <v>85</v>
      </c>
      <c r="I320" s="35">
        <v>77</v>
      </c>
      <c r="J320" s="35">
        <v>80</v>
      </c>
      <c r="K320" s="35">
        <v>87</v>
      </c>
      <c r="L320" s="35">
        <f t="shared" si="20"/>
        <v>578</v>
      </c>
      <c r="M320" s="36">
        <f t="shared" si="21"/>
        <v>82.571428571428569</v>
      </c>
      <c r="N320" s="35" t="str">
        <f t="shared" si="22"/>
        <v>PASS</v>
      </c>
      <c r="O320" t="str">
        <f t="shared" si="23"/>
        <v>First Class</v>
      </c>
      <c r="P320" t="str">
        <f t="shared" si="24"/>
        <v>No</v>
      </c>
    </row>
    <row r="321" spans="1:16" ht="15.5" hidden="1" x14ac:dyDescent="0.35">
      <c r="A321" s="34">
        <v>315</v>
      </c>
      <c r="B321" s="35" t="s">
        <v>362</v>
      </c>
      <c r="C321" s="35" t="s">
        <v>227</v>
      </c>
      <c r="D321" s="35" t="s">
        <v>181</v>
      </c>
      <c r="E321" s="35">
        <v>78</v>
      </c>
      <c r="F321" s="35">
        <v>68</v>
      </c>
      <c r="G321" s="35">
        <v>87</v>
      </c>
      <c r="H321" s="35">
        <v>84</v>
      </c>
      <c r="I321" s="35">
        <v>81</v>
      </c>
      <c r="J321" s="35">
        <v>90</v>
      </c>
      <c r="K321" s="35">
        <v>87</v>
      </c>
      <c r="L321" s="35">
        <f t="shared" si="20"/>
        <v>575</v>
      </c>
      <c r="M321" s="36">
        <f t="shared" si="21"/>
        <v>82.142857142857139</v>
      </c>
      <c r="N321" s="35" t="str">
        <f t="shared" si="22"/>
        <v>PASS</v>
      </c>
      <c r="O321" t="str">
        <f t="shared" si="23"/>
        <v>First Class</v>
      </c>
      <c r="P321" t="str">
        <f t="shared" si="24"/>
        <v>No</v>
      </c>
    </row>
    <row r="322" spans="1:16" ht="15.5" hidden="1" x14ac:dyDescent="0.35">
      <c r="A322" s="34">
        <v>316</v>
      </c>
      <c r="B322" s="35" t="s">
        <v>363</v>
      </c>
      <c r="C322" s="35" t="s">
        <v>229</v>
      </c>
      <c r="D322" s="35" t="s">
        <v>181</v>
      </c>
      <c r="E322" s="35">
        <v>90</v>
      </c>
      <c r="F322" s="35">
        <v>80</v>
      </c>
      <c r="G322" s="35">
        <v>50</v>
      </c>
      <c r="H322" s="35">
        <v>72</v>
      </c>
      <c r="I322" s="35">
        <v>91</v>
      </c>
      <c r="J322" s="35">
        <v>75</v>
      </c>
      <c r="K322" s="35">
        <v>86</v>
      </c>
      <c r="L322" s="35">
        <f t="shared" si="20"/>
        <v>544</v>
      </c>
      <c r="M322" s="36">
        <f t="shared" si="21"/>
        <v>77.714285714285708</v>
      </c>
      <c r="N322" s="35" t="str">
        <f t="shared" si="22"/>
        <v>FAIL</v>
      </c>
      <c r="O322" t="str">
        <f t="shared" si="23"/>
        <v>First Class</v>
      </c>
      <c r="P322" t="str">
        <f t="shared" si="24"/>
        <v>No</v>
      </c>
    </row>
    <row r="323" spans="1:16" ht="15.5" hidden="1" x14ac:dyDescent="0.35">
      <c r="A323" s="34">
        <v>317</v>
      </c>
      <c r="B323" s="35" t="s">
        <v>364</v>
      </c>
      <c r="C323" s="35" t="s">
        <v>231</v>
      </c>
      <c r="D323" s="35" t="s">
        <v>181</v>
      </c>
      <c r="E323" s="35">
        <v>45</v>
      </c>
      <c r="F323" s="35">
        <v>71</v>
      </c>
      <c r="G323" s="35">
        <v>63</v>
      </c>
      <c r="H323" s="35">
        <v>77</v>
      </c>
      <c r="I323" s="35">
        <v>84</v>
      </c>
      <c r="J323" s="35">
        <v>68</v>
      </c>
      <c r="K323" s="35">
        <v>74</v>
      </c>
      <c r="L323" s="35">
        <f t="shared" si="20"/>
        <v>482</v>
      </c>
      <c r="M323" s="36">
        <f t="shared" si="21"/>
        <v>68.857142857142861</v>
      </c>
      <c r="N323" s="35" t="str">
        <f t="shared" si="22"/>
        <v>FAIL</v>
      </c>
      <c r="O323" t="str">
        <f t="shared" si="23"/>
        <v>First Class</v>
      </c>
      <c r="P323" t="str">
        <f t="shared" si="24"/>
        <v>No</v>
      </c>
    </row>
    <row r="324" spans="1:16" ht="15.5" hidden="1" x14ac:dyDescent="0.35">
      <c r="A324" s="34">
        <v>318</v>
      </c>
      <c r="B324" s="35" t="s">
        <v>365</v>
      </c>
      <c r="C324" s="35" t="s">
        <v>232</v>
      </c>
      <c r="D324" s="35" t="s">
        <v>179</v>
      </c>
      <c r="E324" s="35">
        <v>75</v>
      </c>
      <c r="F324" s="35">
        <v>74</v>
      </c>
      <c r="G324" s="35">
        <v>74</v>
      </c>
      <c r="H324" s="35">
        <v>87</v>
      </c>
      <c r="I324" s="35">
        <v>73</v>
      </c>
      <c r="J324" s="35">
        <v>80</v>
      </c>
      <c r="K324" s="35">
        <v>89</v>
      </c>
      <c r="L324" s="35">
        <f t="shared" si="20"/>
        <v>552</v>
      </c>
      <c r="M324" s="36">
        <f t="shared" si="21"/>
        <v>78.857142857142861</v>
      </c>
      <c r="N324" s="35" t="str">
        <f t="shared" si="22"/>
        <v>PASS</v>
      </c>
      <c r="O324" t="str">
        <f t="shared" si="23"/>
        <v>First Class</v>
      </c>
      <c r="P324" t="str">
        <f t="shared" si="24"/>
        <v>No</v>
      </c>
    </row>
    <row r="325" spans="1:16" ht="15.5" hidden="1" x14ac:dyDescent="0.35">
      <c r="A325" s="34">
        <v>319</v>
      </c>
      <c r="B325" s="35" t="s">
        <v>366</v>
      </c>
      <c r="C325" s="35" t="s">
        <v>187</v>
      </c>
      <c r="D325" s="35" t="s">
        <v>179</v>
      </c>
      <c r="E325" s="35">
        <v>99</v>
      </c>
      <c r="F325" s="35">
        <v>77</v>
      </c>
      <c r="G325" s="35">
        <v>89</v>
      </c>
      <c r="H325" s="35">
        <v>87</v>
      </c>
      <c r="I325" s="35">
        <v>97</v>
      </c>
      <c r="J325" s="35">
        <v>71</v>
      </c>
      <c r="K325" s="35">
        <v>92</v>
      </c>
      <c r="L325" s="35">
        <f t="shared" si="20"/>
        <v>612</v>
      </c>
      <c r="M325" s="36">
        <f t="shared" si="21"/>
        <v>87.428571428571431</v>
      </c>
      <c r="N325" s="35" t="str">
        <f t="shared" si="22"/>
        <v>PASS</v>
      </c>
      <c r="O325" t="str">
        <f t="shared" si="23"/>
        <v>First Class</v>
      </c>
      <c r="P325" t="str">
        <f t="shared" si="24"/>
        <v>No</v>
      </c>
    </row>
    <row r="326" spans="1:16" ht="15.5" hidden="1" x14ac:dyDescent="0.35">
      <c r="A326" s="34">
        <v>320</v>
      </c>
      <c r="B326" s="35" t="s">
        <v>367</v>
      </c>
      <c r="C326" s="35" t="s">
        <v>191</v>
      </c>
      <c r="D326" s="35" t="s">
        <v>179</v>
      </c>
      <c r="E326" s="35">
        <v>89</v>
      </c>
      <c r="F326" s="35">
        <v>81</v>
      </c>
      <c r="G326" s="35">
        <v>77</v>
      </c>
      <c r="H326" s="35">
        <v>86</v>
      </c>
      <c r="I326" s="35">
        <v>91</v>
      </c>
      <c r="J326" s="35">
        <v>74</v>
      </c>
      <c r="K326" s="35">
        <v>89</v>
      </c>
      <c r="L326" s="35">
        <f t="shared" si="20"/>
        <v>587</v>
      </c>
      <c r="M326" s="36">
        <f t="shared" si="21"/>
        <v>83.857142857142861</v>
      </c>
      <c r="N326" s="35" t="str">
        <f t="shared" si="22"/>
        <v>PASS</v>
      </c>
      <c r="O326" t="str">
        <f t="shared" si="23"/>
        <v>First Class</v>
      </c>
      <c r="P326" t="str">
        <f t="shared" si="24"/>
        <v>No</v>
      </c>
    </row>
    <row r="327" spans="1:16" ht="15.5" hidden="1" x14ac:dyDescent="0.35">
      <c r="A327" s="34">
        <v>321</v>
      </c>
      <c r="B327" s="35" t="s">
        <v>383</v>
      </c>
      <c r="C327" s="35" t="s">
        <v>191</v>
      </c>
      <c r="D327" s="35" t="s">
        <v>179</v>
      </c>
      <c r="E327" s="35">
        <v>87</v>
      </c>
      <c r="F327" s="35">
        <v>91</v>
      </c>
      <c r="G327" s="35">
        <v>85</v>
      </c>
      <c r="H327" s="35">
        <v>74</v>
      </c>
      <c r="I327" s="35">
        <v>84</v>
      </c>
      <c r="J327" s="35">
        <v>77</v>
      </c>
      <c r="K327" s="35">
        <v>78</v>
      </c>
      <c r="L327" s="35">
        <f t="shared" si="20"/>
        <v>576</v>
      </c>
      <c r="M327" s="36">
        <f t="shared" si="21"/>
        <v>82.285714285714292</v>
      </c>
      <c r="N327" s="35" t="str">
        <f t="shared" si="22"/>
        <v>PASS</v>
      </c>
      <c r="O327" t="str">
        <f t="shared" si="23"/>
        <v>First Class</v>
      </c>
      <c r="P327" t="str">
        <f t="shared" si="24"/>
        <v>No</v>
      </c>
    </row>
    <row r="328" spans="1:16" ht="15.5" hidden="1" x14ac:dyDescent="0.35">
      <c r="A328" s="34">
        <v>322</v>
      </c>
      <c r="B328" s="35" t="s">
        <v>369</v>
      </c>
      <c r="C328" s="35" t="s">
        <v>194</v>
      </c>
      <c r="D328" s="35" t="s">
        <v>179</v>
      </c>
      <c r="E328" s="35">
        <v>50</v>
      </c>
      <c r="F328" s="35">
        <v>84</v>
      </c>
      <c r="G328" s="35">
        <v>92</v>
      </c>
      <c r="H328" s="35">
        <v>89</v>
      </c>
      <c r="I328" s="35">
        <v>79</v>
      </c>
      <c r="J328" s="35">
        <v>81</v>
      </c>
      <c r="K328" s="35">
        <v>88</v>
      </c>
      <c r="L328" s="35">
        <f t="shared" ref="L328:L341" si="25">SUM(E328:K328)</f>
        <v>563</v>
      </c>
      <c r="M328" s="36">
        <f t="shared" ref="M328:M341" si="26">AVERAGE(E328:K328)</f>
        <v>80.428571428571431</v>
      </c>
      <c r="N328" s="35" t="str">
        <f t="shared" ref="N328:N341" si="27">IF(MIN(E328:K328)&gt;=60,"PASS","FAIL")</f>
        <v>FAIL</v>
      </c>
      <c r="O328" t="str">
        <f t="shared" ref="O328:O341" si="28">IF(M323&gt;=85,"Distinction",IF(M323&gt;=75,"First Class",IF(M323&gt;=65,"Second Class",IF(M323&gt;=60,"Pass","Fail"))))</f>
        <v>Second Class</v>
      </c>
      <c r="P328" t="str">
        <f t="shared" ref="P328:P341" si="29">IF(M323&gt;=85,"Yes","No")</f>
        <v>No</v>
      </c>
    </row>
    <row r="329" spans="1:16" ht="15.5" hidden="1" x14ac:dyDescent="0.35">
      <c r="A329" s="34">
        <v>323</v>
      </c>
      <c r="B329" s="35" t="s">
        <v>370</v>
      </c>
      <c r="C329" s="35" t="s">
        <v>194</v>
      </c>
      <c r="D329" s="35" t="s">
        <v>185</v>
      </c>
      <c r="E329" s="35">
        <v>63</v>
      </c>
      <c r="F329" s="35">
        <v>73</v>
      </c>
      <c r="G329" s="35">
        <v>71</v>
      </c>
      <c r="H329" s="35">
        <v>92</v>
      </c>
      <c r="I329" s="35">
        <v>64</v>
      </c>
      <c r="J329" s="35">
        <v>91</v>
      </c>
      <c r="K329" s="35">
        <v>81</v>
      </c>
      <c r="L329" s="35">
        <f t="shared" si="25"/>
        <v>535</v>
      </c>
      <c r="M329" s="36">
        <f t="shared" si="26"/>
        <v>76.428571428571431</v>
      </c>
      <c r="N329" s="35" t="str">
        <f t="shared" si="27"/>
        <v>PASS</v>
      </c>
      <c r="O329" t="str">
        <f t="shared" si="28"/>
        <v>First Class</v>
      </c>
      <c r="P329" t="str">
        <f t="shared" si="29"/>
        <v>No</v>
      </c>
    </row>
    <row r="330" spans="1:16" ht="15.5" x14ac:dyDescent="0.35">
      <c r="A330" s="34">
        <v>324</v>
      </c>
      <c r="B330" s="35" t="s">
        <v>371</v>
      </c>
      <c r="C330" s="35" t="s">
        <v>197</v>
      </c>
      <c r="D330" s="35" t="s">
        <v>185</v>
      </c>
      <c r="E330" s="35">
        <v>74</v>
      </c>
      <c r="F330" s="35">
        <v>97</v>
      </c>
      <c r="G330" s="35">
        <v>50</v>
      </c>
      <c r="H330" s="35">
        <v>89</v>
      </c>
      <c r="I330" s="35">
        <v>76</v>
      </c>
      <c r="J330" s="35">
        <v>84</v>
      </c>
      <c r="K330" s="35">
        <v>91</v>
      </c>
      <c r="L330" s="35">
        <f t="shared" si="25"/>
        <v>561</v>
      </c>
      <c r="M330" s="36">
        <f t="shared" si="26"/>
        <v>80.142857142857139</v>
      </c>
      <c r="N330" s="35" t="str">
        <f t="shared" si="27"/>
        <v>FAIL</v>
      </c>
      <c r="O330" t="str">
        <f t="shared" si="28"/>
        <v>Distinction</v>
      </c>
      <c r="P330" t="str">
        <f t="shared" si="29"/>
        <v>Yes</v>
      </c>
    </row>
    <row r="331" spans="1:16" ht="15.5" hidden="1" x14ac:dyDescent="0.35">
      <c r="A331" s="34">
        <v>325</v>
      </c>
      <c r="B331" s="35" t="s">
        <v>384</v>
      </c>
      <c r="C331" s="35" t="s">
        <v>199</v>
      </c>
      <c r="D331" s="35" t="s">
        <v>185</v>
      </c>
      <c r="E331" s="35">
        <v>89</v>
      </c>
      <c r="F331" s="35">
        <v>91</v>
      </c>
      <c r="G331" s="35">
        <v>79</v>
      </c>
      <c r="H331" s="35">
        <v>78</v>
      </c>
      <c r="I331" s="35">
        <v>61</v>
      </c>
      <c r="J331" s="35">
        <v>73</v>
      </c>
      <c r="K331" s="35">
        <v>93</v>
      </c>
      <c r="L331" s="35">
        <f t="shared" si="25"/>
        <v>564</v>
      </c>
      <c r="M331" s="36">
        <f t="shared" si="26"/>
        <v>80.571428571428569</v>
      </c>
      <c r="N331" s="35" t="str">
        <f t="shared" si="27"/>
        <v>PASS</v>
      </c>
      <c r="O331" t="str">
        <f t="shared" si="28"/>
        <v>First Class</v>
      </c>
      <c r="P331" t="str">
        <f t="shared" si="29"/>
        <v>No</v>
      </c>
    </row>
    <row r="332" spans="1:16" ht="15.5" hidden="1" x14ac:dyDescent="0.35">
      <c r="A332" s="34">
        <v>326</v>
      </c>
      <c r="B332" s="35" t="s">
        <v>372</v>
      </c>
      <c r="C332" s="35" t="s">
        <v>199</v>
      </c>
      <c r="D332" s="35" t="s">
        <v>185</v>
      </c>
      <c r="E332" s="35">
        <v>77</v>
      </c>
      <c r="F332" s="35">
        <v>84</v>
      </c>
      <c r="G332" s="35">
        <v>73</v>
      </c>
      <c r="H332" s="35">
        <v>88</v>
      </c>
      <c r="I332" s="35">
        <v>85</v>
      </c>
      <c r="J332" s="35">
        <v>97</v>
      </c>
      <c r="K332" s="35">
        <v>85</v>
      </c>
      <c r="L332" s="35">
        <f t="shared" si="25"/>
        <v>589</v>
      </c>
      <c r="M332" s="36">
        <f t="shared" si="26"/>
        <v>84.142857142857139</v>
      </c>
      <c r="N332" s="35" t="str">
        <f t="shared" si="27"/>
        <v>PASS</v>
      </c>
      <c r="O332" t="str">
        <f t="shared" si="28"/>
        <v>First Class</v>
      </c>
      <c r="P332" t="str">
        <f t="shared" si="29"/>
        <v>No</v>
      </c>
    </row>
    <row r="333" spans="1:16" ht="15.5" hidden="1" x14ac:dyDescent="0.35">
      <c r="A333" s="34">
        <v>327</v>
      </c>
      <c r="B333" s="35" t="s">
        <v>373</v>
      </c>
      <c r="C333" s="35" t="s">
        <v>219</v>
      </c>
      <c r="D333" s="35" t="s">
        <v>185</v>
      </c>
      <c r="E333" s="35">
        <v>85</v>
      </c>
      <c r="F333" s="35">
        <v>85</v>
      </c>
      <c r="G333" s="35">
        <v>87</v>
      </c>
      <c r="H333" s="35">
        <v>81</v>
      </c>
      <c r="I333" s="35">
        <v>94</v>
      </c>
      <c r="J333" s="35">
        <v>91</v>
      </c>
      <c r="K333" s="35">
        <v>78</v>
      </c>
      <c r="L333" s="35">
        <f t="shared" si="25"/>
        <v>601</v>
      </c>
      <c r="M333" s="36">
        <f t="shared" si="26"/>
        <v>85.857142857142861</v>
      </c>
      <c r="N333" s="35" t="str">
        <f t="shared" si="27"/>
        <v>PASS</v>
      </c>
      <c r="O333" t="str">
        <f t="shared" si="28"/>
        <v>First Class</v>
      </c>
      <c r="P333" t="str">
        <f t="shared" si="29"/>
        <v>No</v>
      </c>
    </row>
    <row r="334" spans="1:16" ht="15.5" hidden="1" x14ac:dyDescent="0.35">
      <c r="A334" s="34">
        <v>328</v>
      </c>
      <c r="B334" s="35" t="s">
        <v>385</v>
      </c>
      <c r="C334" s="35" t="s">
        <v>221</v>
      </c>
      <c r="D334" s="35" t="s">
        <v>185</v>
      </c>
      <c r="E334" s="35">
        <v>92</v>
      </c>
      <c r="F334" s="35">
        <v>84</v>
      </c>
      <c r="G334" s="35">
        <v>78</v>
      </c>
      <c r="H334" s="35">
        <v>91</v>
      </c>
      <c r="I334" s="35">
        <v>70</v>
      </c>
      <c r="J334" s="35">
        <v>84</v>
      </c>
      <c r="K334" s="35">
        <v>90</v>
      </c>
      <c r="L334" s="35">
        <f t="shared" si="25"/>
        <v>589</v>
      </c>
      <c r="M334" s="36">
        <f t="shared" si="26"/>
        <v>84.142857142857139</v>
      </c>
      <c r="N334" s="35" t="str">
        <f t="shared" si="27"/>
        <v>PASS</v>
      </c>
      <c r="O334" t="str">
        <f t="shared" si="28"/>
        <v>First Class</v>
      </c>
      <c r="P334" t="str">
        <f t="shared" si="29"/>
        <v>No</v>
      </c>
    </row>
    <row r="335" spans="1:16" ht="15.5" hidden="1" x14ac:dyDescent="0.35">
      <c r="A335" s="34">
        <v>329</v>
      </c>
      <c r="B335" s="35" t="s">
        <v>386</v>
      </c>
      <c r="C335" s="35" t="s">
        <v>223</v>
      </c>
      <c r="D335" s="35" t="s">
        <v>185</v>
      </c>
      <c r="E335" s="35">
        <v>71</v>
      </c>
      <c r="F335" s="35">
        <v>72</v>
      </c>
      <c r="G335" s="35">
        <v>80</v>
      </c>
      <c r="H335" s="35">
        <v>93</v>
      </c>
      <c r="I335" s="35">
        <v>75</v>
      </c>
      <c r="J335" s="35">
        <v>75</v>
      </c>
      <c r="K335" s="35">
        <v>45</v>
      </c>
      <c r="L335" s="35">
        <f t="shared" si="25"/>
        <v>511</v>
      </c>
      <c r="M335" s="36">
        <f t="shared" si="26"/>
        <v>73</v>
      </c>
      <c r="N335" s="35" t="str">
        <f t="shared" si="27"/>
        <v>FAIL</v>
      </c>
      <c r="O335" t="str">
        <f t="shared" si="28"/>
        <v>First Class</v>
      </c>
      <c r="P335" t="str">
        <f t="shared" si="29"/>
        <v>No</v>
      </c>
    </row>
    <row r="336" spans="1:16" ht="15.5" hidden="1" x14ac:dyDescent="0.35">
      <c r="A336" s="34">
        <v>330</v>
      </c>
      <c r="B336" s="35" t="s">
        <v>387</v>
      </c>
      <c r="C336" s="35" t="s">
        <v>225</v>
      </c>
      <c r="D336" s="35" t="s">
        <v>185</v>
      </c>
      <c r="E336" s="35">
        <v>50</v>
      </c>
      <c r="F336" s="35">
        <v>77</v>
      </c>
      <c r="G336" s="35">
        <v>90</v>
      </c>
      <c r="H336" s="35">
        <v>85</v>
      </c>
      <c r="I336" s="35">
        <v>79</v>
      </c>
      <c r="J336" s="35">
        <v>79</v>
      </c>
      <c r="K336" s="35">
        <v>75</v>
      </c>
      <c r="L336" s="35">
        <f t="shared" si="25"/>
        <v>535</v>
      </c>
      <c r="M336" s="36">
        <f t="shared" si="26"/>
        <v>76.428571428571431</v>
      </c>
      <c r="N336" s="35" t="str">
        <f t="shared" si="27"/>
        <v>FAIL</v>
      </c>
      <c r="O336" t="str">
        <f t="shared" si="28"/>
        <v>First Class</v>
      </c>
      <c r="P336" t="str">
        <f t="shared" si="29"/>
        <v>No</v>
      </c>
    </row>
    <row r="337" spans="1:16" ht="15.5" hidden="1" x14ac:dyDescent="0.35">
      <c r="A337" s="34">
        <v>331</v>
      </c>
      <c r="B337" s="35" t="s">
        <v>376</v>
      </c>
      <c r="C337" s="35" t="s">
        <v>227</v>
      </c>
      <c r="D337" s="35" t="s">
        <v>179</v>
      </c>
      <c r="E337" s="35">
        <v>79</v>
      </c>
      <c r="F337" s="35">
        <v>87</v>
      </c>
      <c r="G337" s="35">
        <v>75</v>
      </c>
      <c r="H337" s="35">
        <v>78</v>
      </c>
      <c r="I337" s="35">
        <v>85</v>
      </c>
      <c r="J337" s="35">
        <v>85</v>
      </c>
      <c r="K337" s="35">
        <v>99</v>
      </c>
      <c r="L337" s="35">
        <f t="shared" si="25"/>
        <v>588</v>
      </c>
      <c r="M337" s="36">
        <f t="shared" si="26"/>
        <v>84</v>
      </c>
      <c r="N337" s="35" t="str">
        <f t="shared" si="27"/>
        <v>PASS</v>
      </c>
      <c r="O337" t="str">
        <f t="shared" si="28"/>
        <v>First Class</v>
      </c>
      <c r="P337" t="str">
        <f t="shared" si="29"/>
        <v>No</v>
      </c>
    </row>
    <row r="338" spans="1:16" ht="15.5" x14ac:dyDescent="0.35">
      <c r="A338" s="34">
        <v>332</v>
      </c>
      <c r="B338" s="35" t="s">
        <v>285</v>
      </c>
      <c r="C338" s="35" t="s">
        <v>199</v>
      </c>
      <c r="D338" s="35" t="s">
        <v>179</v>
      </c>
      <c r="E338" s="35">
        <v>73</v>
      </c>
      <c r="F338" s="35">
        <v>87</v>
      </c>
      <c r="G338" s="35">
        <v>68</v>
      </c>
      <c r="H338" s="35">
        <v>70</v>
      </c>
      <c r="I338" s="35">
        <v>84</v>
      </c>
      <c r="J338" s="35">
        <v>84</v>
      </c>
      <c r="K338" s="35">
        <v>89</v>
      </c>
      <c r="L338" s="35">
        <f t="shared" si="25"/>
        <v>555</v>
      </c>
      <c r="M338" s="36">
        <f t="shared" si="26"/>
        <v>79.285714285714292</v>
      </c>
      <c r="N338" s="35" t="str">
        <f t="shared" si="27"/>
        <v>PASS</v>
      </c>
      <c r="O338" t="str">
        <f t="shared" si="28"/>
        <v>Distinction</v>
      </c>
      <c r="P338" t="str">
        <f t="shared" si="29"/>
        <v>Yes</v>
      </c>
    </row>
    <row r="339" spans="1:16" ht="15.5" hidden="1" x14ac:dyDescent="0.35">
      <c r="A339" s="34">
        <v>333</v>
      </c>
      <c r="B339" s="35" t="s">
        <v>390</v>
      </c>
      <c r="C339" s="35" t="s">
        <v>203</v>
      </c>
      <c r="D339" s="35" t="s">
        <v>185</v>
      </c>
      <c r="E339" s="35">
        <v>87</v>
      </c>
      <c r="F339" s="35">
        <v>86</v>
      </c>
      <c r="G339" s="35">
        <v>80</v>
      </c>
      <c r="H339" s="35">
        <v>55</v>
      </c>
      <c r="I339" s="35">
        <v>72</v>
      </c>
      <c r="J339" s="35">
        <v>72</v>
      </c>
      <c r="K339" s="35">
        <v>87</v>
      </c>
      <c r="L339" s="35">
        <f t="shared" si="25"/>
        <v>539</v>
      </c>
      <c r="M339" s="36">
        <f t="shared" si="26"/>
        <v>77</v>
      </c>
      <c r="N339" s="35" t="str">
        <f t="shared" si="27"/>
        <v>FAIL</v>
      </c>
      <c r="O339" t="str">
        <f t="shared" si="28"/>
        <v>First Class</v>
      </c>
      <c r="P339" t="str">
        <f t="shared" si="29"/>
        <v>No</v>
      </c>
    </row>
    <row r="340" spans="1:16" ht="15.5" hidden="1" x14ac:dyDescent="0.35">
      <c r="A340" s="34">
        <v>334</v>
      </c>
      <c r="B340" s="35" t="s">
        <v>391</v>
      </c>
      <c r="C340" s="35" t="s">
        <v>203</v>
      </c>
      <c r="D340" s="35" t="s">
        <v>181</v>
      </c>
      <c r="E340" s="35">
        <v>85</v>
      </c>
      <c r="F340" s="35">
        <v>74</v>
      </c>
      <c r="G340" s="35">
        <v>71</v>
      </c>
      <c r="H340" s="35">
        <v>97</v>
      </c>
      <c r="I340" s="35">
        <v>77</v>
      </c>
      <c r="J340" s="35">
        <v>77</v>
      </c>
      <c r="K340" s="35">
        <v>50</v>
      </c>
      <c r="L340" s="35">
        <f t="shared" si="25"/>
        <v>531</v>
      </c>
      <c r="M340" s="36">
        <f t="shared" si="26"/>
        <v>75.857142857142861</v>
      </c>
      <c r="N340" s="35" t="str">
        <f t="shared" si="27"/>
        <v>FAIL</v>
      </c>
      <c r="O340" t="str">
        <f t="shared" si="28"/>
        <v>Second Class</v>
      </c>
      <c r="P340" t="str">
        <f t="shared" si="29"/>
        <v>No</v>
      </c>
    </row>
    <row r="341" spans="1:16" ht="15.5" hidden="1" x14ac:dyDescent="0.35">
      <c r="A341" s="34">
        <v>335</v>
      </c>
      <c r="B341" s="35" t="s">
        <v>392</v>
      </c>
      <c r="C341" s="35" t="s">
        <v>206</v>
      </c>
      <c r="D341" s="35" t="s">
        <v>185</v>
      </c>
      <c r="E341" s="35">
        <v>84</v>
      </c>
      <c r="F341" s="35">
        <v>89</v>
      </c>
      <c r="G341" s="35">
        <v>74</v>
      </c>
      <c r="H341" s="35">
        <v>79</v>
      </c>
      <c r="I341" s="35">
        <v>87</v>
      </c>
      <c r="J341" s="35">
        <v>87</v>
      </c>
      <c r="K341" s="35">
        <v>63</v>
      </c>
      <c r="L341" s="35">
        <f t="shared" si="25"/>
        <v>563</v>
      </c>
      <c r="M341" s="36">
        <f t="shared" si="26"/>
        <v>80.428571428571431</v>
      </c>
      <c r="N341" s="35" t="str">
        <f t="shared" si="27"/>
        <v>PASS</v>
      </c>
      <c r="O341" t="str">
        <f t="shared" si="28"/>
        <v>First Class</v>
      </c>
      <c r="P341" t="str">
        <f t="shared" si="29"/>
        <v>No</v>
      </c>
    </row>
  </sheetData>
  <autoFilter ref="P1:P341" xr:uid="{00000000-0001-0000-0B00-000000000000}">
    <filterColumn colId="0">
      <filters>
        <filter val="Yes"/>
      </filters>
    </filterColumn>
  </autoFilter>
  <mergeCells count="2">
    <mergeCell ref="A4:P5"/>
    <mergeCell ref="A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2"/>
  <sheetViews>
    <sheetView topLeftCell="A2" workbookViewId="0">
      <selection activeCell="B11" sqref="B11:B31"/>
    </sheetView>
  </sheetViews>
  <sheetFormatPr defaultColWidth="9.1796875" defaultRowHeight="14.5" x14ac:dyDescent="0.35"/>
  <cols>
    <col min="1" max="1" width="10.6328125" customWidth="1"/>
    <col min="2" max="2" width="32.1796875" style="12" customWidth="1"/>
    <col min="3" max="3" width="9.81640625" bestFit="1" customWidth="1"/>
    <col min="4" max="4" width="8" bestFit="1" customWidth="1"/>
    <col min="5" max="5" width="10" bestFit="1" customWidth="1"/>
    <col min="6" max="6" width="13.1796875" bestFit="1" customWidth="1"/>
    <col min="7" max="7" width="14.453125" bestFit="1" customWidth="1"/>
    <col min="8" max="8" width="10.1796875" bestFit="1" customWidth="1"/>
    <col min="9" max="9" width="7.7265625" bestFit="1" customWidth="1"/>
    <col min="10" max="10" width="10.81640625" bestFit="1" customWidth="1"/>
    <col min="11" max="11" width="16" bestFit="1" customWidth="1"/>
  </cols>
  <sheetData>
    <row r="1" spans="1:13" x14ac:dyDescent="0.35">
      <c r="A1" s="17" t="s">
        <v>90</v>
      </c>
      <c r="B1" s="103"/>
      <c r="C1" s="104"/>
      <c r="D1" s="104"/>
      <c r="E1" s="104"/>
      <c r="F1" s="104"/>
      <c r="G1" s="104"/>
      <c r="H1" s="104"/>
      <c r="I1" s="104"/>
      <c r="J1" s="104"/>
      <c r="K1" s="105"/>
    </row>
    <row r="2" spans="1:13" x14ac:dyDescent="0.35">
      <c r="A2" s="18">
        <v>1</v>
      </c>
      <c r="B2" s="86" t="s">
        <v>54</v>
      </c>
      <c r="C2" s="87"/>
      <c r="D2" s="87"/>
      <c r="E2" s="87"/>
      <c r="F2" s="87"/>
      <c r="G2" s="87"/>
      <c r="H2" s="87"/>
      <c r="I2" s="87"/>
      <c r="J2" s="87"/>
      <c r="K2" s="88"/>
    </row>
    <row r="3" spans="1:13" x14ac:dyDescent="0.35">
      <c r="A3" s="18">
        <v>2</v>
      </c>
      <c r="B3" s="86" t="s">
        <v>55</v>
      </c>
      <c r="C3" s="87"/>
      <c r="D3" s="87"/>
      <c r="E3" s="87"/>
      <c r="F3" s="87"/>
      <c r="G3" s="87"/>
      <c r="H3" s="87"/>
      <c r="I3" s="87"/>
      <c r="J3" s="87"/>
      <c r="K3" s="88"/>
    </row>
    <row r="4" spans="1:13" x14ac:dyDescent="0.35">
      <c r="A4" s="18">
        <v>3</v>
      </c>
      <c r="B4" s="86" t="s">
        <v>51</v>
      </c>
      <c r="C4" s="87"/>
      <c r="D4" s="87"/>
      <c r="E4" s="87"/>
      <c r="F4" s="87"/>
      <c r="G4" s="87"/>
      <c r="H4" s="87"/>
      <c r="I4" s="87"/>
      <c r="J4" s="87"/>
      <c r="K4" s="88"/>
    </row>
    <row r="5" spans="1:13" x14ac:dyDescent="0.35">
      <c r="A5" s="18">
        <v>4</v>
      </c>
      <c r="B5" s="86" t="s">
        <v>52</v>
      </c>
      <c r="C5" s="87"/>
      <c r="D5" s="87"/>
      <c r="E5" s="87"/>
      <c r="F5" s="87"/>
      <c r="G5" s="87"/>
      <c r="H5" s="87"/>
      <c r="I5" s="87"/>
      <c r="J5" s="87"/>
      <c r="K5" s="88"/>
    </row>
    <row r="6" spans="1:13" x14ac:dyDescent="0.35">
      <c r="A6" s="18">
        <v>5</v>
      </c>
      <c r="B6" s="86" t="s">
        <v>53</v>
      </c>
      <c r="C6" s="87"/>
      <c r="D6" s="87"/>
      <c r="E6" s="87"/>
      <c r="F6" s="87"/>
      <c r="G6" s="87"/>
      <c r="H6" s="87"/>
      <c r="I6" s="87"/>
      <c r="J6" s="87"/>
      <c r="K6" s="88"/>
    </row>
    <row r="7" spans="1:13" x14ac:dyDescent="0.35">
      <c r="A7" s="18">
        <v>6</v>
      </c>
      <c r="B7" s="86" t="s">
        <v>56</v>
      </c>
      <c r="C7" s="87"/>
      <c r="D7" s="87"/>
      <c r="E7" s="87"/>
      <c r="F7" s="87"/>
      <c r="G7" s="87"/>
      <c r="H7" s="87"/>
      <c r="I7" s="87"/>
      <c r="J7" s="87"/>
      <c r="K7" s="88"/>
    </row>
    <row r="8" spans="1:13" x14ac:dyDescent="0.35">
      <c r="A8" s="18">
        <v>7</v>
      </c>
      <c r="B8" s="86" t="s">
        <v>57</v>
      </c>
      <c r="C8" s="87"/>
      <c r="D8" s="87"/>
      <c r="E8" s="87"/>
      <c r="F8" s="87"/>
      <c r="G8" s="87"/>
      <c r="H8" s="87"/>
      <c r="I8" s="87"/>
      <c r="J8" s="87"/>
      <c r="K8" s="88"/>
    </row>
    <row r="9" spans="1:13" x14ac:dyDescent="0.35">
      <c r="A9" s="18">
        <v>8</v>
      </c>
      <c r="B9" s="86" t="s">
        <v>58</v>
      </c>
      <c r="C9" s="87"/>
      <c r="D9" s="87"/>
      <c r="E9" s="87"/>
      <c r="F9" s="87"/>
      <c r="G9" s="87"/>
      <c r="H9" s="87"/>
      <c r="I9" s="87"/>
      <c r="J9" s="87"/>
      <c r="K9" s="88"/>
    </row>
    <row r="10" spans="1:13" x14ac:dyDescent="0.35">
      <c r="A10" s="8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8"/>
      <c r="M10" s="8"/>
    </row>
    <row r="11" spans="1:13" ht="18.75" customHeight="1" x14ac:dyDescent="0.35">
      <c r="A11" s="9" t="s">
        <v>21</v>
      </c>
      <c r="B11" s="83" t="s">
        <v>22</v>
      </c>
      <c r="C11" s="10" t="s">
        <v>23</v>
      </c>
      <c r="D11" s="10" t="s">
        <v>24</v>
      </c>
      <c r="E11" s="10" t="s">
        <v>25</v>
      </c>
      <c r="F11" s="10" t="s">
        <v>26</v>
      </c>
      <c r="G11" s="10" t="s">
        <v>27</v>
      </c>
      <c r="H11" s="10" t="s">
        <v>28</v>
      </c>
      <c r="I11" s="10" t="s">
        <v>20</v>
      </c>
      <c r="J11" s="10" t="s">
        <v>29</v>
      </c>
      <c r="K11" s="10" t="s">
        <v>30</v>
      </c>
      <c r="L11" s="8"/>
      <c r="M11" s="8"/>
    </row>
    <row r="12" spans="1:13" ht="18.75" customHeight="1" x14ac:dyDescent="0.35">
      <c r="A12" s="9">
        <v>1</v>
      </c>
      <c r="B12" s="83" t="s">
        <v>31</v>
      </c>
      <c r="C12" s="10">
        <v>75</v>
      </c>
      <c r="D12" s="10">
        <v>85</v>
      </c>
      <c r="E12" s="10">
        <v>70</v>
      </c>
      <c r="F12" s="10">
        <v>80</v>
      </c>
      <c r="G12" s="10">
        <v>65</v>
      </c>
      <c r="H12" s="10">
        <v>60</v>
      </c>
      <c r="I12" s="10">
        <f>SUM(C12:H12)</f>
        <v>435</v>
      </c>
      <c r="J12" s="11">
        <f>AVERAGE(C12:H12)</f>
        <v>72.5</v>
      </c>
      <c r="K12" s="10" t="str">
        <f>IF(J12&gt;70,"YES","NO")</f>
        <v>YES</v>
      </c>
      <c r="L12" s="8"/>
      <c r="M12" s="8"/>
    </row>
    <row r="13" spans="1:13" ht="18.75" customHeight="1" x14ac:dyDescent="0.35">
      <c r="A13" s="9">
        <v>2</v>
      </c>
      <c r="B13" s="83" t="s">
        <v>32</v>
      </c>
      <c r="C13" s="10">
        <v>85</v>
      </c>
      <c r="D13" s="10">
        <v>70</v>
      </c>
      <c r="E13" s="10">
        <v>75</v>
      </c>
      <c r="F13" s="10">
        <v>85</v>
      </c>
      <c r="G13" s="10">
        <v>80</v>
      </c>
      <c r="H13" s="10">
        <v>85</v>
      </c>
      <c r="I13" s="10">
        <f t="shared" ref="I13:I31" si="0">SUM(C13:H13)</f>
        <v>480</v>
      </c>
      <c r="J13" s="11">
        <f t="shared" ref="J13:J31" si="1">AVERAGE(C13:H13)</f>
        <v>80</v>
      </c>
      <c r="K13" s="10" t="str">
        <f t="shared" ref="K13:K31" si="2">IF(J13&gt;70,"YES","NO")</f>
        <v>YES</v>
      </c>
      <c r="L13" s="8"/>
      <c r="M13" s="8"/>
    </row>
    <row r="14" spans="1:13" ht="18.75" customHeight="1" x14ac:dyDescent="0.35">
      <c r="A14" s="9">
        <v>3</v>
      </c>
      <c r="B14" s="83" t="s">
        <v>33</v>
      </c>
      <c r="C14" s="10">
        <v>70</v>
      </c>
      <c r="D14" s="10">
        <v>80</v>
      </c>
      <c r="E14" s="10">
        <v>70</v>
      </c>
      <c r="F14" s="10">
        <v>70</v>
      </c>
      <c r="G14" s="10">
        <v>70</v>
      </c>
      <c r="H14" s="10">
        <v>70</v>
      </c>
      <c r="I14" s="10">
        <f t="shared" si="0"/>
        <v>430</v>
      </c>
      <c r="J14" s="11">
        <f t="shared" si="1"/>
        <v>71.666666666666671</v>
      </c>
      <c r="K14" s="10" t="str">
        <f t="shared" si="2"/>
        <v>YES</v>
      </c>
      <c r="L14" s="8"/>
      <c r="M14" s="8"/>
    </row>
    <row r="15" spans="1:13" ht="18.75" customHeight="1" x14ac:dyDescent="0.35">
      <c r="A15" s="9">
        <v>4</v>
      </c>
      <c r="B15" s="83" t="s">
        <v>34</v>
      </c>
      <c r="C15" s="10">
        <v>80</v>
      </c>
      <c r="D15" s="10">
        <v>75</v>
      </c>
      <c r="E15" s="10">
        <v>70</v>
      </c>
      <c r="F15" s="10">
        <v>75</v>
      </c>
      <c r="G15" s="10">
        <v>75</v>
      </c>
      <c r="H15" s="10">
        <v>80</v>
      </c>
      <c r="I15" s="10">
        <f t="shared" si="0"/>
        <v>455</v>
      </c>
      <c r="J15" s="11">
        <f t="shared" si="1"/>
        <v>75.833333333333329</v>
      </c>
      <c r="K15" s="10" t="str">
        <f t="shared" si="2"/>
        <v>YES</v>
      </c>
      <c r="L15" s="8"/>
      <c r="M15" s="8"/>
    </row>
    <row r="16" spans="1:13" ht="18.75" customHeight="1" x14ac:dyDescent="0.35">
      <c r="A16" s="9">
        <v>5</v>
      </c>
      <c r="B16" s="83" t="s">
        <v>35</v>
      </c>
      <c r="C16" s="10">
        <v>65</v>
      </c>
      <c r="D16" s="10">
        <v>80</v>
      </c>
      <c r="E16" s="10">
        <v>85</v>
      </c>
      <c r="F16" s="10">
        <v>80</v>
      </c>
      <c r="G16" s="10">
        <v>80</v>
      </c>
      <c r="H16" s="10">
        <v>60</v>
      </c>
      <c r="I16" s="10">
        <f t="shared" si="0"/>
        <v>450</v>
      </c>
      <c r="J16" s="11">
        <f t="shared" si="1"/>
        <v>75</v>
      </c>
      <c r="K16" s="10" t="str">
        <f t="shared" si="2"/>
        <v>YES</v>
      </c>
      <c r="L16" s="8"/>
      <c r="M16" s="8"/>
    </row>
    <row r="17" spans="1:13" ht="18.75" customHeight="1" x14ac:dyDescent="0.35">
      <c r="A17" s="9">
        <v>6</v>
      </c>
      <c r="B17" s="83" t="s">
        <v>36</v>
      </c>
      <c r="C17" s="10">
        <v>75</v>
      </c>
      <c r="D17" s="10">
        <v>60</v>
      </c>
      <c r="E17" s="10">
        <v>65</v>
      </c>
      <c r="F17" s="10">
        <v>85</v>
      </c>
      <c r="G17" s="10">
        <v>85</v>
      </c>
      <c r="H17" s="10">
        <v>70</v>
      </c>
      <c r="I17" s="10">
        <f t="shared" si="0"/>
        <v>440</v>
      </c>
      <c r="J17" s="11">
        <f t="shared" si="1"/>
        <v>73.333333333333329</v>
      </c>
      <c r="K17" s="10" t="str">
        <f t="shared" si="2"/>
        <v>YES</v>
      </c>
      <c r="L17" s="8"/>
      <c r="M17" s="8"/>
    </row>
    <row r="18" spans="1:13" ht="18.75" customHeight="1" x14ac:dyDescent="0.35">
      <c r="A18" s="9">
        <v>7</v>
      </c>
      <c r="B18" s="83" t="s">
        <v>37</v>
      </c>
      <c r="C18" s="10">
        <v>85</v>
      </c>
      <c r="D18" s="10">
        <v>75</v>
      </c>
      <c r="E18" s="10">
        <v>70</v>
      </c>
      <c r="F18" s="10">
        <v>75</v>
      </c>
      <c r="G18" s="10">
        <v>65</v>
      </c>
      <c r="H18" s="10">
        <v>75</v>
      </c>
      <c r="I18" s="10">
        <f t="shared" si="0"/>
        <v>445</v>
      </c>
      <c r="J18" s="11">
        <f t="shared" si="1"/>
        <v>74.166666666666671</v>
      </c>
      <c r="K18" s="10" t="str">
        <f t="shared" si="2"/>
        <v>YES</v>
      </c>
      <c r="L18" s="8"/>
      <c r="M18" s="8"/>
    </row>
    <row r="19" spans="1:13" ht="18.75" customHeight="1" x14ac:dyDescent="0.35">
      <c r="A19" s="9">
        <v>8</v>
      </c>
      <c r="B19" s="83" t="s">
        <v>38</v>
      </c>
      <c r="C19" s="10">
        <v>60</v>
      </c>
      <c r="D19" s="10">
        <v>60</v>
      </c>
      <c r="E19" s="10">
        <v>80</v>
      </c>
      <c r="F19" s="10">
        <v>60</v>
      </c>
      <c r="G19" s="10">
        <v>60</v>
      </c>
      <c r="H19" s="10">
        <v>85</v>
      </c>
      <c r="I19" s="10">
        <f t="shared" si="0"/>
        <v>405</v>
      </c>
      <c r="J19" s="11">
        <f t="shared" si="1"/>
        <v>67.5</v>
      </c>
      <c r="K19" s="10" t="str">
        <f t="shared" si="2"/>
        <v>NO</v>
      </c>
      <c r="L19" s="8"/>
      <c r="M19" s="8"/>
    </row>
    <row r="20" spans="1:13" ht="18.75" customHeight="1" x14ac:dyDescent="0.35">
      <c r="A20" s="9">
        <v>9</v>
      </c>
      <c r="B20" s="83" t="s">
        <v>39</v>
      </c>
      <c r="C20" s="10">
        <v>80</v>
      </c>
      <c r="D20" s="10">
        <v>85</v>
      </c>
      <c r="E20" s="10">
        <v>60</v>
      </c>
      <c r="F20" s="10">
        <v>70</v>
      </c>
      <c r="G20" s="10">
        <v>60</v>
      </c>
      <c r="H20" s="10">
        <v>65</v>
      </c>
      <c r="I20" s="10">
        <f t="shared" si="0"/>
        <v>420</v>
      </c>
      <c r="J20" s="11">
        <f t="shared" si="1"/>
        <v>70</v>
      </c>
      <c r="K20" s="10" t="str">
        <f t="shared" si="2"/>
        <v>NO</v>
      </c>
      <c r="L20" s="8"/>
      <c r="M20" s="8"/>
    </row>
    <row r="21" spans="1:13" ht="18.75" customHeight="1" x14ac:dyDescent="0.35">
      <c r="A21" s="9">
        <v>10</v>
      </c>
      <c r="B21" s="83" t="s">
        <v>40</v>
      </c>
      <c r="C21" s="10">
        <v>60</v>
      </c>
      <c r="D21" s="10">
        <v>70</v>
      </c>
      <c r="E21" s="10">
        <v>75</v>
      </c>
      <c r="F21" s="10">
        <v>85</v>
      </c>
      <c r="G21" s="10">
        <v>75</v>
      </c>
      <c r="H21" s="10">
        <v>70</v>
      </c>
      <c r="I21" s="10">
        <f t="shared" si="0"/>
        <v>435</v>
      </c>
      <c r="J21" s="11">
        <f t="shared" si="1"/>
        <v>72.5</v>
      </c>
      <c r="K21" s="10" t="str">
        <f t="shared" si="2"/>
        <v>YES</v>
      </c>
      <c r="L21" s="8"/>
      <c r="M21" s="8"/>
    </row>
    <row r="22" spans="1:13" ht="18.75" customHeight="1" x14ac:dyDescent="0.35">
      <c r="A22" s="9">
        <v>11</v>
      </c>
      <c r="B22" s="83" t="s">
        <v>41</v>
      </c>
      <c r="C22" s="10">
        <v>35</v>
      </c>
      <c r="D22" s="10">
        <v>45</v>
      </c>
      <c r="E22" s="10">
        <v>55</v>
      </c>
      <c r="F22" s="10">
        <v>50</v>
      </c>
      <c r="G22" s="10">
        <v>50</v>
      </c>
      <c r="H22" s="10">
        <v>40</v>
      </c>
      <c r="I22" s="10">
        <f t="shared" si="0"/>
        <v>275</v>
      </c>
      <c r="J22" s="11">
        <f t="shared" si="1"/>
        <v>45.833333333333336</v>
      </c>
      <c r="K22" s="10" t="str">
        <f t="shared" si="2"/>
        <v>NO</v>
      </c>
      <c r="L22" s="8"/>
      <c r="M22" s="8"/>
    </row>
    <row r="23" spans="1:13" ht="18.75" customHeight="1" x14ac:dyDescent="0.35">
      <c r="A23" s="9">
        <v>12</v>
      </c>
      <c r="B23" s="83" t="s">
        <v>42</v>
      </c>
      <c r="C23" s="10">
        <v>45</v>
      </c>
      <c r="D23" s="10">
        <v>45</v>
      </c>
      <c r="E23" s="82">
        <v>45</v>
      </c>
      <c r="F23" s="10">
        <v>45</v>
      </c>
      <c r="G23" s="10">
        <v>45</v>
      </c>
      <c r="H23" s="10">
        <v>45</v>
      </c>
      <c r="I23" s="10">
        <f t="shared" si="0"/>
        <v>270</v>
      </c>
      <c r="J23" s="11">
        <f t="shared" si="1"/>
        <v>45</v>
      </c>
      <c r="K23" s="10" t="str">
        <f t="shared" si="2"/>
        <v>NO</v>
      </c>
      <c r="L23" s="8"/>
      <c r="M23" s="8"/>
    </row>
    <row r="24" spans="1:13" ht="18.75" customHeight="1" x14ac:dyDescent="0.35">
      <c r="A24" s="9">
        <v>13</v>
      </c>
      <c r="B24" s="83" t="s">
        <v>43</v>
      </c>
      <c r="C24" s="10">
        <v>45</v>
      </c>
      <c r="D24" s="10">
        <v>50</v>
      </c>
      <c r="E24" s="10">
        <v>50</v>
      </c>
      <c r="F24" s="10">
        <v>55</v>
      </c>
      <c r="G24" s="10">
        <v>55</v>
      </c>
      <c r="H24" s="10">
        <v>55</v>
      </c>
      <c r="I24" s="10">
        <f t="shared" si="0"/>
        <v>310</v>
      </c>
      <c r="J24" s="11">
        <f t="shared" si="1"/>
        <v>51.666666666666664</v>
      </c>
      <c r="K24" s="10" t="str">
        <f t="shared" si="2"/>
        <v>NO</v>
      </c>
      <c r="L24" s="8"/>
      <c r="M24" s="8"/>
    </row>
    <row r="25" spans="1:13" ht="18.75" customHeight="1" x14ac:dyDescent="0.35">
      <c r="A25" s="9">
        <v>14</v>
      </c>
      <c r="B25" s="83" t="s">
        <v>44</v>
      </c>
      <c r="C25" s="10">
        <v>45</v>
      </c>
      <c r="D25" s="10">
        <v>50</v>
      </c>
      <c r="E25" s="10">
        <v>40</v>
      </c>
      <c r="F25" s="10">
        <v>50</v>
      </c>
      <c r="G25" s="10">
        <v>50</v>
      </c>
      <c r="H25" s="10">
        <v>50</v>
      </c>
      <c r="I25" s="10">
        <f t="shared" si="0"/>
        <v>285</v>
      </c>
      <c r="J25" s="11">
        <f t="shared" si="1"/>
        <v>47.5</v>
      </c>
      <c r="K25" s="10" t="str">
        <f t="shared" si="2"/>
        <v>NO</v>
      </c>
      <c r="L25" s="8"/>
      <c r="M25" s="8"/>
    </row>
    <row r="26" spans="1:13" ht="18.75" customHeight="1" x14ac:dyDescent="0.35">
      <c r="A26" s="9">
        <v>15</v>
      </c>
      <c r="B26" s="83" t="s">
        <v>45</v>
      </c>
      <c r="C26" s="10">
        <v>55</v>
      </c>
      <c r="D26" s="10">
        <v>55</v>
      </c>
      <c r="E26" s="10">
        <v>55</v>
      </c>
      <c r="F26" s="10">
        <v>45</v>
      </c>
      <c r="G26" s="10">
        <v>55</v>
      </c>
      <c r="H26" s="10">
        <v>45</v>
      </c>
      <c r="I26" s="10">
        <f t="shared" si="0"/>
        <v>310</v>
      </c>
      <c r="J26" s="11">
        <f t="shared" si="1"/>
        <v>51.666666666666664</v>
      </c>
      <c r="K26" s="10" t="str">
        <f t="shared" si="2"/>
        <v>NO</v>
      </c>
      <c r="L26" s="8"/>
      <c r="M26" s="8"/>
    </row>
    <row r="27" spans="1:13" ht="18.75" customHeight="1" x14ac:dyDescent="0.35">
      <c r="A27" s="9">
        <v>16</v>
      </c>
      <c r="B27" s="83" t="s">
        <v>46</v>
      </c>
      <c r="C27" s="10">
        <v>40</v>
      </c>
      <c r="D27" s="10">
        <v>45</v>
      </c>
      <c r="E27" s="10">
        <v>40</v>
      </c>
      <c r="F27" s="10">
        <v>35</v>
      </c>
      <c r="G27" s="10">
        <v>45</v>
      </c>
      <c r="H27" s="10">
        <v>40</v>
      </c>
      <c r="I27" s="10">
        <f t="shared" si="0"/>
        <v>245</v>
      </c>
      <c r="J27" s="11">
        <f t="shared" si="1"/>
        <v>40.833333333333336</v>
      </c>
      <c r="K27" s="10" t="str">
        <f t="shared" si="2"/>
        <v>NO</v>
      </c>
      <c r="L27" s="8"/>
      <c r="M27" s="8"/>
    </row>
    <row r="28" spans="1:13" ht="18.75" customHeight="1" x14ac:dyDescent="0.35">
      <c r="A28" s="9">
        <v>17</v>
      </c>
      <c r="B28" s="83" t="s">
        <v>47</v>
      </c>
      <c r="C28" s="10">
        <v>35</v>
      </c>
      <c r="D28" s="10">
        <v>35</v>
      </c>
      <c r="E28" s="10">
        <v>50</v>
      </c>
      <c r="F28" s="10">
        <v>35</v>
      </c>
      <c r="G28" s="10">
        <v>35</v>
      </c>
      <c r="H28" s="10">
        <v>55</v>
      </c>
      <c r="I28" s="10">
        <f t="shared" si="0"/>
        <v>245</v>
      </c>
      <c r="J28" s="11">
        <f t="shared" si="1"/>
        <v>40.833333333333336</v>
      </c>
      <c r="K28" s="10" t="str">
        <f t="shared" si="2"/>
        <v>NO</v>
      </c>
      <c r="L28" s="8"/>
      <c r="M28" s="8"/>
    </row>
    <row r="29" spans="1:13" ht="18.75" customHeight="1" x14ac:dyDescent="0.35">
      <c r="A29" s="9">
        <v>18</v>
      </c>
      <c r="B29" s="83" t="s">
        <v>48</v>
      </c>
      <c r="C29" s="10">
        <v>50</v>
      </c>
      <c r="D29" s="10">
        <v>40</v>
      </c>
      <c r="E29" s="10">
        <v>60</v>
      </c>
      <c r="F29" s="10">
        <v>45</v>
      </c>
      <c r="G29" s="10">
        <v>45</v>
      </c>
      <c r="H29" s="10">
        <v>45</v>
      </c>
      <c r="I29" s="10">
        <f t="shared" si="0"/>
        <v>285</v>
      </c>
      <c r="J29" s="11">
        <f t="shared" si="1"/>
        <v>47.5</v>
      </c>
      <c r="K29" s="10" t="str">
        <f t="shared" si="2"/>
        <v>NO</v>
      </c>
      <c r="L29" s="8"/>
      <c r="M29" s="8"/>
    </row>
    <row r="30" spans="1:13" ht="18.75" customHeight="1" x14ac:dyDescent="0.35">
      <c r="A30" s="9">
        <v>19</v>
      </c>
      <c r="B30" s="83" t="s">
        <v>49</v>
      </c>
      <c r="C30" s="10">
        <v>40</v>
      </c>
      <c r="D30" s="10">
        <v>45</v>
      </c>
      <c r="E30" s="10">
        <v>70</v>
      </c>
      <c r="F30" s="10">
        <v>50</v>
      </c>
      <c r="G30" s="10">
        <v>55</v>
      </c>
      <c r="H30" s="10">
        <v>65</v>
      </c>
      <c r="I30" s="10">
        <f t="shared" si="0"/>
        <v>325</v>
      </c>
      <c r="J30" s="11">
        <f t="shared" si="1"/>
        <v>54.166666666666664</v>
      </c>
      <c r="K30" s="10" t="str">
        <f t="shared" si="2"/>
        <v>NO</v>
      </c>
      <c r="L30" s="8"/>
      <c r="M30" s="8"/>
    </row>
    <row r="31" spans="1:13" ht="18.75" customHeight="1" x14ac:dyDescent="0.35">
      <c r="A31" s="9">
        <v>20</v>
      </c>
      <c r="B31" s="83" t="s">
        <v>50</v>
      </c>
      <c r="C31" s="10">
        <v>60</v>
      </c>
      <c r="D31" s="10">
        <v>50</v>
      </c>
      <c r="E31" s="10">
        <v>80</v>
      </c>
      <c r="F31" s="10">
        <v>55</v>
      </c>
      <c r="G31" s="10">
        <v>45</v>
      </c>
      <c r="H31" s="10">
        <v>70</v>
      </c>
      <c r="I31" s="10">
        <f t="shared" si="0"/>
        <v>360</v>
      </c>
      <c r="J31" s="11">
        <f t="shared" si="1"/>
        <v>60</v>
      </c>
      <c r="K31" s="10" t="str">
        <f t="shared" si="2"/>
        <v>NO</v>
      </c>
      <c r="L31" s="8"/>
      <c r="M31" s="8"/>
    </row>
    <row r="32" spans="1:13" ht="18.75" customHeight="1" x14ac:dyDescent="0.35"/>
  </sheetData>
  <mergeCells count="10">
    <mergeCell ref="B10:K10"/>
    <mergeCell ref="B9:K9"/>
    <mergeCell ref="B1:K1"/>
    <mergeCell ref="B2:K2"/>
    <mergeCell ref="B3:K3"/>
    <mergeCell ref="B4:K4"/>
    <mergeCell ref="B5:K5"/>
    <mergeCell ref="B6:K6"/>
    <mergeCell ref="B7:K7"/>
    <mergeCell ref="B8:K8"/>
  </mergeCells>
  <conditionalFormatting sqref="B11:B31">
    <cfRule type="top10" dxfId="3" priority="1" rank="21"/>
    <cfRule type="expression" dxfId="2" priority="2">
      <formula>$J2=MAX($J$2:$J$21)</formula>
    </cfRule>
    <cfRule type="expression" priority="3">
      <formula>$J2=MAX($J$2:$J$21)</formula>
    </cfRule>
    <cfRule type="cellIs" dxfId="1" priority="4" operator="greaterThan">
      <formula>0.7</formula>
    </cfRule>
  </conditionalFormatting>
  <conditionalFormatting sqref="K12:K31">
    <cfRule type="cellIs" dxfId="0" priority="6" stopIfTrue="1" operator="equal">
      <formula>"yes"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"/>
  <sheetViews>
    <sheetView topLeftCell="A4" workbookViewId="0">
      <selection activeCell="L6" sqref="L6"/>
    </sheetView>
  </sheetViews>
  <sheetFormatPr defaultColWidth="9.1796875" defaultRowHeight="14.5" x14ac:dyDescent="0.35"/>
  <cols>
    <col min="2" max="2" width="34.81640625" customWidth="1"/>
    <col min="10" max="10" width="16.81640625" customWidth="1"/>
  </cols>
  <sheetData>
    <row r="1" spans="1:15" x14ac:dyDescent="0.35">
      <c r="A1" s="106" t="s">
        <v>91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28.5" x14ac:dyDescent="0.35">
      <c r="A4" s="13" t="s">
        <v>59</v>
      </c>
      <c r="B4" s="13" t="s">
        <v>60</v>
      </c>
      <c r="C4" s="14" t="s">
        <v>61</v>
      </c>
      <c r="D4" s="14" t="s">
        <v>62</v>
      </c>
      <c r="E4" s="14" t="s">
        <v>63</v>
      </c>
      <c r="F4" s="14" t="s">
        <v>64</v>
      </c>
      <c r="G4" s="14" t="s">
        <v>20</v>
      </c>
      <c r="H4" s="14" t="s">
        <v>89</v>
      </c>
      <c r="I4" s="14" t="s">
        <v>65</v>
      </c>
      <c r="J4" s="14" t="s">
        <v>86</v>
      </c>
      <c r="K4" s="14" t="s">
        <v>20</v>
      </c>
      <c r="L4" s="14" t="s">
        <v>88</v>
      </c>
    </row>
    <row r="5" spans="1:15" ht="28.5" x14ac:dyDescent="0.35">
      <c r="A5" s="13"/>
      <c r="B5" s="13"/>
      <c r="C5" s="14"/>
      <c r="D5" s="15" t="s">
        <v>66</v>
      </c>
      <c r="E5" s="15" t="s">
        <v>67</v>
      </c>
      <c r="F5" s="15" t="s">
        <v>68</v>
      </c>
      <c r="G5" s="14"/>
      <c r="H5" s="14" t="s">
        <v>69</v>
      </c>
      <c r="I5" s="14" t="s">
        <v>69</v>
      </c>
      <c r="J5" s="14" t="s">
        <v>87</v>
      </c>
      <c r="K5" s="14" t="s">
        <v>70</v>
      </c>
      <c r="L5" s="14"/>
    </row>
    <row r="6" spans="1:15" ht="16.5" customHeight="1" x14ac:dyDescent="0.35">
      <c r="A6" s="16">
        <v>1</v>
      </c>
      <c r="B6" s="16" t="s">
        <v>71</v>
      </c>
      <c r="C6" s="16">
        <v>8000</v>
      </c>
      <c r="D6" s="16">
        <f>C6*85%</f>
        <v>6800</v>
      </c>
      <c r="E6" s="16">
        <f>C6*45%</f>
        <v>3600</v>
      </c>
      <c r="F6" s="16">
        <f>C6*35%</f>
        <v>2800</v>
      </c>
      <c r="G6" s="16">
        <f>SUM(C6:F6)</f>
        <v>21200</v>
      </c>
      <c r="H6" s="16">
        <f>C6*11.25%</f>
        <v>900</v>
      </c>
      <c r="I6" s="16">
        <f>C6*2.25%</f>
        <v>180</v>
      </c>
      <c r="J6">
        <f>IF(G2&gt;=20000,2000,1500)</f>
        <v>1500</v>
      </c>
      <c r="K6" s="16">
        <f>SUM(H6:J6)</f>
        <v>2580</v>
      </c>
      <c r="L6" s="16">
        <f>G6-K6</f>
        <v>18620</v>
      </c>
    </row>
    <row r="7" spans="1:15" ht="16.5" customHeight="1" x14ac:dyDescent="0.35">
      <c r="A7" s="16">
        <v>2</v>
      </c>
      <c r="B7" s="16" t="s">
        <v>72</v>
      </c>
      <c r="C7" s="16">
        <v>10000</v>
      </c>
      <c r="D7" s="16">
        <f t="shared" ref="D7:D20" si="0">C7*85%</f>
        <v>8500</v>
      </c>
      <c r="E7" s="16">
        <f t="shared" ref="E7:E20" si="1">C7*45%</f>
        <v>4500</v>
      </c>
      <c r="F7" s="16">
        <f t="shared" ref="F7:F20" si="2">C7*35%</f>
        <v>3500</v>
      </c>
      <c r="G7" s="16">
        <f t="shared" ref="G7:G20" si="3">SUM(C7:F7)</f>
        <v>26500</v>
      </c>
      <c r="H7" s="16">
        <f t="shared" ref="H7:H20" si="4">C7*11.25%</f>
        <v>1125</v>
      </c>
      <c r="I7" s="16">
        <f t="shared" ref="I7:I20" si="5">C7*2.25%</f>
        <v>225</v>
      </c>
      <c r="J7">
        <f t="shared" ref="J7:J20" si="6">IF(G3&gt;=20000,2000,1500)</f>
        <v>1500</v>
      </c>
      <c r="K7" s="16">
        <f t="shared" ref="K7:K20" si="7">SUM(H7:J7)</f>
        <v>2850</v>
      </c>
      <c r="L7" s="16">
        <f t="shared" ref="L7:L20" si="8">G7-K7</f>
        <v>23650</v>
      </c>
    </row>
    <row r="8" spans="1:15" ht="16.5" customHeight="1" x14ac:dyDescent="0.35">
      <c r="A8" s="16">
        <v>3</v>
      </c>
      <c r="B8" s="16" t="s">
        <v>73</v>
      </c>
      <c r="C8" s="16">
        <v>12000</v>
      </c>
      <c r="D8" s="16">
        <f t="shared" si="0"/>
        <v>10200</v>
      </c>
      <c r="E8" s="16">
        <f t="shared" si="1"/>
        <v>5400</v>
      </c>
      <c r="F8" s="16">
        <f t="shared" si="2"/>
        <v>4200</v>
      </c>
      <c r="G8" s="16">
        <f t="shared" si="3"/>
        <v>31800</v>
      </c>
      <c r="H8" s="16">
        <f t="shared" si="4"/>
        <v>1350</v>
      </c>
      <c r="I8" s="16">
        <f t="shared" si="5"/>
        <v>270</v>
      </c>
      <c r="J8">
        <f t="shared" si="6"/>
        <v>2000</v>
      </c>
      <c r="K8" s="16">
        <f t="shared" si="7"/>
        <v>3620</v>
      </c>
      <c r="L8" s="16">
        <f t="shared" si="8"/>
        <v>28180</v>
      </c>
    </row>
    <row r="9" spans="1:15" ht="16.5" customHeight="1" x14ac:dyDescent="0.35">
      <c r="A9" s="16">
        <v>4</v>
      </c>
      <c r="B9" s="16" t="s">
        <v>74</v>
      </c>
      <c r="C9" s="16">
        <v>14000</v>
      </c>
      <c r="D9" s="16">
        <f t="shared" si="0"/>
        <v>11900</v>
      </c>
      <c r="E9" s="16">
        <f t="shared" si="1"/>
        <v>6300</v>
      </c>
      <c r="F9" s="16">
        <f t="shared" si="2"/>
        <v>4900</v>
      </c>
      <c r="G9" s="16">
        <f t="shared" si="3"/>
        <v>37100</v>
      </c>
      <c r="H9" s="16">
        <f t="shared" si="4"/>
        <v>1575</v>
      </c>
      <c r="I9" s="16">
        <f t="shared" si="5"/>
        <v>315</v>
      </c>
      <c r="J9">
        <f t="shared" si="6"/>
        <v>1500</v>
      </c>
      <c r="K9" s="16">
        <f t="shared" si="7"/>
        <v>3390</v>
      </c>
      <c r="L9" s="16">
        <f t="shared" si="8"/>
        <v>33710</v>
      </c>
    </row>
    <row r="10" spans="1:15" ht="16.5" customHeight="1" x14ac:dyDescent="0.35">
      <c r="A10" s="16">
        <v>5</v>
      </c>
      <c r="B10" s="16" t="s">
        <v>75</v>
      </c>
      <c r="C10" s="16">
        <v>16000</v>
      </c>
      <c r="D10" s="16">
        <f t="shared" si="0"/>
        <v>13600</v>
      </c>
      <c r="E10" s="16">
        <f t="shared" si="1"/>
        <v>7200</v>
      </c>
      <c r="F10" s="16">
        <f t="shared" si="2"/>
        <v>5600</v>
      </c>
      <c r="G10" s="16">
        <f t="shared" si="3"/>
        <v>42400</v>
      </c>
      <c r="H10" s="16">
        <f t="shared" si="4"/>
        <v>1800</v>
      </c>
      <c r="I10" s="16">
        <f t="shared" si="5"/>
        <v>360</v>
      </c>
      <c r="J10">
        <f t="shared" si="6"/>
        <v>2000</v>
      </c>
      <c r="K10" s="16">
        <f t="shared" si="7"/>
        <v>4160</v>
      </c>
      <c r="L10" s="16">
        <f t="shared" si="8"/>
        <v>38240</v>
      </c>
    </row>
    <row r="11" spans="1:15" ht="16.5" customHeight="1" x14ac:dyDescent="0.35">
      <c r="A11" s="16">
        <v>6</v>
      </c>
      <c r="B11" s="16" t="s">
        <v>76</v>
      </c>
      <c r="C11" s="16">
        <v>18000</v>
      </c>
      <c r="D11" s="16">
        <f t="shared" si="0"/>
        <v>15300</v>
      </c>
      <c r="E11" s="16">
        <f t="shared" si="1"/>
        <v>8100</v>
      </c>
      <c r="F11" s="16">
        <f t="shared" si="2"/>
        <v>6300</v>
      </c>
      <c r="G11" s="16">
        <f t="shared" si="3"/>
        <v>47700</v>
      </c>
      <c r="H11" s="16">
        <f t="shared" si="4"/>
        <v>2025</v>
      </c>
      <c r="I11" s="16">
        <f t="shared" si="5"/>
        <v>405</v>
      </c>
      <c r="J11">
        <f t="shared" si="6"/>
        <v>2000</v>
      </c>
      <c r="K11" s="16">
        <f t="shared" si="7"/>
        <v>4430</v>
      </c>
      <c r="L11" s="16">
        <f t="shared" si="8"/>
        <v>43270</v>
      </c>
    </row>
    <row r="12" spans="1:15" ht="16.5" customHeight="1" x14ac:dyDescent="0.35">
      <c r="A12" s="16">
        <v>7</v>
      </c>
      <c r="B12" s="16" t="s">
        <v>77</v>
      </c>
      <c r="C12" s="16">
        <v>20000</v>
      </c>
      <c r="D12" s="16">
        <f t="shared" si="0"/>
        <v>17000</v>
      </c>
      <c r="E12" s="16">
        <f t="shared" si="1"/>
        <v>9000</v>
      </c>
      <c r="F12" s="16">
        <f t="shared" si="2"/>
        <v>7000</v>
      </c>
      <c r="G12" s="16">
        <f t="shared" si="3"/>
        <v>53000</v>
      </c>
      <c r="H12" s="16">
        <f t="shared" si="4"/>
        <v>2250</v>
      </c>
      <c r="I12" s="16">
        <f t="shared" si="5"/>
        <v>450</v>
      </c>
      <c r="J12">
        <f t="shared" si="6"/>
        <v>2000</v>
      </c>
      <c r="K12" s="16">
        <f t="shared" si="7"/>
        <v>4700</v>
      </c>
      <c r="L12" s="16">
        <f t="shared" si="8"/>
        <v>48300</v>
      </c>
    </row>
    <row r="13" spans="1:15" ht="16.5" customHeight="1" x14ac:dyDescent="0.35">
      <c r="A13" s="16">
        <v>8</v>
      </c>
      <c r="B13" s="16" t="s">
        <v>78</v>
      </c>
      <c r="C13" s="16">
        <v>22000</v>
      </c>
      <c r="D13" s="16">
        <f t="shared" si="0"/>
        <v>18700</v>
      </c>
      <c r="E13" s="16">
        <f t="shared" si="1"/>
        <v>9900</v>
      </c>
      <c r="F13" s="16">
        <f t="shared" si="2"/>
        <v>7699.9999999999991</v>
      </c>
      <c r="G13" s="16">
        <f t="shared" si="3"/>
        <v>58300</v>
      </c>
      <c r="H13" s="16">
        <f t="shared" si="4"/>
        <v>2475</v>
      </c>
      <c r="I13" s="16">
        <f t="shared" si="5"/>
        <v>495</v>
      </c>
      <c r="J13">
        <f t="shared" si="6"/>
        <v>2000</v>
      </c>
      <c r="K13" s="16">
        <f t="shared" si="7"/>
        <v>4970</v>
      </c>
      <c r="L13" s="16">
        <f t="shared" si="8"/>
        <v>53330</v>
      </c>
    </row>
    <row r="14" spans="1:15" ht="16.5" customHeight="1" x14ac:dyDescent="0.35">
      <c r="A14" s="16">
        <v>9</v>
      </c>
      <c r="B14" s="16" t="s">
        <v>79</v>
      </c>
      <c r="C14" s="16">
        <v>24000</v>
      </c>
      <c r="D14" s="16">
        <f t="shared" si="0"/>
        <v>20400</v>
      </c>
      <c r="E14" s="16">
        <f t="shared" si="1"/>
        <v>10800</v>
      </c>
      <c r="F14" s="16">
        <f t="shared" si="2"/>
        <v>8400</v>
      </c>
      <c r="G14" s="16">
        <f t="shared" si="3"/>
        <v>63600</v>
      </c>
      <c r="H14" s="16">
        <f t="shared" si="4"/>
        <v>2700</v>
      </c>
      <c r="I14" s="16">
        <f t="shared" si="5"/>
        <v>540</v>
      </c>
      <c r="J14">
        <f t="shared" si="6"/>
        <v>2000</v>
      </c>
      <c r="K14" s="16">
        <f t="shared" si="7"/>
        <v>5240</v>
      </c>
      <c r="L14" s="16">
        <f t="shared" si="8"/>
        <v>58360</v>
      </c>
    </row>
    <row r="15" spans="1:15" ht="16.5" customHeight="1" x14ac:dyDescent="0.35">
      <c r="A15" s="16">
        <v>10</v>
      </c>
      <c r="B15" s="16" t="s">
        <v>80</v>
      </c>
      <c r="C15" s="16">
        <v>26000</v>
      </c>
      <c r="D15" s="16">
        <f t="shared" si="0"/>
        <v>22100</v>
      </c>
      <c r="E15" s="16">
        <f t="shared" si="1"/>
        <v>11700</v>
      </c>
      <c r="F15" s="16">
        <f t="shared" si="2"/>
        <v>9100</v>
      </c>
      <c r="G15" s="16">
        <f t="shared" si="3"/>
        <v>68900</v>
      </c>
      <c r="H15" s="16">
        <f t="shared" si="4"/>
        <v>2925</v>
      </c>
      <c r="I15" s="16">
        <f t="shared" si="5"/>
        <v>585</v>
      </c>
      <c r="J15">
        <f t="shared" si="6"/>
        <v>2000</v>
      </c>
      <c r="K15" s="16">
        <f t="shared" si="7"/>
        <v>5510</v>
      </c>
      <c r="L15" s="16">
        <f t="shared" si="8"/>
        <v>63390</v>
      </c>
    </row>
    <row r="16" spans="1:15" ht="16.5" customHeight="1" x14ac:dyDescent="0.35">
      <c r="A16" s="16">
        <v>11</v>
      </c>
      <c r="B16" s="16" t="s">
        <v>81</v>
      </c>
      <c r="C16" s="16">
        <v>28000</v>
      </c>
      <c r="D16" s="16">
        <f t="shared" si="0"/>
        <v>23800</v>
      </c>
      <c r="E16" s="16">
        <f t="shared" si="1"/>
        <v>12600</v>
      </c>
      <c r="F16" s="16">
        <f t="shared" si="2"/>
        <v>9800</v>
      </c>
      <c r="G16" s="16">
        <f t="shared" si="3"/>
        <v>74200</v>
      </c>
      <c r="H16" s="16">
        <f t="shared" si="4"/>
        <v>3150</v>
      </c>
      <c r="I16" s="16">
        <f t="shared" si="5"/>
        <v>630</v>
      </c>
      <c r="J16">
        <f t="shared" si="6"/>
        <v>2000</v>
      </c>
      <c r="K16" s="16">
        <f t="shared" si="7"/>
        <v>5780</v>
      </c>
      <c r="L16" s="16">
        <f t="shared" si="8"/>
        <v>68420</v>
      </c>
    </row>
    <row r="17" spans="1:12" ht="16.5" customHeight="1" x14ac:dyDescent="0.35">
      <c r="A17" s="16">
        <v>12</v>
      </c>
      <c r="B17" s="16" t="s">
        <v>82</v>
      </c>
      <c r="C17" s="16">
        <v>30000</v>
      </c>
      <c r="D17" s="16">
        <f t="shared" si="0"/>
        <v>25500</v>
      </c>
      <c r="E17" s="16">
        <f t="shared" si="1"/>
        <v>13500</v>
      </c>
      <c r="F17" s="16">
        <f t="shared" si="2"/>
        <v>10500</v>
      </c>
      <c r="G17" s="16">
        <f t="shared" si="3"/>
        <v>79500</v>
      </c>
      <c r="H17" s="16">
        <f t="shared" si="4"/>
        <v>3375</v>
      </c>
      <c r="I17" s="16">
        <f t="shared" si="5"/>
        <v>675</v>
      </c>
      <c r="J17">
        <f t="shared" si="6"/>
        <v>2000</v>
      </c>
      <c r="K17" s="16">
        <f t="shared" si="7"/>
        <v>6050</v>
      </c>
      <c r="L17" s="16">
        <f t="shared" si="8"/>
        <v>73450</v>
      </c>
    </row>
    <row r="18" spans="1:12" ht="16.5" customHeight="1" x14ac:dyDescent="0.35">
      <c r="A18" s="16">
        <v>13</v>
      </c>
      <c r="B18" s="16" t="s">
        <v>83</v>
      </c>
      <c r="C18" s="16">
        <v>32000</v>
      </c>
      <c r="D18" s="16">
        <f t="shared" si="0"/>
        <v>27200</v>
      </c>
      <c r="E18" s="16">
        <f t="shared" si="1"/>
        <v>14400</v>
      </c>
      <c r="F18" s="16">
        <f t="shared" si="2"/>
        <v>11200</v>
      </c>
      <c r="G18" s="16">
        <f t="shared" si="3"/>
        <v>84800</v>
      </c>
      <c r="H18" s="16">
        <f t="shared" si="4"/>
        <v>3600</v>
      </c>
      <c r="I18" s="16">
        <f t="shared" si="5"/>
        <v>720</v>
      </c>
      <c r="J18">
        <f t="shared" si="6"/>
        <v>2000</v>
      </c>
      <c r="K18" s="16">
        <f t="shared" si="7"/>
        <v>6320</v>
      </c>
      <c r="L18" s="16">
        <f t="shared" si="8"/>
        <v>78480</v>
      </c>
    </row>
    <row r="19" spans="1:12" ht="16.5" customHeight="1" x14ac:dyDescent="0.35">
      <c r="A19" s="16">
        <v>14</v>
      </c>
      <c r="B19" s="16" t="s">
        <v>84</v>
      </c>
      <c r="C19" s="16">
        <v>34000</v>
      </c>
      <c r="D19" s="16">
        <f t="shared" si="0"/>
        <v>28900</v>
      </c>
      <c r="E19" s="16">
        <f t="shared" si="1"/>
        <v>15300</v>
      </c>
      <c r="F19" s="16">
        <f t="shared" si="2"/>
        <v>11900</v>
      </c>
      <c r="G19" s="16">
        <f t="shared" si="3"/>
        <v>90100</v>
      </c>
      <c r="H19" s="16">
        <f t="shared" si="4"/>
        <v>3825</v>
      </c>
      <c r="I19" s="16">
        <f t="shared" si="5"/>
        <v>765</v>
      </c>
      <c r="J19">
        <f t="shared" si="6"/>
        <v>2000</v>
      </c>
      <c r="K19" s="16">
        <f t="shared" si="7"/>
        <v>6590</v>
      </c>
      <c r="L19" s="16">
        <f t="shared" si="8"/>
        <v>83510</v>
      </c>
    </row>
    <row r="20" spans="1:12" ht="16.5" customHeight="1" x14ac:dyDescent="0.35">
      <c r="A20" s="16">
        <v>15</v>
      </c>
      <c r="B20" s="16" t="s">
        <v>85</v>
      </c>
      <c r="C20" s="16">
        <v>36000</v>
      </c>
      <c r="D20" s="16">
        <f t="shared" si="0"/>
        <v>30600</v>
      </c>
      <c r="E20" s="16">
        <f t="shared" si="1"/>
        <v>16200</v>
      </c>
      <c r="F20" s="16">
        <f t="shared" si="2"/>
        <v>12600</v>
      </c>
      <c r="G20" s="16">
        <f t="shared" si="3"/>
        <v>95400</v>
      </c>
      <c r="H20" s="16">
        <f t="shared" si="4"/>
        <v>4050</v>
      </c>
      <c r="I20" s="16">
        <f t="shared" si="5"/>
        <v>810</v>
      </c>
      <c r="J20">
        <f t="shared" si="6"/>
        <v>2000</v>
      </c>
      <c r="K20" s="16">
        <f t="shared" si="7"/>
        <v>6860</v>
      </c>
      <c r="L20" s="16">
        <f t="shared" si="8"/>
        <v>88540</v>
      </c>
    </row>
  </sheetData>
  <mergeCells count="1">
    <mergeCell ref="A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7"/>
  <sheetViews>
    <sheetView workbookViewId="0">
      <selection activeCell="I7" sqref="I7"/>
    </sheetView>
  </sheetViews>
  <sheetFormatPr defaultRowHeight="14.5" x14ac:dyDescent="0.35"/>
  <cols>
    <col min="1" max="1" width="24" customWidth="1"/>
    <col min="3" max="3" width="9.7265625" bestFit="1" customWidth="1"/>
    <col min="4" max="4" width="6.7265625" bestFit="1" customWidth="1"/>
  </cols>
  <sheetData>
    <row r="1" spans="1:15" x14ac:dyDescent="0.35">
      <c r="A1" s="84" t="s">
        <v>503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5" spans="1:15" x14ac:dyDescent="0.35">
      <c r="B5" s="58" t="s">
        <v>480</v>
      </c>
      <c r="C5" s="58" t="s">
        <v>417</v>
      </c>
      <c r="D5" s="58" t="s">
        <v>496</v>
      </c>
    </row>
    <row r="6" spans="1:15" x14ac:dyDescent="0.35">
      <c r="B6" s="52" t="s">
        <v>497</v>
      </c>
      <c r="C6" s="54">
        <v>35796</v>
      </c>
      <c r="D6" s="52">
        <v>80</v>
      </c>
    </row>
    <row r="7" spans="1:15" x14ac:dyDescent="0.35">
      <c r="B7" s="52" t="s">
        <v>483</v>
      </c>
      <c r="C7" s="54">
        <v>35925</v>
      </c>
      <c r="D7" s="52">
        <v>25</v>
      </c>
    </row>
    <row r="8" spans="1:15" x14ac:dyDescent="0.35">
      <c r="B8" s="52" t="s">
        <v>497</v>
      </c>
      <c r="C8" s="54">
        <v>35827</v>
      </c>
      <c r="D8" s="52">
        <v>80</v>
      </c>
    </row>
    <row r="9" spans="1:15" x14ac:dyDescent="0.35">
      <c r="B9" s="52" t="s">
        <v>498</v>
      </c>
      <c r="C9" s="54">
        <v>35855</v>
      </c>
      <c r="D9" s="52">
        <v>150</v>
      </c>
    </row>
    <row r="10" spans="1:15" x14ac:dyDescent="0.35">
      <c r="B10" s="52" t="s">
        <v>498</v>
      </c>
      <c r="C10" s="54">
        <v>35800</v>
      </c>
      <c r="D10" s="52">
        <v>300</v>
      </c>
    </row>
    <row r="11" spans="1:15" x14ac:dyDescent="0.35">
      <c r="B11" s="52" t="s">
        <v>499</v>
      </c>
      <c r="C11" s="54">
        <v>35947</v>
      </c>
      <c r="D11" s="52">
        <v>50</v>
      </c>
    </row>
    <row r="12" spans="1:15" x14ac:dyDescent="0.35">
      <c r="B12" s="52" t="s">
        <v>483</v>
      </c>
      <c r="C12" s="54">
        <v>35886</v>
      </c>
      <c r="D12" s="52">
        <v>200</v>
      </c>
    </row>
    <row r="13" spans="1:15" x14ac:dyDescent="0.35">
      <c r="B13" s="52" t="s">
        <v>483</v>
      </c>
      <c r="C13" s="54">
        <v>35855</v>
      </c>
      <c r="D13" s="52">
        <v>100</v>
      </c>
    </row>
    <row r="14" spans="1:15" x14ac:dyDescent="0.35">
      <c r="B14" s="52" t="s">
        <v>500</v>
      </c>
      <c r="C14" s="54">
        <v>35916</v>
      </c>
      <c r="D14" s="52">
        <v>250</v>
      </c>
    </row>
    <row r="16" spans="1:15" x14ac:dyDescent="0.35">
      <c r="A16" s="59" t="s">
        <v>501</v>
      </c>
      <c r="B16" s="60"/>
      <c r="C16" s="51">
        <f>SUMIF(B6:B14,"Brakes",D6:D14)</f>
        <v>160</v>
      </c>
      <c r="D16" s="62"/>
      <c r="F16" s="61"/>
    </row>
    <row r="17" spans="1:6" x14ac:dyDescent="0.35">
      <c r="A17" s="59" t="s">
        <v>502</v>
      </c>
      <c r="B17" s="60"/>
      <c r="C17" s="51">
        <f>SUMIF(B6:B14,"Tyres",D6:D14)</f>
        <v>325</v>
      </c>
      <c r="D17" s="62"/>
      <c r="F17" s="61"/>
    </row>
  </sheetData>
  <mergeCells count="1">
    <mergeCell ref="A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8"/>
  <sheetViews>
    <sheetView workbookViewId="0">
      <selection activeCell="N10" sqref="N10"/>
    </sheetView>
  </sheetViews>
  <sheetFormatPr defaultRowHeight="14.5" x14ac:dyDescent="0.35"/>
  <cols>
    <col min="1" max="1" width="12.81640625" bestFit="1" customWidth="1"/>
    <col min="7" max="7" width="12.81640625" bestFit="1" customWidth="1"/>
    <col min="13" max="13" width="12.81640625" bestFit="1" customWidth="1"/>
  </cols>
  <sheetData>
    <row r="1" spans="1:17" x14ac:dyDescent="0.35">
      <c r="A1" s="84" t="s">
        <v>511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7" x14ac:dyDescent="0.35">
      <c r="B2" s="85" t="s">
        <v>512</v>
      </c>
      <c r="C2" s="85"/>
      <c r="H2" s="85" t="s">
        <v>513</v>
      </c>
      <c r="I2" s="85"/>
    </row>
    <row r="3" spans="1:17" x14ac:dyDescent="0.35">
      <c r="A3" s="63" t="s">
        <v>504</v>
      </c>
      <c r="B3" s="64">
        <v>40544</v>
      </c>
      <c r="C3" s="64">
        <v>40575</v>
      </c>
      <c r="D3" s="64">
        <v>40603</v>
      </c>
      <c r="E3" s="64" t="s">
        <v>130</v>
      </c>
      <c r="G3" s="63" t="s">
        <v>504</v>
      </c>
      <c r="H3" s="64">
        <v>40909</v>
      </c>
      <c r="I3" s="64">
        <v>40940</v>
      </c>
      <c r="J3" s="64">
        <v>40969</v>
      </c>
      <c r="K3" s="64" t="s">
        <v>130</v>
      </c>
    </row>
    <row r="4" spans="1:17" x14ac:dyDescent="0.35">
      <c r="A4" s="26" t="s">
        <v>505</v>
      </c>
      <c r="B4" s="26">
        <v>313</v>
      </c>
      <c r="C4" s="26">
        <v>724</v>
      </c>
      <c r="D4" s="26">
        <v>707</v>
      </c>
      <c r="E4" s="26">
        <f>SUM(B4:D4)</f>
        <v>1744</v>
      </c>
      <c r="G4" s="26" t="s">
        <v>505</v>
      </c>
      <c r="H4" s="26">
        <v>853</v>
      </c>
      <c r="I4" s="26">
        <v>947</v>
      </c>
      <c r="J4" s="26">
        <v>787</v>
      </c>
      <c r="K4" s="26">
        <f>SUM(H4:J4)</f>
        <v>2587</v>
      </c>
    </row>
    <row r="5" spans="1:17" x14ac:dyDescent="0.35">
      <c r="A5" s="26" t="s">
        <v>506</v>
      </c>
      <c r="B5" s="26">
        <v>373</v>
      </c>
      <c r="C5" s="26">
        <v>429</v>
      </c>
      <c r="D5" s="26">
        <v>741</v>
      </c>
      <c r="E5" s="26">
        <f t="shared" ref="E5:E9" si="0">SUM(B5:D5)</f>
        <v>1543</v>
      </c>
      <c r="G5" s="26" t="s">
        <v>506</v>
      </c>
      <c r="H5" s="26">
        <v>899</v>
      </c>
      <c r="I5" s="26">
        <v>706</v>
      </c>
      <c r="J5" s="26">
        <v>973</v>
      </c>
      <c r="K5" s="26">
        <f t="shared" ref="K5:K9" si="1">SUM(H5:J5)</f>
        <v>2578</v>
      </c>
    </row>
    <row r="6" spans="1:17" x14ac:dyDescent="0.35">
      <c r="A6" s="26" t="s">
        <v>507</v>
      </c>
      <c r="B6" s="26">
        <v>344</v>
      </c>
      <c r="C6" s="26">
        <v>660</v>
      </c>
      <c r="D6" s="26">
        <v>494</v>
      </c>
      <c r="E6" s="26">
        <f t="shared" si="0"/>
        <v>1498</v>
      </c>
      <c r="G6" s="26" t="s">
        <v>507</v>
      </c>
      <c r="H6" s="26">
        <v>848</v>
      </c>
      <c r="I6" s="26">
        <v>807</v>
      </c>
      <c r="J6" s="26">
        <v>701</v>
      </c>
      <c r="K6" s="26">
        <f t="shared" si="1"/>
        <v>2356</v>
      </c>
    </row>
    <row r="7" spans="1:17" x14ac:dyDescent="0.35">
      <c r="A7" s="26" t="s">
        <v>508</v>
      </c>
      <c r="B7" s="26">
        <v>549</v>
      </c>
      <c r="C7" s="26">
        <v>594</v>
      </c>
      <c r="D7" s="26">
        <v>532</v>
      </c>
      <c r="E7" s="26">
        <f t="shared" si="0"/>
        <v>1675</v>
      </c>
      <c r="G7" s="26" t="s">
        <v>508</v>
      </c>
      <c r="H7" s="26">
        <v>856</v>
      </c>
      <c r="I7" s="26">
        <v>694</v>
      </c>
      <c r="J7" s="26">
        <v>959</v>
      </c>
      <c r="K7" s="26">
        <f t="shared" si="1"/>
        <v>2509</v>
      </c>
    </row>
    <row r="8" spans="1:17" x14ac:dyDescent="0.35">
      <c r="A8" s="26" t="s">
        <v>509</v>
      </c>
      <c r="B8" s="26">
        <v>635</v>
      </c>
      <c r="C8" s="26">
        <v>336</v>
      </c>
      <c r="D8" s="26">
        <v>315</v>
      </c>
      <c r="E8" s="26">
        <f t="shared" si="0"/>
        <v>1286</v>
      </c>
      <c r="G8" s="26" t="s">
        <v>509</v>
      </c>
      <c r="H8" s="26">
        <v>600</v>
      </c>
      <c r="I8" s="26">
        <v>623</v>
      </c>
      <c r="J8" s="26">
        <v>997</v>
      </c>
      <c r="K8" s="26">
        <f t="shared" si="1"/>
        <v>2220</v>
      </c>
      <c r="N8" s="85" t="s">
        <v>516</v>
      </c>
      <c r="O8" s="85"/>
    </row>
    <row r="9" spans="1:17" x14ac:dyDescent="0.35">
      <c r="A9" s="26" t="s">
        <v>510</v>
      </c>
      <c r="B9" s="26">
        <v>730</v>
      </c>
      <c r="C9" s="26">
        <v>546</v>
      </c>
      <c r="D9" s="26">
        <v>586</v>
      </c>
      <c r="E9" s="26">
        <f t="shared" si="0"/>
        <v>1862</v>
      </c>
      <c r="G9" s="26" t="s">
        <v>510</v>
      </c>
      <c r="H9" s="26">
        <v>937</v>
      </c>
      <c r="I9" s="26">
        <v>813</v>
      </c>
      <c r="J9" s="26">
        <v>735</v>
      </c>
      <c r="K9" s="26">
        <f t="shared" si="1"/>
        <v>2485</v>
      </c>
      <c r="M9" s="66" t="s">
        <v>504</v>
      </c>
      <c r="N9" s="67">
        <v>41640</v>
      </c>
      <c r="O9" s="67">
        <v>41671</v>
      </c>
      <c r="P9" s="67">
        <v>41699</v>
      </c>
      <c r="Q9" s="67" t="s">
        <v>130</v>
      </c>
    </row>
    <row r="10" spans="1:17" x14ac:dyDescent="0.35">
      <c r="M10" s="26" t="s">
        <v>505</v>
      </c>
      <c r="N10" s="26"/>
      <c r="O10" s="26"/>
      <c r="P10" s="26"/>
      <c r="Q10" s="26"/>
    </row>
    <row r="11" spans="1:17" x14ac:dyDescent="0.35">
      <c r="B11" s="85" t="s">
        <v>514</v>
      </c>
      <c r="C11" s="85"/>
      <c r="H11" s="85" t="s">
        <v>515</v>
      </c>
      <c r="I11" s="85"/>
      <c r="M11" s="26" t="s">
        <v>506</v>
      </c>
      <c r="N11" s="26"/>
      <c r="O11" s="26"/>
      <c r="P11" s="26"/>
      <c r="Q11" s="26"/>
    </row>
    <row r="12" spans="1:17" x14ac:dyDescent="0.35">
      <c r="A12" s="63" t="s">
        <v>504</v>
      </c>
      <c r="B12" s="64">
        <v>41275</v>
      </c>
      <c r="C12" s="64">
        <v>41306</v>
      </c>
      <c r="D12" s="64">
        <v>41334</v>
      </c>
      <c r="E12" s="64" t="s">
        <v>130</v>
      </c>
      <c r="G12" s="63" t="s">
        <v>504</v>
      </c>
      <c r="H12" s="64">
        <v>41640</v>
      </c>
      <c r="I12" s="64">
        <v>41671</v>
      </c>
      <c r="J12" s="64">
        <v>41699</v>
      </c>
      <c r="K12" s="64" t="s">
        <v>130</v>
      </c>
      <c r="M12" s="26" t="s">
        <v>507</v>
      </c>
      <c r="N12" s="26"/>
      <c r="O12" s="26"/>
      <c r="P12" s="26"/>
      <c r="Q12" s="26"/>
    </row>
    <row r="13" spans="1:17" x14ac:dyDescent="0.35">
      <c r="A13" s="26" t="s">
        <v>505</v>
      </c>
      <c r="B13" s="26">
        <v>644</v>
      </c>
      <c r="C13" s="26">
        <v>405</v>
      </c>
      <c r="D13" s="26">
        <v>753</v>
      </c>
      <c r="E13" s="26">
        <f>SUM(B13:D13)</f>
        <v>1802</v>
      </c>
      <c r="G13" s="26" t="s">
        <v>505</v>
      </c>
      <c r="H13" s="26">
        <v>1159</v>
      </c>
      <c r="I13" s="26">
        <v>767</v>
      </c>
      <c r="J13" s="26">
        <v>783</v>
      </c>
      <c r="K13" s="26">
        <f>SUM(H13:J13)</f>
        <v>2709</v>
      </c>
      <c r="M13" s="26" t="s">
        <v>508</v>
      </c>
      <c r="N13" s="26"/>
      <c r="O13" s="26"/>
      <c r="P13" s="26"/>
      <c r="Q13" s="26"/>
    </row>
    <row r="14" spans="1:17" x14ac:dyDescent="0.35">
      <c r="A14" s="26" t="s">
        <v>506</v>
      </c>
      <c r="B14" s="26">
        <v>442</v>
      </c>
      <c r="C14" s="26">
        <v>635</v>
      </c>
      <c r="D14" s="26">
        <v>898</v>
      </c>
      <c r="E14" s="26">
        <f t="shared" ref="E14:E18" si="2">SUM(B14:D14)</f>
        <v>1975</v>
      </c>
      <c r="G14" s="26" t="s">
        <v>506</v>
      </c>
      <c r="H14" s="26">
        <v>1123</v>
      </c>
      <c r="I14" s="26">
        <v>831</v>
      </c>
      <c r="J14" s="26">
        <v>803</v>
      </c>
      <c r="K14" s="26">
        <f t="shared" ref="K14:K18" si="3">SUM(H14:J14)</f>
        <v>2757</v>
      </c>
      <c r="M14" s="26" t="s">
        <v>509</v>
      </c>
      <c r="N14" s="26"/>
      <c r="O14" s="26"/>
      <c r="P14" s="26"/>
      <c r="Q14" s="26"/>
    </row>
    <row r="15" spans="1:17" x14ac:dyDescent="0.35">
      <c r="A15" s="26" t="s">
        <v>507</v>
      </c>
      <c r="B15" s="26">
        <v>810</v>
      </c>
      <c r="C15" s="26">
        <v>779</v>
      </c>
      <c r="D15" s="26">
        <v>865</v>
      </c>
      <c r="E15" s="26">
        <f t="shared" si="2"/>
        <v>2454</v>
      </c>
      <c r="G15" s="26" t="s">
        <v>507</v>
      </c>
      <c r="H15" s="26">
        <v>1036</v>
      </c>
      <c r="I15" s="26">
        <v>831</v>
      </c>
      <c r="J15" s="26">
        <v>1179</v>
      </c>
      <c r="K15" s="26">
        <f t="shared" si="3"/>
        <v>3046</v>
      </c>
      <c r="M15" s="26" t="s">
        <v>510</v>
      </c>
      <c r="N15" s="26"/>
      <c r="O15" s="26"/>
      <c r="P15" s="26"/>
      <c r="Q15" s="26"/>
    </row>
    <row r="16" spans="1:17" x14ac:dyDescent="0.35">
      <c r="A16" s="26" t="s">
        <v>508</v>
      </c>
      <c r="B16" s="26">
        <v>670</v>
      </c>
      <c r="C16" s="26">
        <v>763</v>
      </c>
      <c r="D16" s="26">
        <v>476</v>
      </c>
      <c r="E16" s="26">
        <f t="shared" si="2"/>
        <v>1909</v>
      </c>
      <c r="G16" s="26" t="s">
        <v>508</v>
      </c>
      <c r="H16" s="26">
        <v>1125</v>
      </c>
      <c r="I16" s="26">
        <v>1156</v>
      </c>
      <c r="J16" s="26">
        <v>728</v>
      </c>
      <c r="K16" s="26">
        <f t="shared" si="3"/>
        <v>3009</v>
      </c>
    </row>
    <row r="17" spans="1:11" x14ac:dyDescent="0.35">
      <c r="A17" s="26" t="s">
        <v>509</v>
      </c>
      <c r="B17" s="26">
        <v>563</v>
      </c>
      <c r="C17" s="26">
        <v>508</v>
      </c>
      <c r="D17" s="26">
        <v>446</v>
      </c>
      <c r="E17" s="26">
        <f t="shared" si="2"/>
        <v>1517</v>
      </c>
      <c r="G17" s="26" t="s">
        <v>509</v>
      </c>
      <c r="H17" s="26">
        <v>707</v>
      </c>
      <c r="I17" s="26">
        <v>847</v>
      </c>
      <c r="J17" s="26">
        <v>717</v>
      </c>
      <c r="K17" s="26">
        <f t="shared" si="3"/>
        <v>2271</v>
      </c>
    </row>
    <row r="18" spans="1:11" x14ac:dyDescent="0.35">
      <c r="A18" s="26" t="s">
        <v>510</v>
      </c>
      <c r="B18" s="26">
        <v>834</v>
      </c>
      <c r="C18" s="26">
        <v>874</v>
      </c>
      <c r="D18" s="26">
        <v>715</v>
      </c>
      <c r="E18" s="26">
        <f t="shared" si="2"/>
        <v>2423</v>
      </c>
      <c r="G18" s="26" t="s">
        <v>510</v>
      </c>
      <c r="H18" s="26">
        <v>1021</v>
      </c>
      <c r="I18" s="26">
        <v>1062</v>
      </c>
      <c r="J18" s="26">
        <v>1157</v>
      </c>
      <c r="K18" s="26">
        <f t="shared" si="3"/>
        <v>3240</v>
      </c>
    </row>
  </sheetData>
  <dataConsolidate topLabels="1">
    <dataRefs count="4">
      <dataRef ref="A3:D3" sheet="Q16" r:id="rId1"/>
      <dataRef ref="G3:J3" sheet="Q16" r:id="rId2"/>
      <dataRef ref="A12:D12" sheet="Q16" r:id="rId3"/>
      <dataRef ref="G12:J12" sheet="Q16" r:id="rId4"/>
    </dataRefs>
  </dataConsolidate>
  <mergeCells count="6">
    <mergeCell ref="A1:O1"/>
    <mergeCell ref="B2:C2"/>
    <mergeCell ref="H2:I2"/>
    <mergeCell ref="B11:C11"/>
    <mergeCell ref="H11:I11"/>
    <mergeCell ref="N8:O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710"/>
  <sheetViews>
    <sheetView workbookViewId="0">
      <selection activeCell="R3" sqref="R3:R710"/>
    </sheetView>
  </sheetViews>
  <sheetFormatPr defaultRowHeight="14.5" x14ac:dyDescent="0.35"/>
  <cols>
    <col min="4" max="4" width="11" bestFit="1" customWidth="1"/>
    <col min="7" max="7" width="4" bestFit="1" customWidth="1"/>
    <col min="8" max="8" width="4.26953125" bestFit="1" customWidth="1"/>
    <col min="9" max="9" width="4.54296875" bestFit="1" customWidth="1"/>
    <col min="10" max="10" width="4.1796875" bestFit="1" customWidth="1"/>
    <col min="11" max="11" width="4.81640625" bestFit="1" customWidth="1"/>
    <col min="12" max="13" width="4" bestFit="1" customWidth="1"/>
    <col min="14" max="14" width="4.453125" bestFit="1" customWidth="1"/>
    <col min="15" max="15" width="4.26953125" bestFit="1" customWidth="1"/>
    <col min="16" max="16" width="4" bestFit="1" customWidth="1"/>
    <col min="17" max="17" width="4.54296875" bestFit="1" customWidth="1"/>
    <col min="18" max="18" width="5.453125" bestFit="1" customWidth="1"/>
  </cols>
  <sheetData>
    <row r="1" spans="1:19" x14ac:dyDescent="0.35">
      <c r="A1" s="84" t="s">
        <v>2584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x14ac:dyDescent="0.35">
      <c r="A3" s="68" t="s">
        <v>517</v>
      </c>
      <c r="B3" s="68" t="s">
        <v>518</v>
      </c>
      <c r="C3" s="68" t="s">
        <v>519</v>
      </c>
      <c r="D3" s="68" t="s">
        <v>520</v>
      </c>
      <c r="E3" s="68" t="s">
        <v>521</v>
      </c>
      <c r="F3" s="68" t="s">
        <v>522</v>
      </c>
      <c r="G3" s="68" t="s">
        <v>3</v>
      </c>
      <c r="H3" s="68" t="s">
        <v>5</v>
      </c>
      <c r="I3" s="68" t="s">
        <v>7</v>
      </c>
      <c r="J3" s="68" t="s">
        <v>9</v>
      </c>
      <c r="K3" s="68" t="s">
        <v>10</v>
      </c>
      <c r="L3" s="68" t="s">
        <v>12</v>
      </c>
      <c r="M3" s="68" t="s">
        <v>13</v>
      </c>
      <c r="N3" s="68" t="s">
        <v>14</v>
      </c>
      <c r="O3" s="68" t="s">
        <v>15</v>
      </c>
      <c r="P3" s="68" t="s">
        <v>16</v>
      </c>
      <c r="Q3" s="68" t="s">
        <v>17</v>
      </c>
      <c r="R3" s="68" t="s">
        <v>130</v>
      </c>
    </row>
    <row r="4" spans="1:19" x14ac:dyDescent="0.35">
      <c r="A4" s="69">
        <v>11210001</v>
      </c>
      <c r="B4" s="69" t="s">
        <v>523</v>
      </c>
      <c r="C4" s="69" t="s">
        <v>524</v>
      </c>
      <c r="D4" s="69">
        <v>9665495080</v>
      </c>
      <c r="E4" s="69" t="s">
        <v>525</v>
      </c>
      <c r="F4" s="69" t="s">
        <v>868</v>
      </c>
      <c r="G4" s="26">
        <v>11</v>
      </c>
      <c r="H4" s="26"/>
      <c r="I4" s="26">
        <v>26</v>
      </c>
      <c r="J4" s="26">
        <v>33</v>
      </c>
      <c r="K4" s="26">
        <v>8</v>
      </c>
      <c r="L4" s="26">
        <v>6</v>
      </c>
      <c r="M4" s="26">
        <v>7</v>
      </c>
      <c r="N4" s="26">
        <v>5</v>
      </c>
      <c r="O4" s="26">
        <v>4</v>
      </c>
      <c r="P4" s="26">
        <v>6</v>
      </c>
      <c r="Q4" s="70">
        <v>3</v>
      </c>
      <c r="R4" s="26">
        <v>1075</v>
      </c>
    </row>
    <row r="5" spans="1:19" x14ac:dyDescent="0.35">
      <c r="A5" s="69">
        <v>11210003</v>
      </c>
      <c r="B5" s="69" t="s">
        <v>527</v>
      </c>
      <c r="C5" s="69" t="s">
        <v>528</v>
      </c>
      <c r="D5" s="69">
        <v>9822464931</v>
      </c>
      <c r="E5" s="69" t="s">
        <v>529</v>
      </c>
      <c r="F5" s="69" t="s">
        <v>868</v>
      </c>
      <c r="G5" s="26">
        <v>19</v>
      </c>
      <c r="H5" s="26">
        <v>5</v>
      </c>
      <c r="I5" s="26">
        <v>31</v>
      </c>
      <c r="J5" s="26">
        <v>49</v>
      </c>
      <c r="K5" s="26">
        <v>10</v>
      </c>
      <c r="L5" s="26">
        <v>24</v>
      </c>
      <c r="M5" s="26">
        <v>11</v>
      </c>
      <c r="N5" s="26">
        <v>13</v>
      </c>
      <c r="O5" s="26">
        <v>4</v>
      </c>
      <c r="P5" s="26">
        <v>5</v>
      </c>
      <c r="Q5" s="70">
        <v>2</v>
      </c>
      <c r="R5" s="26">
        <v>1035</v>
      </c>
    </row>
    <row r="6" spans="1:19" x14ac:dyDescent="0.35">
      <c r="A6" s="69">
        <v>11210035</v>
      </c>
      <c r="B6" s="69" t="s">
        <v>530</v>
      </c>
      <c r="C6" s="69" t="s">
        <v>531</v>
      </c>
      <c r="D6" s="69">
        <v>9371166415</v>
      </c>
      <c r="E6" s="69" t="s">
        <v>532</v>
      </c>
      <c r="F6" s="69" t="s">
        <v>868</v>
      </c>
      <c r="G6" s="26">
        <v>23</v>
      </c>
      <c r="H6" s="26"/>
      <c r="I6" s="26">
        <v>61</v>
      </c>
      <c r="J6" s="26">
        <v>26</v>
      </c>
      <c r="K6" s="26" t="s">
        <v>533</v>
      </c>
      <c r="L6" s="26">
        <v>22</v>
      </c>
      <c r="M6" s="26">
        <v>12</v>
      </c>
      <c r="N6" s="26">
        <v>16</v>
      </c>
      <c r="O6" s="26"/>
      <c r="P6" s="26">
        <v>23</v>
      </c>
      <c r="Q6" s="70">
        <v>0</v>
      </c>
      <c r="R6" s="26">
        <v>934</v>
      </c>
    </row>
    <row r="7" spans="1:19" x14ac:dyDescent="0.35">
      <c r="A7" s="69">
        <v>11210036</v>
      </c>
      <c r="B7" s="69" t="s">
        <v>534</v>
      </c>
      <c r="C7" s="69" t="s">
        <v>535</v>
      </c>
      <c r="D7" s="69">
        <v>9420075516</v>
      </c>
      <c r="E7" s="69" t="s">
        <v>536</v>
      </c>
      <c r="F7" s="69" t="s">
        <v>868</v>
      </c>
      <c r="G7" s="26">
        <v>46</v>
      </c>
      <c r="H7" s="26">
        <v>4</v>
      </c>
      <c r="I7" s="26">
        <v>75</v>
      </c>
      <c r="J7" s="26">
        <v>41</v>
      </c>
      <c r="K7" s="26"/>
      <c r="L7" s="26">
        <v>13</v>
      </c>
      <c r="M7" s="26">
        <v>8</v>
      </c>
      <c r="N7" s="26">
        <v>1</v>
      </c>
      <c r="O7" s="26">
        <v>8</v>
      </c>
      <c r="P7" s="26">
        <v>6</v>
      </c>
      <c r="Q7" s="70">
        <v>3</v>
      </c>
      <c r="R7" s="26">
        <v>912</v>
      </c>
    </row>
    <row r="8" spans="1:19" x14ac:dyDescent="0.35">
      <c r="A8" s="69">
        <v>11210136</v>
      </c>
      <c r="B8" s="69" t="s">
        <v>537</v>
      </c>
      <c r="C8" s="69" t="s">
        <v>538</v>
      </c>
      <c r="D8" s="69">
        <v>7588403162</v>
      </c>
      <c r="E8" s="69" t="s">
        <v>539</v>
      </c>
      <c r="F8" s="69" t="s">
        <v>868</v>
      </c>
      <c r="G8" s="26">
        <v>39</v>
      </c>
      <c r="H8" s="26">
        <v>15</v>
      </c>
      <c r="I8" s="26">
        <v>105</v>
      </c>
      <c r="J8" s="26">
        <v>46</v>
      </c>
      <c r="K8" s="26">
        <v>18</v>
      </c>
      <c r="L8" s="26">
        <v>15</v>
      </c>
      <c r="M8" s="26">
        <v>36</v>
      </c>
      <c r="N8" s="26">
        <v>11</v>
      </c>
      <c r="O8" s="26">
        <v>12</v>
      </c>
      <c r="P8" s="26">
        <v>13</v>
      </c>
      <c r="Q8" s="70">
        <v>10</v>
      </c>
      <c r="R8" s="26">
        <v>912</v>
      </c>
    </row>
    <row r="9" spans="1:19" x14ac:dyDescent="0.35">
      <c r="A9" s="69">
        <v>11210183</v>
      </c>
      <c r="B9" s="69" t="s">
        <v>540</v>
      </c>
      <c r="C9" s="69" t="s">
        <v>541</v>
      </c>
      <c r="D9" s="69">
        <v>9422267336</v>
      </c>
      <c r="E9" s="69" t="s">
        <v>542</v>
      </c>
      <c r="F9" s="69" t="s">
        <v>868</v>
      </c>
      <c r="G9" s="26">
        <v>19</v>
      </c>
      <c r="H9" s="26">
        <v>9</v>
      </c>
      <c r="I9" s="26">
        <v>55</v>
      </c>
      <c r="J9" s="26">
        <v>111</v>
      </c>
      <c r="K9" s="26">
        <v>24</v>
      </c>
      <c r="L9" s="26"/>
      <c r="M9" s="26">
        <v>17</v>
      </c>
      <c r="N9" s="26">
        <v>6</v>
      </c>
      <c r="O9" s="26">
        <v>6</v>
      </c>
      <c r="P9" s="26">
        <v>8</v>
      </c>
      <c r="Q9" s="70">
        <v>4</v>
      </c>
      <c r="R9" s="26">
        <v>890</v>
      </c>
    </row>
    <row r="10" spans="1:19" x14ac:dyDescent="0.35">
      <c r="A10" s="69">
        <v>12210001</v>
      </c>
      <c r="B10" s="69" t="s">
        <v>543</v>
      </c>
      <c r="C10" s="69" t="s">
        <v>544</v>
      </c>
      <c r="D10" s="69">
        <v>9422409298</v>
      </c>
      <c r="E10" s="69" t="s">
        <v>545</v>
      </c>
      <c r="F10" s="69" t="s">
        <v>868</v>
      </c>
      <c r="G10" s="26">
        <v>11</v>
      </c>
      <c r="H10" s="26">
        <v>2</v>
      </c>
      <c r="I10" s="26">
        <v>12</v>
      </c>
      <c r="J10" s="26">
        <v>32</v>
      </c>
      <c r="K10" s="26">
        <v>32</v>
      </c>
      <c r="L10" s="26">
        <v>46</v>
      </c>
      <c r="M10" s="26">
        <v>14</v>
      </c>
      <c r="N10" s="26">
        <v>8</v>
      </c>
      <c r="O10" s="26">
        <v>3</v>
      </c>
      <c r="P10" s="26">
        <v>6</v>
      </c>
      <c r="Q10" s="70">
        <v>0</v>
      </c>
      <c r="R10" s="26">
        <v>867</v>
      </c>
    </row>
    <row r="11" spans="1:19" x14ac:dyDescent="0.35">
      <c r="A11" s="69">
        <v>12210002</v>
      </c>
      <c r="B11" s="69" t="s">
        <v>546</v>
      </c>
      <c r="C11" s="69" t="s">
        <v>547</v>
      </c>
      <c r="D11" s="69">
        <v>9422959722</v>
      </c>
      <c r="E11" s="69" t="s">
        <v>548</v>
      </c>
      <c r="F11" s="69" t="s">
        <v>868</v>
      </c>
      <c r="G11" s="26">
        <v>22</v>
      </c>
      <c r="H11" s="26">
        <v>15</v>
      </c>
      <c r="I11" s="26">
        <v>54</v>
      </c>
      <c r="J11" s="26">
        <v>68</v>
      </c>
      <c r="K11" s="26">
        <v>27</v>
      </c>
      <c r="L11" s="26">
        <v>18</v>
      </c>
      <c r="M11" s="26">
        <v>21</v>
      </c>
      <c r="N11" s="26">
        <v>24</v>
      </c>
      <c r="O11" s="26">
        <v>20</v>
      </c>
      <c r="P11" s="26">
        <v>10</v>
      </c>
      <c r="Q11" s="70">
        <v>2</v>
      </c>
      <c r="R11" s="26">
        <v>839</v>
      </c>
    </row>
    <row r="12" spans="1:19" x14ac:dyDescent="0.35">
      <c r="A12" s="69">
        <v>12210003</v>
      </c>
      <c r="B12" s="69" t="s">
        <v>549</v>
      </c>
      <c r="C12" s="69" t="s">
        <v>550</v>
      </c>
      <c r="D12" s="69">
        <v>9422861908</v>
      </c>
      <c r="E12" s="69" t="s">
        <v>551</v>
      </c>
      <c r="F12" s="69" t="s">
        <v>868</v>
      </c>
      <c r="G12" s="26">
        <v>11</v>
      </c>
      <c r="H12" s="26">
        <v>9</v>
      </c>
      <c r="I12" s="26">
        <v>7</v>
      </c>
      <c r="J12" s="26">
        <v>99</v>
      </c>
      <c r="K12" s="26">
        <v>31</v>
      </c>
      <c r="L12" s="26">
        <v>17</v>
      </c>
      <c r="M12" s="26">
        <v>20</v>
      </c>
      <c r="N12" s="26">
        <v>14</v>
      </c>
      <c r="O12" s="26">
        <v>14</v>
      </c>
      <c r="P12" s="26">
        <v>11</v>
      </c>
      <c r="Q12" s="70">
        <v>3</v>
      </c>
      <c r="R12" s="26">
        <v>810</v>
      </c>
    </row>
    <row r="13" spans="1:19" x14ac:dyDescent="0.35">
      <c r="A13" s="69">
        <v>12210050</v>
      </c>
      <c r="B13" s="69" t="s">
        <v>552</v>
      </c>
      <c r="C13" s="69" t="s">
        <v>553</v>
      </c>
      <c r="D13" s="69">
        <v>9921661807</v>
      </c>
      <c r="E13" s="69" t="s">
        <v>554</v>
      </c>
      <c r="F13" s="69" t="s">
        <v>868</v>
      </c>
      <c r="G13" s="26">
        <v>42</v>
      </c>
      <c r="H13" s="26"/>
      <c r="I13" s="26">
        <v>34</v>
      </c>
      <c r="J13" s="26">
        <v>36</v>
      </c>
      <c r="K13" s="26">
        <v>21</v>
      </c>
      <c r="L13" s="26"/>
      <c r="M13" s="26">
        <v>25</v>
      </c>
      <c r="N13" s="26">
        <v>40</v>
      </c>
      <c r="O13" s="26">
        <v>8</v>
      </c>
      <c r="P13" s="26">
        <v>28</v>
      </c>
      <c r="Q13" s="70">
        <v>11</v>
      </c>
      <c r="R13" s="26">
        <v>779</v>
      </c>
    </row>
    <row r="14" spans="1:19" x14ac:dyDescent="0.35">
      <c r="A14" s="69">
        <v>12210061</v>
      </c>
      <c r="B14" s="69" t="s">
        <v>555</v>
      </c>
      <c r="C14" s="69" t="s">
        <v>556</v>
      </c>
      <c r="D14" s="69">
        <v>9423448050</v>
      </c>
      <c r="E14" s="69" t="s">
        <v>557</v>
      </c>
      <c r="F14" s="69" t="s">
        <v>868</v>
      </c>
      <c r="G14" s="26">
        <v>59</v>
      </c>
      <c r="H14" s="26">
        <v>54</v>
      </c>
      <c r="I14" s="26">
        <v>51</v>
      </c>
      <c r="J14" s="26">
        <v>296</v>
      </c>
      <c r="K14" s="26">
        <v>151</v>
      </c>
      <c r="L14" s="26">
        <v>50</v>
      </c>
      <c r="M14" s="26">
        <v>66</v>
      </c>
      <c r="N14" s="26">
        <v>0</v>
      </c>
      <c r="O14" s="26">
        <v>89</v>
      </c>
      <c r="P14" s="26">
        <v>58</v>
      </c>
      <c r="Q14" s="70">
        <v>38</v>
      </c>
      <c r="R14" s="26">
        <v>746</v>
      </c>
    </row>
    <row r="15" spans="1:19" x14ac:dyDescent="0.35">
      <c r="A15" s="69">
        <v>12210079</v>
      </c>
      <c r="B15" s="69" t="s">
        <v>558</v>
      </c>
      <c r="C15" s="69" t="s">
        <v>559</v>
      </c>
      <c r="D15" s="69">
        <v>9423259862</v>
      </c>
      <c r="E15" s="69" t="s">
        <v>560</v>
      </c>
      <c r="F15" s="69" t="s">
        <v>868</v>
      </c>
      <c r="G15" s="26"/>
      <c r="H15" s="26">
        <v>8</v>
      </c>
      <c r="I15" s="26"/>
      <c r="J15" s="26">
        <v>166</v>
      </c>
      <c r="K15" s="26">
        <v>19</v>
      </c>
      <c r="L15" s="26"/>
      <c r="M15" s="26"/>
      <c r="N15" s="26">
        <v>58</v>
      </c>
      <c r="O15" s="26">
        <v>0</v>
      </c>
      <c r="P15" s="26">
        <v>4</v>
      </c>
      <c r="Q15" s="70">
        <v>16</v>
      </c>
      <c r="R15" s="26">
        <v>713</v>
      </c>
    </row>
    <row r="16" spans="1:19" x14ac:dyDescent="0.35">
      <c r="A16" s="69">
        <v>12210080</v>
      </c>
      <c r="B16" s="69" t="s">
        <v>552</v>
      </c>
      <c r="C16" s="69" t="s">
        <v>561</v>
      </c>
      <c r="D16" s="69">
        <v>9921661807</v>
      </c>
      <c r="E16" s="69" t="s">
        <v>554</v>
      </c>
      <c r="F16" s="69" t="s">
        <v>868</v>
      </c>
      <c r="G16" s="26">
        <v>49</v>
      </c>
      <c r="H16" s="26"/>
      <c r="I16" s="26">
        <v>10</v>
      </c>
      <c r="J16" s="26">
        <v>24</v>
      </c>
      <c r="K16" s="26">
        <v>36</v>
      </c>
      <c r="L16" s="26"/>
      <c r="M16" s="26">
        <v>18</v>
      </c>
      <c r="N16" s="26">
        <v>37</v>
      </c>
      <c r="O16" s="26">
        <v>20</v>
      </c>
      <c r="P16" s="26">
        <v>23</v>
      </c>
      <c r="Q16" s="70">
        <v>12</v>
      </c>
      <c r="R16" s="26">
        <v>713</v>
      </c>
    </row>
    <row r="17" spans="1:18" x14ac:dyDescent="0.35">
      <c r="A17" s="69">
        <v>12210085</v>
      </c>
      <c r="B17" s="69" t="s">
        <v>562</v>
      </c>
      <c r="C17" s="69" t="s">
        <v>563</v>
      </c>
      <c r="D17" s="69">
        <v>9765804295</v>
      </c>
      <c r="E17" s="69" t="s">
        <v>564</v>
      </c>
      <c r="F17" s="69" t="s">
        <v>868</v>
      </c>
      <c r="G17" s="26">
        <v>65</v>
      </c>
      <c r="H17" s="26"/>
      <c r="I17" s="26">
        <v>5</v>
      </c>
      <c r="J17" s="26">
        <v>65</v>
      </c>
      <c r="K17" s="26">
        <v>19</v>
      </c>
      <c r="L17" s="26">
        <v>9</v>
      </c>
      <c r="M17" s="26">
        <v>10</v>
      </c>
      <c r="N17" s="26">
        <v>13</v>
      </c>
      <c r="O17" s="26">
        <v>9</v>
      </c>
      <c r="P17" s="26">
        <v>5</v>
      </c>
      <c r="Q17" s="70">
        <v>6</v>
      </c>
      <c r="R17" s="26">
        <v>689</v>
      </c>
    </row>
    <row r="18" spans="1:18" x14ac:dyDescent="0.35">
      <c r="A18" s="69">
        <v>12210095</v>
      </c>
      <c r="B18" s="69" t="s">
        <v>565</v>
      </c>
      <c r="C18" s="69" t="s">
        <v>566</v>
      </c>
      <c r="D18" s="69">
        <v>9881193513</v>
      </c>
      <c r="E18" s="69" t="s">
        <v>567</v>
      </c>
      <c r="F18" s="69" t="s">
        <v>868</v>
      </c>
      <c r="G18" s="26"/>
      <c r="H18" s="26">
        <v>6</v>
      </c>
      <c r="I18" s="26"/>
      <c r="J18" s="26">
        <v>4</v>
      </c>
      <c r="K18" s="26"/>
      <c r="L18" s="26"/>
      <c r="M18" s="26">
        <v>11</v>
      </c>
      <c r="N18" s="26">
        <v>0</v>
      </c>
      <c r="O18" s="26"/>
      <c r="P18" s="26">
        <v>0</v>
      </c>
      <c r="Q18" s="70">
        <v>0</v>
      </c>
      <c r="R18" s="26">
        <v>679</v>
      </c>
    </row>
    <row r="19" spans="1:18" x14ac:dyDescent="0.35">
      <c r="A19" s="69">
        <v>12210128</v>
      </c>
      <c r="B19" s="69" t="s">
        <v>568</v>
      </c>
      <c r="C19" s="69" t="s">
        <v>569</v>
      </c>
      <c r="D19" s="69">
        <v>9175366261</v>
      </c>
      <c r="E19" s="69" t="s">
        <v>570</v>
      </c>
      <c r="F19" s="69" t="s">
        <v>868</v>
      </c>
      <c r="G19" s="26"/>
      <c r="H19" s="26"/>
      <c r="I19" s="26">
        <v>5</v>
      </c>
      <c r="J19" s="26">
        <v>40</v>
      </c>
      <c r="K19" s="26">
        <v>12</v>
      </c>
      <c r="L19" s="26"/>
      <c r="M19" s="26">
        <v>3</v>
      </c>
      <c r="N19" s="26"/>
      <c r="O19" s="26">
        <v>15</v>
      </c>
      <c r="P19" s="26">
        <v>11</v>
      </c>
      <c r="Q19" s="70">
        <v>0</v>
      </c>
      <c r="R19" s="26">
        <v>658</v>
      </c>
    </row>
    <row r="20" spans="1:18" x14ac:dyDescent="0.35">
      <c r="A20" s="69">
        <v>12210132</v>
      </c>
      <c r="B20" s="69" t="s">
        <v>571</v>
      </c>
      <c r="C20" s="69" t="s">
        <v>572</v>
      </c>
      <c r="D20" s="69">
        <v>9860985640</v>
      </c>
      <c r="E20" s="69" t="s">
        <v>573</v>
      </c>
      <c r="F20" s="69" t="s">
        <v>868</v>
      </c>
      <c r="G20" s="26"/>
      <c r="H20" s="26"/>
      <c r="I20" s="26"/>
      <c r="J20" s="26"/>
      <c r="K20" s="26"/>
      <c r="L20" s="26"/>
      <c r="M20" s="26"/>
      <c r="N20" s="26"/>
      <c r="O20" s="26"/>
      <c r="P20" s="26">
        <v>0</v>
      </c>
      <c r="Q20" s="70">
        <v>0</v>
      </c>
      <c r="R20" s="26">
        <v>644</v>
      </c>
    </row>
    <row r="21" spans="1:18" x14ac:dyDescent="0.35">
      <c r="A21" s="69">
        <v>12210136</v>
      </c>
      <c r="B21" s="69" t="s">
        <v>574</v>
      </c>
      <c r="C21" s="69" t="s">
        <v>575</v>
      </c>
      <c r="D21" s="69">
        <v>9850243654</v>
      </c>
      <c r="E21" s="69" t="s">
        <v>570</v>
      </c>
      <c r="F21" s="69" t="s">
        <v>868</v>
      </c>
      <c r="G21" s="26">
        <v>6</v>
      </c>
      <c r="H21" s="26">
        <v>5</v>
      </c>
      <c r="I21" s="26">
        <v>9</v>
      </c>
      <c r="J21" s="26">
        <v>8</v>
      </c>
      <c r="K21" s="26">
        <v>6</v>
      </c>
      <c r="L21" s="26">
        <v>5</v>
      </c>
      <c r="M21" s="26">
        <v>6</v>
      </c>
      <c r="N21" s="26">
        <v>3</v>
      </c>
      <c r="O21" s="26">
        <v>4</v>
      </c>
      <c r="P21" s="26">
        <v>3</v>
      </c>
      <c r="Q21" s="70">
        <v>2</v>
      </c>
      <c r="R21" s="26">
        <v>642</v>
      </c>
    </row>
    <row r="22" spans="1:18" x14ac:dyDescent="0.35">
      <c r="A22" s="69">
        <v>12210141</v>
      </c>
      <c r="B22" s="69" t="s">
        <v>576</v>
      </c>
      <c r="C22" s="69" t="s">
        <v>577</v>
      </c>
      <c r="D22" s="69">
        <v>9850065137</v>
      </c>
      <c r="E22" s="69" t="s">
        <v>578</v>
      </c>
      <c r="F22" s="69" t="s">
        <v>868</v>
      </c>
      <c r="G22" s="26">
        <v>9</v>
      </c>
      <c r="H22" s="26"/>
      <c r="I22" s="26">
        <v>25</v>
      </c>
      <c r="J22" s="26">
        <v>37</v>
      </c>
      <c r="K22" s="26">
        <v>17</v>
      </c>
      <c r="L22" s="26"/>
      <c r="M22" s="26">
        <v>19</v>
      </c>
      <c r="N22" s="26"/>
      <c r="O22" s="26">
        <v>16</v>
      </c>
      <c r="P22" s="26">
        <v>4</v>
      </c>
      <c r="Q22" s="70">
        <v>0</v>
      </c>
      <c r="R22" s="26">
        <v>617</v>
      </c>
    </row>
    <row r="23" spans="1:18" x14ac:dyDescent="0.35">
      <c r="A23" s="69">
        <v>13210002</v>
      </c>
      <c r="B23" s="69" t="s">
        <v>579</v>
      </c>
      <c r="C23" s="69" t="s">
        <v>580</v>
      </c>
      <c r="D23" s="69">
        <v>9860326229</v>
      </c>
      <c r="E23" s="69" t="s">
        <v>581</v>
      </c>
      <c r="F23" s="69" t="s">
        <v>868</v>
      </c>
      <c r="G23" s="26">
        <v>12</v>
      </c>
      <c r="H23" s="26">
        <v>3</v>
      </c>
      <c r="I23" s="26">
        <v>19</v>
      </c>
      <c r="J23" s="26">
        <v>17</v>
      </c>
      <c r="K23" s="26">
        <v>9</v>
      </c>
      <c r="L23" s="26"/>
      <c r="M23" s="26">
        <v>10</v>
      </c>
      <c r="N23" s="26"/>
      <c r="O23" s="26">
        <v>4</v>
      </c>
      <c r="P23" s="26">
        <v>0</v>
      </c>
      <c r="Q23" s="70">
        <v>5</v>
      </c>
      <c r="R23" s="26">
        <v>608</v>
      </c>
    </row>
    <row r="24" spans="1:18" x14ac:dyDescent="0.35">
      <c r="A24" s="69">
        <v>13210003</v>
      </c>
      <c r="B24" s="69" t="s">
        <v>583</v>
      </c>
      <c r="C24" s="69" t="s">
        <v>584</v>
      </c>
      <c r="D24" s="69">
        <v>9970753479</v>
      </c>
      <c r="E24" s="69" t="s">
        <v>585</v>
      </c>
      <c r="F24" s="69" t="s">
        <v>868</v>
      </c>
      <c r="G24" s="26">
        <v>15</v>
      </c>
      <c r="H24" s="26">
        <v>9</v>
      </c>
      <c r="I24" s="26"/>
      <c r="J24" s="26">
        <v>114</v>
      </c>
      <c r="K24" s="26">
        <v>9</v>
      </c>
      <c r="L24" s="26">
        <v>7</v>
      </c>
      <c r="M24" s="26">
        <v>8</v>
      </c>
      <c r="N24" s="26">
        <v>13</v>
      </c>
      <c r="O24" s="26">
        <v>18</v>
      </c>
      <c r="P24" s="26">
        <v>35</v>
      </c>
      <c r="Q24" s="70">
        <v>4</v>
      </c>
      <c r="R24" s="26">
        <v>597</v>
      </c>
    </row>
    <row r="25" spans="1:18" x14ac:dyDescent="0.35">
      <c r="A25" s="69">
        <v>14210008</v>
      </c>
      <c r="B25" s="69" t="s">
        <v>586</v>
      </c>
      <c r="C25" s="69" t="s">
        <v>587</v>
      </c>
      <c r="D25" s="69">
        <v>9373013830</v>
      </c>
      <c r="E25" s="69" t="s">
        <v>588</v>
      </c>
      <c r="F25" s="69" t="s">
        <v>868</v>
      </c>
      <c r="G25" s="26"/>
      <c r="H25" s="26">
        <v>28</v>
      </c>
      <c r="I25" s="26">
        <v>1</v>
      </c>
      <c r="J25" s="26">
        <v>59</v>
      </c>
      <c r="K25" s="26">
        <v>21</v>
      </c>
      <c r="L25" s="26">
        <v>51</v>
      </c>
      <c r="M25" s="26">
        <v>21</v>
      </c>
      <c r="N25" s="26">
        <v>14</v>
      </c>
      <c r="O25" s="26">
        <v>13</v>
      </c>
      <c r="P25" s="26">
        <v>14</v>
      </c>
      <c r="Q25" s="70">
        <v>6</v>
      </c>
      <c r="R25" s="26">
        <v>587</v>
      </c>
    </row>
    <row r="26" spans="1:18" x14ac:dyDescent="0.35">
      <c r="A26" s="69">
        <v>14210009</v>
      </c>
      <c r="B26" s="69" t="s">
        <v>590</v>
      </c>
      <c r="C26" s="69" t="s">
        <v>591</v>
      </c>
      <c r="D26" s="69">
        <v>9822716146</v>
      </c>
      <c r="E26" s="69" t="s">
        <v>592</v>
      </c>
      <c r="F26" s="69" t="s">
        <v>217</v>
      </c>
      <c r="G26" s="26">
        <v>60</v>
      </c>
      <c r="H26" s="26">
        <v>30</v>
      </c>
      <c r="I26" s="26">
        <v>50</v>
      </c>
      <c r="J26" s="26">
        <v>175</v>
      </c>
      <c r="K26" s="26">
        <v>62</v>
      </c>
      <c r="L26" s="26"/>
      <c r="M26" s="26">
        <v>56</v>
      </c>
      <c r="N26" s="26">
        <v>22</v>
      </c>
      <c r="O26" s="26"/>
      <c r="P26" s="26">
        <v>58</v>
      </c>
      <c r="Q26" s="70">
        <v>8</v>
      </c>
      <c r="R26" s="26">
        <v>584</v>
      </c>
    </row>
    <row r="27" spans="1:18" x14ac:dyDescent="0.35">
      <c r="A27" s="69">
        <v>14210012</v>
      </c>
      <c r="B27" s="69" t="s">
        <v>593</v>
      </c>
      <c r="C27" s="69" t="s">
        <v>594</v>
      </c>
      <c r="D27" s="69">
        <v>9370270056</v>
      </c>
      <c r="E27" s="69" t="s">
        <v>595</v>
      </c>
      <c r="F27" s="69" t="s">
        <v>217</v>
      </c>
      <c r="G27" s="26">
        <v>37</v>
      </c>
      <c r="H27" s="26">
        <v>30</v>
      </c>
      <c r="I27" s="26">
        <v>61</v>
      </c>
      <c r="J27" s="26">
        <v>62</v>
      </c>
      <c r="K27" s="26">
        <v>51</v>
      </c>
      <c r="L27" s="26">
        <v>19</v>
      </c>
      <c r="M27" s="26">
        <v>20</v>
      </c>
      <c r="N27" s="26">
        <v>21</v>
      </c>
      <c r="O27" s="26">
        <v>18</v>
      </c>
      <c r="P27" s="26">
        <v>25</v>
      </c>
      <c r="Q27" s="70">
        <v>11</v>
      </c>
      <c r="R27" s="26">
        <v>584</v>
      </c>
    </row>
    <row r="28" spans="1:18" x14ac:dyDescent="0.35">
      <c r="A28" s="69">
        <v>14210014</v>
      </c>
      <c r="B28" s="69" t="s">
        <v>596</v>
      </c>
      <c r="C28" s="69" t="s">
        <v>597</v>
      </c>
      <c r="D28" s="69">
        <v>9422547517</v>
      </c>
      <c r="E28" s="69" t="s">
        <v>598</v>
      </c>
      <c r="F28" s="69" t="s">
        <v>217</v>
      </c>
      <c r="G28" s="26">
        <v>23</v>
      </c>
      <c r="H28" s="26">
        <v>9</v>
      </c>
      <c r="I28" s="26">
        <v>50</v>
      </c>
      <c r="J28" s="26"/>
      <c r="K28" s="26">
        <v>109</v>
      </c>
      <c r="L28" s="26">
        <v>17</v>
      </c>
      <c r="M28" s="26">
        <v>47</v>
      </c>
      <c r="N28" s="26">
        <v>13</v>
      </c>
      <c r="O28" s="26"/>
      <c r="P28" s="26">
        <v>30</v>
      </c>
      <c r="Q28" s="70">
        <v>11</v>
      </c>
      <c r="R28" s="26">
        <v>581</v>
      </c>
    </row>
    <row r="29" spans="1:18" x14ac:dyDescent="0.35">
      <c r="A29" s="69">
        <v>14210016</v>
      </c>
      <c r="B29" s="69" t="s">
        <v>599</v>
      </c>
      <c r="C29" s="69" t="s">
        <v>600</v>
      </c>
      <c r="D29" s="69">
        <v>9371157558</v>
      </c>
      <c r="E29" s="69" t="s">
        <v>601</v>
      </c>
      <c r="F29" s="69" t="s">
        <v>217</v>
      </c>
      <c r="G29" s="26">
        <v>5</v>
      </c>
      <c r="H29" s="26"/>
      <c r="I29" s="26"/>
      <c r="J29" s="26">
        <v>12</v>
      </c>
      <c r="K29" s="26"/>
      <c r="L29" s="26">
        <v>18</v>
      </c>
      <c r="M29" s="26">
        <v>0</v>
      </c>
      <c r="N29" s="26">
        <v>3</v>
      </c>
      <c r="O29" s="26">
        <v>0</v>
      </c>
      <c r="P29" s="26">
        <v>8</v>
      </c>
      <c r="Q29" s="70">
        <v>0</v>
      </c>
      <c r="R29" s="26">
        <v>581</v>
      </c>
    </row>
    <row r="30" spans="1:18" x14ac:dyDescent="0.35">
      <c r="A30" s="69">
        <v>14210121</v>
      </c>
      <c r="B30" s="69" t="s">
        <v>602</v>
      </c>
      <c r="C30" s="69" t="s">
        <v>603</v>
      </c>
      <c r="D30" s="69">
        <v>9766848716</v>
      </c>
      <c r="E30" s="69" t="s">
        <v>604</v>
      </c>
      <c r="F30" s="69" t="s">
        <v>217</v>
      </c>
      <c r="G30" s="26">
        <v>43</v>
      </c>
      <c r="H30" s="26"/>
      <c r="I30" s="26">
        <v>68</v>
      </c>
      <c r="J30" s="26">
        <v>145</v>
      </c>
      <c r="K30" s="26">
        <v>26</v>
      </c>
      <c r="L30" s="26">
        <v>45</v>
      </c>
      <c r="M30" s="26">
        <v>41</v>
      </c>
      <c r="N30" s="26">
        <v>43</v>
      </c>
      <c r="O30" s="26">
        <v>25</v>
      </c>
      <c r="P30" s="26">
        <v>21</v>
      </c>
      <c r="Q30" s="70">
        <v>10</v>
      </c>
      <c r="R30" s="26">
        <v>580</v>
      </c>
    </row>
    <row r="31" spans="1:18" x14ac:dyDescent="0.35">
      <c r="A31" s="69">
        <v>14210140</v>
      </c>
      <c r="B31" s="69" t="s">
        <v>605</v>
      </c>
      <c r="C31" s="69" t="s">
        <v>606</v>
      </c>
      <c r="D31" s="69">
        <v>9373126282</v>
      </c>
      <c r="E31" s="69" t="s">
        <v>607</v>
      </c>
      <c r="F31" s="69" t="s">
        <v>217</v>
      </c>
      <c r="G31" s="26"/>
      <c r="H31" s="26"/>
      <c r="I31" s="26">
        <v>12</v>
      </c>
      <c r="J31" s="26">
        <v>10</v>
      </c>
      <c r="K31" s="26">
        <v>24</v>
      </c>
      <c r="L31" s="26"/>
      <c r="M31" s="26"/>
      <c r="N31" s="26">
        <v>11</v>
      </c>
      <c r="O31" s="26">
        <v>14</v>
      </c>
      <c r="P31" s="26">
        <v>0</v>
      </c>
      <c r="Q31" s="70">
        <v>10</v>
      </c>
      <c r="R31" s="26">
        <v>569</v>
      </c>
    </row>
    <row r="32" spans="1:18" x14ac:dyDescent="0.35">
      <c r="A32" s="69">
        <v>14210144</v>
      </c>
      <c r="B32" s="69" t="s">
        <v>608</v>
      </c>
      <c r="C32" s="69" t="s">
        <v>609</v>
      </c>
      <c r="D32" s="69">
        <v>9970120471</v>
      </c>
      <c r="E32" s="69" t="s">
        <v>610</v>
      </c>
      <c r="F32" s="69" t="s">
        <v>217</v>
      </c>
      <c r="G32" s="26"/>
      <c r="H32" s="26">
        <v>22</v>
      </c>
      <c r="I32" s="26"/>
      <c r="J32" s="26">
        <v>32</v>
      </c>
      <c r="K32" s="26">
        <v>2</v>
      </c>
      <c r="L32" s="26">
        <v>36</v>
      </c>
      <c r="M32" s="26">
        <v>4</v>
      </c>
      <c r="N32" s="26">
        <v>0</v>
      </c>
      <c r="O32" s="26"/>
      <c r="P32" s="26">
        <v>20</v>
      </c>
      <c r="Q32" s="70">
        <v>5</v>
      </c>
      <c r="R32" s="26">
        <v>557</v>
      </c>
    </row>
    <row r="33" spans="1:18" x14ac:dyDescent="0.35">
      <c r="A33" s="69">
        <v>14210147</v>
      </c>
      <c r="B33" s="69" t="s">
        <v>611</v>
      </c>
      <c r="C33" s="69" t="s">
        <v>612</v>
      </c>
      <c r="D33" s="69">
        <v>9860718627</v>
      </c>
      <c r="E33" s="69" t="s">
        <v>613</v>
      </c>
      <c r="F33" s="69" t="s">
        <v>217</v>
      </c>
      <c r="G33" s="26">
        <v>14</v>
      </c>
      <c r="H33" s="26">
        <v>4</v>
      </c>
      <c r="I33" s="26"/>
      <c r="J33" s="26">
        <v>72</v>
      </c>
      <c r="K33" s="26">
        <v>19</v>
      </c>
      <c r="L33" s="26">
        <v>8</v>
      </c>
      <c r="M33" s="26">
        <v>16</v>
      </c>
      <c r="N33" s="26">
        <v>12</v>
      </c>
      <c r="O33" s="26">
        <v>10</v>
      </c>
      <c r="P33" s="26">
        <v>16</v>
      </c>
      <c r="Q33" s="70">
        <v>6</v>
      </c>
      <c r="R33" s="26">
        <v>550</v>
      </c>
    </row>
    <row r="34" spans="1:18" x14ac:dyDescent="0.35">
      <c r="A34" s="69">
        <v>14210148</v>
      </c>
      <c r="B34" s="69" t="s">
        <v>614</v>
      </c>
      <c r="C34" s="69" t="s">
        <v>615</v>
      </c>
      <c r="D34" s="69">
        <v>9225236100</v>
      </c>
      <c r="E34" s="69" t="s">
        <v>616</v>
      </c>
      <c r="F34" s="69" t="s">
        <v>217</v>
      </c>
      <c r="G34" s="26">
        <v>2</v>
      </c>
      <c r="H34" s="26">
        <v>5</v>
      </c>
      <c r="I34" s="26">
        <v>6</v>
      </c>
      <c r="J34" s="26">
        <v>16</v>
      </c>
      <c r="K34" s="26">
        <v>12</v>
      </c>
      <c r="L34" s="26">
        <v>10</v>
      </c>
      <c r="M34" s="26">
        <v>8</v>
      </c>
      <c r="N34" s="26"/>
      <c r="O34" s="26">
        <v>6</v>
      </c>
      <c r="P34" s="26">
        <v>4</v>
      </c>
      <c r="Q34" s="70">
        <v>0</v>
      </c>
      <c r="R34" s="26">
        <v>544</v>
      </c>
    </row>
    <row r="35" spans="1:18" x14ac:dyDescent="0.35">
      <c r="A35" s="69">
        <v>14210172</v>
      </c>
      <c r="B35" s="69" t="s">
        <v>617</v>
      </c>
      <c r="C35" s="69" t="s">
        <v>618</v>
      </c>
      <c r="D35" s="69">
        <v>9923262692</v>
      </c>
      <c r="E35" s="69" t="s">
        <v>619</v>
      </c>
      <c r="F35" s="69" t="s">
        <v>217</v>
      </c>
      <c r="G35" s="26"/>
      <c r="H35" s="26">
        <v>47</v>
      </c>
      <c r="I35" s="26">
        <v>63</v>
      </c>
      <c r="J35" s="26">
        <v>107</v>
      </c>
      <c r="K35" s="26">
        <v>28</v>
      </c>
      <c r="L35" s="26"/>
      <c r="M35" s="26">
        <v>45</v>
      </c>
      <c r="N35" s="26">
        <v>30</v>
      </c>
      <c r="O35" s="26">
        <v>24</v>
      </c>
      <c r="P35" s="26">
        <v>26</v>
      </c>
      <c r="Q35" s="70">
        <v>0</v>
      </c>
      <c r="R35" s="26">
        <v>543</v>
      </c>
    </row>
    <row r="36" spans="1:18" x14ac:dyDescent="0.35">
      <c r="A36" s="69">
        <v>14210173</v>
      </c>
      <c r="B36" s="69" t="s">
        <v>620</v>
      </c>
      <c r="C36" s="69" t="s">
        <v>621</v>
      </c>
      <c r="D36" s="69">
        <v>9423408479</v>
      </c>
      <c r="E36" s="69" t="s">
        <v>622</v>
      </c>
      <c r="F36" s="69" t="s">
        <v>217</v>
      </c>
      <c r="G36" s="26"/>
      <c r="H36" s="26">
        <v>22</v>
      </c>
      <c r="I36" s="26"/>
      <c r="J36" s="26">
        <v>13</v>
      </c>
      <c r="K36" s="26"/>
      <c r="L36" s="26">
        <v>11</v>
      </c>
      <c r="M36" s="26"/>
      <c r="N36" s="26"/>
      <c r="O36" s="26">
        <v>8</v>
      </c>
      <c r="P36" s="26">
        <v>8</v>
      </c>
      <c r="Q36" s="70">
        <v>0</v>
      </c>
      <c r="R36" s="26">
        <v>540</v>
      </c>
    </row>
    <row r="37" spans="1:18" x14ac:dyDescent="0.35">
      <c r="A37" s="69">
        <v>14210176</v>
      </c>
      <c r="B37" s="69" t="s">
        <v>623</v>
      </c>
      <c r="C37" s="69" t="s">
        <v>624</v>
      </c>
      <c r="D37" s="69">
        <v>7385710340</v>
      </c>
      <c r="E37" s="69" t="s">
        <v>625</v>
      </c>
      <c r="F37" s="69" t="s">
        <v>217</v>
      </c>
      <c r="G37" s="26"/>
      <c r="H37" s="26">
        <v>7</v>
      </c>
      <c r="I37" s="26">
        <v>3</v>
      </c>
      <c r="J37" s="26">
        <v>45</v>
      </c>
      <c r="K37" s="26">
        <v>25</v>
      </c>
      <c r="L37" s="26">
        <v>13</v>
      </c>
      <c r="M37" s="26">
        <v>14</v>
      </c>
      <c r="N37" s="26">
        <v>11</v>
      </c>
      <c r="O37" s="26">
        <v>10</v>
      </c>
      <c r="P37" s="26">
        <v>5</v>
      </c>
      <c r="Q37" s="70">
        <v>2</v>
      </c>
      <c r="R37" s="26">
        <v>528</v>
      </c>
    </row>
    <row r="38" spans="1:18" x14ac:dyDescent="0.35">
      <c r="A38" s="69">
        <v>14210180</v>
      </c>
      <c r="B38" s="69" t="s">
        <v>626</v>
      </c>
      <c r="C38" s="69" t="s">
        <v>627</v>
      </c>
      <c r="D38" s="69">
        <v>9422808304</v>
      </c>
      <c r="E38" s="69" t="s">
        <v>628</v>
      </c>
      <c r="F38" s="69" t="s">
        <v>217</v>
      </c>
      <c r="G38" s="26">
        <v>23</v>
      </c>
      <c r="H38" s="26">
        <v>6</v>
      </c>
      <c r="I38" s="26"/>
      <c r="J38" s="26">
        <v>46</v>
      </c>
      <c r="K38" s="26">
        <v>29</v>
      </c>
      <c r="L38" s="26"/>
      <c r="M38" s="26">
        <v>52</v>
      </c>
      <c r="N38" s="26"/>
      <c r="O38" s="26"/>
      <c r="P38" s="26">
        <v>17</v>
      </c>
      <c r="Q38" s="70">
        <v>0</v>
      </c>
      <c r="R38" s="26">
        <v>528</v>
      </c>
    </row>
    <row r="39" spans="1:18" x14ac:dyDescent="0.35">
      <c r="A39" s="69">
        <v>14210181</v>
      </c>
      <c r="B39" s="69" t="s">
        <v>629</v>
      </c>
      <c r="C39" s="69" t="s">
        <v>630</v>
      </c>
      <c r="D39" s="69">
        <v>9422173497</v>
      </c>
      <c r="E39" s="69" t="s">
        <v>631</v>
      </c>
      <c r="F39" s="69" t="s">
        <v>1974</v>
      </c>
      <c r="G39" s="26">
        <v>12</v>
      </c>
      <c r="H39" s="26"/>
      <c r="I39" s="26"/>
      <c r="J39" s="26">
        <v>47</v>
      </c>
      <c r="K39" s="26">
        <v>20</v>
      </c>
      <c r="L39" s="26">
        <v>14</v>
      </c>
      <c r="M39" s="26">
        <v>13</v>
      </c>
      <c r="N39" s="26">
        <v>5</v>
      </c>
      <c r="O39" s="26">
        <v>15</v>
      </c>
      <c r="P39" s="26">
        <v>7</v>
      </c>
      <c r="Q39" s="70">
        <v>2</v>
      </c>
      <c r="R39" s="26">
        <v>521</v>
      </c>
    </row>
    <row r="40" spans="1:18" x14ac:dyDescent="0.35">
      <c r="A40" s="69">
        <v>14210234</v>
      </c>
      <c r="B40" s="69" t="s">
        <v>632</v>
      </c>
      <c r="C40" s="69" t="s">
        <v>633</v>
      </c>
      <c r="D40" s="69">
        <v>7798880322</v>
      </c>
      <c r="E40" s="69" t="s">
        <v>634</v>
      </c>
      <c r="F40" s="69" t="s">
        <v>1974</v>
      </c>
      <c r="G40" s="26">
        <v>50</v>
      </c>
      <c r="H40" s="26">
        <v>7</v>
      </c>
      <c r="I40" s="26">
        <v>79</v>
      </c>
      <c r="J40" s="26">
        <v>67</v>
      </c>
      <c r="K40" s="26">
        <v>54</v>
      </c>
      <c r="L40" s="26">
        <v>34</v>
      </c>
      <c r="M40" s="26">
        <v>46</v>
      </c>
      <c r="N40" s="26">
        <v>20</v>
      </c>
      <c r="O40" s="26">
        <v>24</v>
      </c>
      <c r="P40" s="26">
        <v>12</v>
      </c>
      <c r="Q40" s="70">
        <v>13</v>
      </c>
      <c r="R40" s="26">
        <v>519</v>
      </c>
    </row>
    <row r="41" spans="1:18" x14ac:dyDescent="0.35">
      <c r="A41" s="69">
        <v>14210235</v>
      </c>
      <c r="B41" s="69" t="s">
        <v>635</v>
      </c>
      <c r="C41" s="69" t="s">
        <v>636</v>
      </c>
      <c r="D41" s="69">
        <v>8087161015</v>
      </c>
      <c r="E41" s="69" t="s">
        <v>637</v>
      </c>
      <c r="F41" s="69" t="s">
        <v>1974</v>
      </c>
      <c r="G41" s="26">
        <v>5</v>
      </c>
      <c r="H41" s="26"/>
      <c r="I41" s="26">
        <v>5</v>
      </c>
      <c r="J41" s="26">
        <v>13</v>
      </c>
      <c r="K41" s="26">
        <v>12</v>
      </c>
      <c r="L41" s="26"/>
      <c r="M41" s="26">
        <v>14</v>
      </c>
      <c r="N41" s="26">
        <v>4</v>
      </c>
      <c r="O41" s="26"/>
      <c r="P41" s="26">
        <v>2</v>
      </c>
      <c r="Q41" s="70">
        <v>3</v>
      </c>
      <c r="R41" s="26">
        <v>518</v>
      </c>
    </row>
    <row r="42" spans="1:18" x14ac:dyDescent="0.35">
      <c r="A42" s="69">
        <v>14210248</v>
      </c>
      <c r="B42" s="69" t="s">
        <v>638</v>
      </c>
      <c r="C42" s="69" t="s">
        <v>639</v>
      </c>
      <c r="D42" s="69">
        <v>9225212237</v>
      </c>
      <c r="E42" s="69" t="s">
        <v>640</v>
      </c>
      <c r="F42" s="69" t="s">
        <v>1974</v>
      </c>
      <c r="G42" s="26"/>
      <c r="H42" s="26"/>
      <c r="I42" s="26">
        <v>20</v>
      </c>
      <c r="J42" s="26">
        <v>20</v>
      </c>
      <c r="K42" s="26"/>
      <c r="L42" s="26"/>
      <c r="M42" s="26">
        <v>22</v>
      </c>
      <c r="N42" s="26"/>
      <c r="O42" s="26">
        <v>10</v>
      </c>
      <c r="P42" s="26">
        <v>9</v>
      </c>
      <c r="Q42" s="70">
        <v>0</v>
      </c>
      <c r="R42" s="26">
        <v>516</v>
      </c>
    </row>
    <row r="43" spans="1:18" x14ac:dyDescent="0.35">
      <c r="A43" s="69">
        <v>14210250</v>
      </c>
      <c r="B43" s="69" t="s">
        <v>641</v>
      </c>
      <c r="C43" s="69" t="s">
        <v>642</v>
      </c>
      <c r="D43" s="69">
        <v>9422802840</v>
      </c>
      <c r="E43" s="69" t="s">
        <v>643</v>
      </c>
      <c r="F43" s="69" t="s">
        <v>1974</v>
      </c>
      <c r="G43" s="26">
        <v>11</v>
      </c>
      <c r="H43" s="26"/>
      <c r="I43" s="26">
        <v>18</v>
      </c>
      <c r="J43" s="26">
        <v>70</v>
      </c>
      <c r="K43" s="26"/>
      <c r="L43" s="26">
        <v>18</v>
      </c>
      <c r="M43" s="26">
        <v>18</v>
      </c>
      <c r="N43" s="26">
        <v>13</v>
      </c>
      <c r="O43" s="26">
        <v>10</v>
      </c>
      <c r="P43" s="26">
        <v>11</v>
      </c>
      <c r="Q43" s="70">
        <v>6</v>
      </c>
      <c r="R43" s="26">
        <v>511</v>
      </c>
    </row>
    <row r="44" spans="1:18" x14ac:dyDescent="0.35">
      <c r="A44" s="69">
        <v>14210251</v>
      </c>
      <c r="B44" s="69" t="s">
        <v>644</v>
      </c>
      <c r="C44" s="69" t="s">
        <v>645</v>
      </c>
      <c r="D44" s="69">
        <v>9422102224</v>
      </c>
      <c r="E44" s="69" t="s">
        <v>646</v>
      </c>
      <c r="F44" s="69" t="s">
        <v>1974</v>
      </c>
      <c r="G44" s="26">
        <v>29</v>
      </c>
      <c r="H44" s="26"/>
      <c r="I44" s="26"/>
      <c r="J44" s="26">
        <v>42</v>
      </c>
      <c r="K44" s="26">
        <v>11</v>
      </c>
      <c r="L44" s="26">
        <v>4</v>
      </c>
      <c r="M44" s="26">
        <v>18</v>
      </c>
      <c r="N44" s="26">
        <v>5</v>
      </c>
      <c r="O44" s="26">
        <v>4</v>
      </c>
      <c r="P44" s="26">
        <v>28</v>
      </c>
      <c r="Q44" s="70">
        <v>0</v>
      </c>
      <c r="R44" s="26">
        <v>510</v>
      </c>
    </row>
    <row r="45" spans="1:18" x14ac:dyDescent="0.35">
      <c r="A45" s="69">
        <v>14210252</v>
      </c>
      <c r="B45" s="69" t="s">
        <v>647</v>
      </c>
      <c r="C45" s="69" t="s">
        <v>648</v>
      </c>
      <c r="D45" s="69">
        <v>9850386213</v>
      </c>
      <c r="E45" s="69" t="s">
        <v>649</v>
      </c>
      <c r="F45" s="69" t="s">
        <v>1974</v>
      </c>
      <c r="G45" s="26">
        <v>19</v>
      </c>
      <c r="H45" s="26">
        <v>4</v>
      </c>
      <c r="I45" s="26">
        <v>28</v>
      </c>
      <c r="J45" s="26">
        <v>49</v>
      </c>
      <c r="K45" s="26">
        <v>28</v>
      </c>
      <c r="L45" s="26">
        <v>24</v>
      </c>
      <c r="M45" s="26">
        <v>28</v>
      </c>
      <c r="N45" s="26">
        <v>23</v>
      </c>
      <c r="O45" s="26">
        <v>20</v>
      </c>
      <c r="P45" s="26">
        <v>26</v>
      </c>
      <c r="Q45" s="70">
        <v>10</v>
      </c>
      <c r="R45" s="26">
        <v>503</v>
      </c>
    </row>
    <row r="46" spans="1:18" x14ac:dyDescent="0.35">
      <c r="A46" s="69">
        <v>14210263</v>
      </c>
      <c r="B46" s="69" t="s">
        <v>650</v>
      </c>
      <c r="C46" s="69" t="s">
        <v>651</v>
      </c>
      <c r="D46" s="69">
        <v>9890175878</v>
      </c>
      <c r="E46" s="69" t="s">
        <v>652</v>
      </c>
      <c r="F46" s="69" t="s">
        <v>1974</v>
      </c>
      <c r="G46" s="26"/>
      <c r="H46" s="26">
        <v>19</v>
      </c>
      <c r="I46" s="26"/>
      <c r="J46" s="26">
        <v>59</v>
      </c>
      <c r="K46" s="26"/>
      <c r="L46" s="26"/>
      <c r="M46" s="26"/>
      <c r="N46" s="26">
        <v>20</v>
      </c>
      <c r="O46" s="26">
        <v>0</v>
      </c>
      <c r="P46" s="26">
        <v>0</v>
      </c>
      <c r="Q46" s="70">
        <v>22</v>
      </c>
      <c r="R46" s="26">
        <v>491</v>
      </c>
    </row>
    <row r="47" spans="1:18" x14ac:dyDescent="0.35">
      <c r="A47" s="69">
        <v>14210264</v>
      </c>
      <c r="B47" s="69" t="s">
        <v>653</v>
      </c>
      <c r="C47" s="69" t="s">
        <v>654</v>
      </c>
      <c r="D47" s="69">
        <v>9422110576</v>
      </c>
      <c r="E47" s="69" t="s">
        <v>655</v>
      </c>
      <c r="F47" s="69" t="s">
        <v>1974</v>
      </c>
      <c r="G47" s="26">
        <v>14</v>
      </c>
      <c r="H47" s="26">
        <v>1</v>
      </c>
      <c r="I47" s="26">
        <v>9</v>
      </c>
      <c r="J47" s="26">
        <v>50</v>
      </c>
      <c r="K47" s="26">
        <v>22</v>
      </c>
      <c r="L47" s="26">
        <v>14</v>
      </c>
      <c r="M47" s="26">
        <v>16</v>
      </c>
      <c r="N47" s="26">
        <v>13</v>
      </c>
      <c r="O47" s="26">
        <v>10</v>
      </c>
      <c r="P47" s="26">
        <v>6</v>
      </c>
      <c r="Q47" s="70">
        <v>4</v>
      </c>
      <c r="R47" s="26">
        <v>491</v>
      </c>
    </row>
    <row r="48" spans="1:18" x14ac:dyDescent="0.35">
      <c r="A48" s="69">
        <v>14210266</v>
      </c>
      <c r="B48" s="69" t="s">
        <v>656</v>
      </c>
      <c r="C48" s="69" t="s">
        <v>657</v>
      </c>
      <c r="D48" s="69">
        <v>9881713291</v>
      </c>
      <c r="E48" s="69" t="s">
        <v>658</v>
      </c>
      <c r="F48" s="69" t="s">
        <v>1974</v>
      </c>
      <c r="G48" s="26">
        <v>9</v>
      </c>
      <c r="H48" s="26">
        <v>3</v>
      </c>
      <c r="I48" s="26">
        <v>11</v>
      </c>
      <c r="J48" s="26">
        <v>27</v>
      </c>
      <c r="K48" s="26">
        <v>19</v>
      </c>
      <c r="L48" s="26">
        <v>11</v>
      </c>
      <c r="M48" s="26">
        <v>14</v>
      </c>
      <c r="N48" s="26">
        <v>8</v>
      </c>
      <c r="O48" s="26">
        <v>4</v>
      </c>
      <c r="P48" s="26">
        <v>4</v>
      </c>
      <c r="Q48" s="70">
        <v>1</v>
      </c>
      <c r="R48" s="26">
        <v>486</v>
      </c>
    </row>
    <row r="49" spans="1:18" x14ac:dyDescent="0.35">
      <c r="A49" s="69">
        <v>14210268</v>
      </c>
      <c r="B49" s="69" t="s">
        <v>659</v>
      </c>
      <c r="C49" s="69" t="s">
        <v>660</v>
      </c>
      <c r="D49" s="69">
        <v>9890253240</v>
      </c>
      <c r="E49" s="69" t="s">
        <v>661</v>
      </c>
      <c r="F49" s="69" t="s">
        <v>1974</v>
      </c>
      <c r="G49" s="26">
        <v>12</v>
      </c>
      <c r="H49" s="26"/>
      <c r="I49" s="26">
        <v>32</v>
      </c>
      <c r="J49" s="26">
        <v>46</v>
      </c>
      <c r="K49" s="26">
        <v>18</v>
      </c>
      <c r="L49" s="26"/>
      <c r="M49" s="26">
        <v>8</v>
      </c>
      <c r="N49" s="26">
        <v>4</v>
      </c>
      <c r="O49" s="26">
        <v>15</v>
      </c>
      <c r="P49" s="26">
        <v>0</v>
      </c>
      <c r="Q49" s="70">
        <v>2</v>
      </c>
      <c r="R49" s="26">
        <v>483</v>
      </c>
    </row>
    <row r="50" spans="1:18" x14ac:dyDescent="0.35">
      <c r="A50" s="69">
        <v>14210295</v>
      </c>
      <c r="B50" s="69" t="s">
        <v>662</v>
      </c>
      <c r="C50" s="69" t="s">
        <v>663</v>
      </c>
      <c r="D50" s="69">
        <v>9049482845</v>
      </c>
      <c r="E50" s="69" t="s">
        <v>664</v>
      </c>
      <c r="F50" s="69" t="s">
        <v>1974</v>
      </c>
      <c r="G50" s="26">
        <v>11</v>
      </c>
      <c r="H50" s="26"/>
      <c r="I50" s="26">
        <v>20</v>
      </c>
      <c r="J50" s="26"/>
      <c r="K50" s="26">
        <v>22</v>
      </c>
      <c r="L50" s="26"/>
      <c r="M50" s="26">
        <v>13</v>
      </c>
      <c r="N50" s="26">
        <v>9</v>
      </c>
      <c r="O50" s="26"/>
      <c r="P50" s="26">
        <v>4</v>
      </c>
      <c r="Q50" s="70">
        <v>0</v>
      </c>
      <c r="R50" s="26">
        <v>476</v>
      </c>
    </row>
    <row r="51" spans="1:18" x14ac:dyDescent="0.35">
      <c r="A51" s="69">
        <v>14210299</v>
      </c>
      <c r="B51" s="69" t="s">
        <v>665</v>
      </c>
      <c r="C51" s="69" t="s">
        <v>666</v>
      </c>
      <c r="D51" s="69">
        <v>9372910292</v>
      </c>
      <c r="E51" s="69" t="s">
        <v>667</v>
      </c>
      <c r="F51" s="69" t="s">
        <v>1974</v>
      </c>
      <c r="G51" s="26"/>
      <c r="H51" s="26">
        <v>22</v>
      </c>
      <c r="I51" s="26"/>
      <c r="J51" s="26">
        <v>38</v>
      </c>
      <c r="K51" s="26"/>
      <c r="L51" s="26">
        <v>21</v>
      </c>
      <c r="M51" s="26"/>
      <c r="N51" s="26">
        <v>16</v>
      </c>
      <c r="O51" s="26"/>
      <c r="P51" s="26">
        <v>0</v>
      </c>
      <c r="Q51" s="70">
        <v>0</v>
      </c>
      <c r="R51" s="26">
        <v>471</v>
      </c>
    </row>
    <row r="52" spans="1:18" x14ac:dyDescent="0.35">
      <c r="A52" s="69">
        <v>14210310</v>
      </c>
      <c r="B52" s="69" t="s">
        <v>668</v>
      </c>
      <c r="C52" s="69" t="s">
        <v>669</v>
      </c>
      <c r="D52" s="69">
        <v>9673072299</v>
      </c>
      <c r="E52" s="69" t="s">
        <v>670</v>
      </c>
      <c r="F52" s="69" t="s">
        <v>1974</v>
      </c>
      <c r="G52" s="26"/>
      <c r="H52" s="26"/>
      <c r="I52" s="26">
        <v>31</v>
      </c>
      <c r="J52" s="26">
        <v>26</v>
      </c>
      <c r="K52" s="26">
        <v>19</v>
      </c>
      <c r="L52" s="26">
        <v>12</v>
      </c>
      <c r="M52" s="26"/>
      <c r="N52" s="26">
        <v>8</v>
      </c>
      <c r="O52" s="26"/>
      <c r="P52" s="26">
        <v>0</v>
      </c>
      <c r="Q52" s="70">
        <v>0</v>
      </c>
      <c r="R52" s="26">
        <v>467</v>
      </c>
    </row>
    <row r="53" spans="1:18" x14ac:dyDescent="0.35">
      <c r="A53" s="69">
        <v>14210311</v>
      </c>
      <c r="B53" s="69" t="s">
        <v>671</v>
      </c>
      <c r="C53" s="69" t="s">
        <v>672</v>
      </c>
      <c r="D53" s="69">
        <v>9764229461</v>
      </c>
      <c r="E53" s="69" t="s">
        <v>673</v>
      </c>
      <c r="F53" s="69" t="s">
        <v>1974</v>
      </c>
      <c r="G53" s="26"/>
      <c r="H53" s="26">
        <v>16</v>
      </c>
      <c r="I53" s="26"/>
      <c r="J53" s="26">
        <v>76</v>
      </c>
      <c r="K53" s="26">
        <v>24</v>
      </c>
      <c r="L53" s="26">
        <v>112</v>
      </c>
      <c r="M53" s="26">
        <v>25</v>
      </c>
      <c r="N53" s="26"/>
      <c r="O53" s="26">
        <v>38</v>
      </c>
      <c r="P53" s="26">
        <v>11</v>
      </c>
      <c r="Q53" s="70">
        <v>2</v>
      </c>
      <c r="R53" s="26">
        <v>466</v>
      </c>
    </row>
    <row r="54" spans="1:18" x14ac:dyDescent="0.35">
      <c r="A54" s="69">
        <v>14210312</v>
      </c>
      <c r="B54" s="69" t="s">
        <v>674</v>
      </c>
      <c r="C54" s="69" t="s">
        <v>675</v>
      </c>
      <c r="D54" s="69">
        <v>9822560224</v>
      </c>
      <c r="E54" s="69" t="s">
        <v>676</v>
      </c>
      <c r="F54" s="69" t="s">
        <v>1974</v>
      </c>
      <c r="G54" s="26">
        <v>59</v>
      </c>
      <c r="H54" s="26">
        <v>21</v>
      </c>
      <c r="I54" s="26">
        <v>51</v>
      </c>
      <c r="J54" s="26">
        <v>157</v>
      </c>
      <c r="K54" s="26">
        <v>58</v>
      </c>
      <c r="L54" s="26">
        <v>19</v>
      </c>
      <c r="M54" s="26">
        <v>39</v>
      </c>
      <c r="N54" s="26">
        <v>25</v>
      </c>
      <c r="O54" s="26">
        <v>19</v>
      </c>
      <c r="P54" s="26">
        <v>33</v>
      </c>
      <c r="Q54" s="70">
        <v>10</v>
      </c>
      <c r="R54" s="26">
        <v>457</v>
      </c>
    </row>
    <row r="55" spans="1:18" x14ac:dyDescent="0.35">
      <c r="A55" s="69">
        <v>14210321</v>
      </c>
      <c r="B55" s="69" t="s">
        <v>677</v>
      </c>
      <c r="C55" s="69" t="s">
        <v>678</v>
      </c>
      <c r="D55" s="69">
        <v>9011661081</v>
      </c>
      <c r="E55" s="69" t="s">
        <v>679</v>
      </c>
      <c r="F55" s="69" t="s">
        <v>1974</v>
      </c>
      <c r="G55" s="26"/>
      <c r="H55" s="26">
        <v>26</v>
      </c>
      <c r="I55" s="26">
        <v>6</v>
      </c>
      <c r="J55" s="26"/>
      <c r="K55" s="26">
        <v>18</v>
      </c>
      <c r="L55" s="26">
        <v>6</v>
      </c>
      <c r="M55" s="26"/>
      <c r="N55" s="26">
        <v>11</v>
      </c>
      <c r="O55" s="26"/>
      <c r="P55" s="26">
        <v>4</v>
      </c>
      <c r="Q55" s="70">
        <v>0</v>
      </c>
      <c r="R55" s="26">
        <v>448</v>
      </c>
    </row>
    <row r="56" spans="1:18" x14ac:dyDescent="0.35">
      <c r="A56" s="69">
        <v>14210322</v>
      </c>
      <c r="B56" s="69" t="s">
        <v>680</v>
      </c>
      <c r="C56" s="69" t="s">
        <v>681</v>
      </c>
      <c r="D56" s="69">
        <v>9373668881</v>
      </c>
      <c r="E56" s="69" t="s">
        <v>682</v>
      </c>
      <c r="F56" s="69" t="s">
        <v>1974</v>
      </c>
      <c r="G56" s="26">
        <v>24</v>
      </c>
      <c r="H56" s="26">
        <v>9</v>
      </c>
      <c r="I56" s="26">
        <v>31</v>
      </c>
      <c r="J56" s="26">
        <v>29</v>
      </c>
      <c r="K56" s="26">
        <v>29</v>
      </c>
      <c r="L56" s="26">
        <v>19</v>
      </c>
      <c r="M56" s="26">
        <v>19</v>
      </c>
      <c r="N56" s="26">
        <v>3</v>
      </c>
      <c r="O56" s="26">
        <v>12</v>
      </c>
      <c r="P56" s="26">
        <v>8</v>
      </c>
      <c r="Q56" s="70">
        <v>0</v>
      </c>
      <c r="R56" s="26">
        <v>446</v>
      </c>
    </row>
    <row r="57" spans="1:18" x14ac:dyDescent="0.35">
      <c r="A57" s="69">
        <v>14210360</v>
      </c>
      <c r="B57" s="69" t="s">
        <v>683</v>
      </c>
      <c r="C57" s="69" t="s">
        <v>684</v>
      </c>
      <c r="D57" s="69">
        <v>9049324241</v>
      </c>
      <c r="E57" s="69" t="s">
        <v>685</v>
      </c>
      <c r="F57" s="69" t="s">
        <v>1974</v>
      </c>
      <c r="G57" s="26">
        <v>2</v>
      </c>
      <c r="H57" s="26"/>
      <c r="I57" s="26">
        <v>26</v>
      </c>
      <c r="J57" s="26">
        <v>62</v>
      </c>
      <c r="K57" s="26">
        <v>27</v>
      </c>
      <c r="L57" s="26">
        <v>11</v>
      </c>
      <c r="M57" s="26">
        <v>2</v>
      </c>
      <c r="N57" s="26">
        <v>14</v>
      </c>
      <c r="O57" s="26">
        <v>14</v>
      </c>
      <c r="P57" s="26">
        <v>8</v>
      </c>
      <c r="Q57" s="70">
        <v>5</v>
      </c>
      <c r="R57" s="26">
        <v>446</v>
      </c>
    </row>
    <row r="58" spans="1:18" x14ac:dyDescent="0.35">
      <c r="A58" s="69">
        <v>14210381</v>
      </c>
      <c r="B58" s="69" t="s">
        <v>686</v>
      </c>
      <c r="C58" s="69" t="s">
        <v>687</v>
      </c>
      <c r="D58" s="69">
        <v>9423631398</v>
      </c>
      <c r="E58" s="69" t="s">
        <v>688</v>
      </c>
      <c r="F58" s="69" t="s">
        <v>1974</v>
      </c>
      <c r="G58" s="26"/>
      <c r="H58" s="26"/>
      <c r="I58" s="26">
        <v>5</v>
      </c>
      <c r="J58" s="26"/>
      <c r="K58" s="26"/>
      <c r="L58" s="26">
        <v>4</v>
      </c>
      <c r="M58" s="26">
        <v>0</v>
      </c>
      <c r="N58" s="26">
        <v>1</v>
      </c>
      <c r="O58" s="26"/>
      <c r="P58" s="26">
        <v>30</v>
      </c>
      <c r="Q58" s="70">
        <v>0</v>
      </c>
      <c r="R58" s="26">
        <v>445</v>
      </c>
    </row>
    <row r="59" spans="1:18" x14ac:dyDescent="0.35">
      <c r="A59" s="69">
        <v>14210401</v>
      </c>
      <c r="B59" s="69" t="s">
        <v>689</v>
      </c>
      <c r="C59" s="69" t="s">
        <v>690</v>
      </c>
      <c r="D59" s="69">
        <v>9970541164</v>
      </c>
      <c r="E59" s="69" t="s">
        <v>691</v>
      </c>
      <c r="F59" s="69" t="s">
        <v>1974</v>
      </c>
      <c r="G59" s="26">
        <v>14</v>
      </c>
      <c r="H59" s="26"/>
      <c r="I59" s="26">
        <v>11</v>
      </c>
      <c r="J59" s="26">
        <v>31</v>
      </c>
      <c r="K59" s="26">
        <v>40</v>
      </c>
      <c r="L59" s="26">
        <v>12</v>
      </c>
      <c r="M59" s="26">
        <v>11</v>
      </c>
      <c r="N59" s="26">
        <v>16</v>
      </c>
      <c r="O59" s="26">
        <v>13</v>
      </c>
      <c r="P59" s="26">
        <v>17</v>
      </c>
      <c r="Q59" s="70">
        <v>2</v>
      </c>
      <c r="R59" s="26">
        <v>444</v>
      </c>
    </row>
    <row r="60" spans="1:18" x14ac:dyDescent="0.35">
      <c r="A60" s="69">
        <v>14210402</v>
      </c>
      <c r="B60" s="69" t="s">
        <v>692</v>
      </c>
      <c r="C60" s="69" t="s">
        <v>693</v>
      </c>
      <c r="D60" s="69">
        <v>9422818625</v>
      </c>
      <c r="E60" s="69" t="s">
        <v>694</v>
      </c>
      <c r="F60" s="69" t="s">
        <v>1974</v>
      </c>
      <c r="G60" s="26"/>
      <c r="H60" s="26"/>
      <c r="I60" s="26">
        <v>20</v>
      </c>
      <c r="J60" s="26">
        <v>15</v>
      </c>
      <c r="K60" s="26">
        <v>12</v>
      </c>
      <c r="L60" s="26">
        <v>16</v>
      </c>
      <c r="M60" s="26">
        <v>4</v>
      </c>
      <c r="N60" s="26"/>
      <c r="O60" s="26">
        <v>7</v>
      </c>
      <c r="P60" s="26">
        <v>3</v>
      </c>
      <c r="Q60" s="70">
        <v>4</v>
      </c>
      <c r="R60" s="26">
        <v>443</v>
      </c>
    </row>
    <row r="61" spans="1:18" x14ac:dyDescent="0.35">
      <c r="A61" s="69">
        <v>14210403</v>
      </c>
      <c r="B61" s="69" t="s">
        <v>695</v>
      </c>
      <c r="C61" s="69" t="s">
        <v>696</v>
      </c>
      <c r="D61" s="69">
        <v>9890582266</v>
      </c>
      <c r="E61" s="69" t="s">
        <v>697</v>
      </c>
      <c r="F61" s="69" t="s">
        <v>1974</v>
      </c>
      <c r="G61" s="26">
        <v>13</v>
      </c>
      <c r="H61" s="26"/>
      <c r="I61" s="26"/>
      <c r="J61" s="26">
        <v>88</v>
      </c>
      <c r="K61" s="26">
        <v>15</v>
      </c>
      <c r="L61" s="26">
        <v>19</v>
      </c>
      <c r="M61" s="26">
        <v>22</v>
      </c>
      <c r="N61" s="26">
        <v>8</v>
      </c>
      <c r="O61" s="26">
        <v>17</v>
      </c>
      <c r="P61" s="26">
        <v>0</v>
      </c>
      <c r="Q61" s="70">
        <v>8</v>
      </c>
      <c r="R61" s="26">
        <v>443</v>
      </c>
    </row>
    <row r="62" spans="1:18" x14ac:dyDescent="0.35">
      <c r="A62" s="69">
        <v>14210404</v>
      </c>
      <c r="B62" s="69" t="s">
        <v>698</v>
      </c>
      <c r="C62" s="69" t="s">
        <v>699</v>
      </c>
      <c r="D62" s="69">
        <v>9923858743</v>
      </c>
      <c r="E62" s="69" t="s">
        <v>700</v>
      </c>
      <c r="F62" s="69" t="s">
        <v>1974</v>
      </c>
      <c r="G62" s="26"/>
      <c r="H62" s="26">
        <v>17</v>
      </c>
      <c r="I62" s="26"/>
      <c r="J62" s="26">
        <v>19</v>
      </c>
      <c r="K62" s="26">
        <v>9</v>
      </c>
      <c r="L62" s="26"/>
      <c r="M62" s="26">
        <v>0</v>
      </c>
      <c r="N62" s="26">
        <v>7</v>
      </c>
      <c r="O62" s="26">
        <v>3</v>
      </c>
      <c r="P62" s="26">
        <v>4</v>
      </c>
      <c r="Q62" s="70">
        <v>0</v>
      </c>
      <c r="R62" s="26">
        <v>441</v>
      </c>
    </row>
    <row r="63" spans="1:18" x14ac:dyDescent="0.35">
      <c r="A63" s="69">
        <v>14210405</v>
      </c>
      <c r="B63" s="69" t="s">
        <v>701</v>
      </c>
      <c r="C63" s="69" t="s">
        <v>702</v>
      </c>
      <c r="D63" s="69">
        <v>8975294640</v>
      </c>
      <c r="E63" s="69" t="s">
        <v>703</v>
      </c>
      <c r="F63" s="69" t="s">
        <v>1974</v>
      </c>
      <c r="G63" s="26">
        <v>10</v>
      </c>
      <c r="H63" s="26"/>
      <c r="I63" s="26"/>
      <c r="J63" s="26"/>
      <c r="K63" s="26"/>
      <c r="L63" s="26">
        <v>0</v>
      </c>
      <c r="M63" s="26"/>
      <c r="N63" s="26">
        <v>0</v>
      </c>
      <c r="O63" s="26">
        <v>0</v>
      </c>
      <c r="P63" s="26">
        <v>0</v>
      </c>
      <c r="Q63" s="70">
        <v>0</v>
      </c>
      <c r="R63" s="26">
        <v>433</v>
      </c>
    </row>
    <row r="64" spans="1:18" x14ac:dyDescent="0.35">
      <c r="A64" s="69">
        <v>14210409</v>
      </c>
      <c r="B64" s="69" t="s">
        <v>704</v>
      </c>
      <c r="C64" s="69" t="s">
        <v>705</v>
      </c>
      <c r="D64" s="69">
        <v>9373013830</v>
      </c>
      <c r="E64" s="69" t="s">
        <v>706</v>
      </c>
      <c r="F64" s="69" t="s">
        <v>1974</v>
      </c>
      <c r="G64" s="26">
        <v>34</v>
      </c>
      <c r="H64" s="26">
        <v>2</v>
      </c>
      <c r="I64" s="26">
        <v>2</v>
      </c>
      <c r="J64" s="26">
        <v>7</v>
      </c>
      <c r="K64" s="26">
        <v>5</v>
      </c>
      <c r="L64" s="26">
        <v>5</v>
      </c>
      <c r="M64" s="26">
        <v>1</v>
      </c>
      <c r="N64" s="26"/>
      <c r="O64" s="26">
        <v>3</v>
      </c>
      <c r="P64" s="26">
        <v>2</v>
      </c>
      <c r="Q64" s="70">
        <v>0</v>
      </c>
      <c r="R64" s="26">
        <v>432</v>
      </c>
    </row>
    <row r="65" spans="1:18" x14ac:dyDescent="0.35">
      <c r="A65" s="69">
        <v>14210411</v>
      </c>
      <c r="B65" s="69" t="s">
        <v>707</v>
      </c>
      <c r="C65" s="69" t="s">
        <v>708</v>
      </c>
      <c r="D65" s="69">
        <v>9923458847</v>
      </c>
      <c r="E65" s="69" t="s">
        <v>709</v>
      </c>
      <c r="F65" s="69" t="s">
        <v>1974</v>
      </c>
      <c r="G65" s="26">
        <v>4</v>
      </c>
      <c r="H65" s="26">
        <v>1</v>
      </c>
      <c r="I65" s="26"/>
      <c r="J65" s="26">
        <v>10</v>
      </c>
      <c r="K65" s="26">
        <v>4</v>
      </c>
      <c r="L65" s="26">
        <v>4</v>
      </c>
      <c r="M65" s="26">
        <v>2</v>
      </c>
      <c r="N65" s="26">
        <v>3</v>
      </c>
      <c r="O65" s="26">
        <v>6</v>
      </c>
      <c r="P65" s="26">
        <v>6</v>
      </c>
      <c r="Q65" s="70">
        <v>0</v>
      </c>
      <c r="R65" s="26">
        <v>430</v>
      </c>
    </row>
    <row r="66" spans="1:18" x14ac:dyDescent="0.35">
      <c r="A66" s="69">
        <v>14210420</v>
      </c>
      <c r="B66" s="69" t="s">
        <v>710</v>
      </c>
      <c r="C66" s="69" t="s">
        <v>711</v>
      </c>
      <c r="D66" s="69">
        <v>9527758639</v>
      </c>
      <c r="E66" s="69" t="s">
        <v>712</v>
      </c>
      <c r="F66" s="69" t="s">
        <v>1974</v>
      </c>
      <c r="G66" s="26">
        <v>64</v>
      </c>
      <c r="H66" s="26">
        <v>23</v>
      </c>
      <c r="I66" s="26">
        <v>50</v>
      </c>
      <c r="J66" s="26">
        <v>57</v>
      </c>
      <c r="K66" s="26">
        <v>1</v>
      </c>
      <c r="L66" s="26">
        <v>20</v>
      </c>
      <c r="M66" s="26">
        <v>62</v>
      </c>
      <c r="N66" s="26">
        <v>20</v>
      </c>
      <c r="O66" s="26">
        <v>11</v>
      </c>
      <c r="P66" s="26">
        <v>22</v>
      </c>
      <c r="Q66" s="70">
        <v>39</v>
      </c>
      <c r="R66" s="26">
        <v>430</v>
      </c>
    </row>
    <row r="67" spans="1:18" x14ac:dyDescent="0.35">
      <c r="A67" s="69">
        <v>14210421</v>
      </c>
      <c r="B67" s="69" t="s">
        <v>713</v>
      </c>
      <c r="C67" s="69" t="s">
        <v>714</v>
      </c>
      <c r="D67" s="69">
        <v>9730645003</v>
      </c>
      <c r="E67" s="69" t="s">
        <v>715</v>
      </c>
      <c r="F67" s="69" t="s">
        <v>1974</v>
      </c>
      <c r="G67" s="26">
        <v>25</v>
      </c>
      <c r="H67" s="26"/>
      <c r="I67" s="26"/>
      <c r="J67" s="26">
        <v>33</v>
      </c>
      <c r="K67" s="26">
        <v>15</v>
      </c>
      <c r="L67" s="26">
        <v>38</v>
      </c>
      <c r="M67" s="26">
        <v>15</v>
      </c>
      <c r="N67" s="26">
        <v>8</v>
      </c>
      <c r="O67" s="26">
        <v>14</v>
      </c>
      <c r="P67" s="26">
        <v>18</v>
      </c>
      <c r="Q67" s="70">
        <v>27</v>
      </c>
      <c r="R67" s="26">
        <v>430</v>
      </c>
    </row>
    <row r="68" spans="1:18" x14ac:dyDescent="0.35">
      <c r="A68" s="69">
        <v>14210471</v>
      </c>
      <c r="B68" s="69" t="s">
        <v>716</v>
      </c>
      <c r="C68" s="69" t="s">
        <v>717</v>
      </c>
      <c r="D68" s="69">
        <v>9325081652</v>
      </c>
      <c r="E68" s="69" t="s">
        <v>718</v>
      </c>
      <c r="F68" s="69" t="s">
        <v>1974</v>
      </c>
      <c r="G68" s="26">
        <v>9</v>
      </c>
      <c r="H68" s="26"/>
      <c r="I68" s="26">
        <v>21</v>
      </c>
      <c r="J68" s="26">
        <v>40</v>
      </c>
      <c r="K68" s="26">
        <v>30</v>
      </c>
      <c r="L68" s="26">
        <v>14</v>
      </c>
      <c r="M68" s="26">
        <v>23</v>
      </c>
      <c r="N68" s="26">
        <v>33</v>
      </c>
      <c r="O68" s="26">
        <v>14</v>
      </c>
      <c r="P68" s="26">
        <v>21</v>
      </c>
      <c r="Q68" s="70">
        <v>72</v>
      </c>
      <c r="R68" s="26">
        <v>428</v>
      </c>
    </row>
    <row r="69" spans="1:18" x14ac:dyDescent="0.35">
      <c r="A69" s="69">
        <v>14210477</v>
      </c>
      <c r="B69" s="69" t="s">
        <v>719</v>
      </c>
      <c r="C69" s="69" t="s">
        <v>720</v>
      </c>
      <c r="D69" s="69">
        <v>9765776618</v>
      </c>
      <c r="E69" s="69" t="s">
        <v>721</v>
      </c>
      <c r="F69" s="69" t="s">
        <v>1974</v>
      </c>
      <c r="G69" s="26"/>
      <c r="H69" s="26"/>
      <c r="I69" s="26">
        <v>6</v>
      </c>
      <c r="J69" s="26"/>
      <c r="K69" s="26">
        <v>12</v>
      </c>
      <c r="L69" s="26"/>
      <c r="M69" s="26">
        <v>7</v>
      </c>
      <c r="N69" s="26">
        <v>4</v>
      </c>
      <c r="O69" s="26">
        <v>6</v>
      </c>
      <c r="P69" s="26">
        <v>6</v>
      </c>
      <c r="Q69" s="70">
        <v>0</v>
      </c>
      <c r="R69" s="26">
        <v>423</v>
      </c>
    </row>
    <row r="70" spans="1:18" x14ac:dyDescent="0.35">
      <c r="A70" s="69">
        <v>14210478</v>
      </c>
      <c r="B70" s="69" t="s">
        <v>722</v>
      </c>
      <c r="C70" s="69" t="s">
        <v>723</v>
      </c>
      <c r="D70" s="69">
        <v>9423631398</v>
      </c>
      <c r="E70" s="69" t="s">
        <v>688</v>
      </c>
      <c r="F70" s="69" t="s">
        <v>1974</v>
      </c>
      <c r="G70" s="26"/>
      <c r="H70" s="26"/>
      <c r="I70" s="26">
        <v>80</v>
      </c>
      <c r="J70" s="26"/>
      <c r="K70" s="26"/>
      <c r="L70" s="26">
        <v>62</v>
      </c>
      <c r="M70" s="26">
        <v>0</v>
      </c>
      <c r="N70" s="26">
        <v>9</v>
      </c>
      <c r="O70" s="26"/>
      <c r="P70" s="26">
        <v>1</v>
      </c>
      <c r="Q70" s="70">
        <v>0</v>
      </c>
      <c r="R70" s="26">
        <v>420</v>
      </c>
    </row>
    <row r="71" spans="1:18" x14ac:dyDescent="0.35">
      <c r="A71" s="69">
        <v>14210479</v>
      </c>
      <c r="B71" s="69" t="s">
        <v>724</v>
      </c>
      <c r="C71" s="69" t="s">
        <v>725</v>
      </c>
      <c r="D71" s="69">
        <v>9766007086</v>
      </c>
      <c r="E71" s="69" t="s">
        <v>726</v>
      </c>
      <c r="F71" s="69" t="s">
        <v>1974</v>
      </c>
      <c r="G71" s="26">
        <v>19</v>
      </c>
      <c r="H71" s="26"/>
      <c r="I71" s="26"/>
      <c r="J71" s="26">
        <v>65</v>
      </c>
      <c r="K71" s="26">
        <v>22</v>
      </c>
      <c r="L71" s="26"/>
      <c r="M71" s="26">
        <v>18</v>
      </c>
      <c r="N71" s="26"/>
      <c r="O71" s="26">
        <v>18</v>
      </c>
      <c r="P71" s="26">
        <v>11</v>
      </c>
      <c r="Q71" s="70">
        <v>3</v>
      </c>
      <c r="R71" s="26">
        <v>418</v>
      </c>
    </row>
    <row r="72" spans="1:18" x14ac:dyDescent="0.35">
      <c r="A72" s="69">
        <v>14210485</v>
      </c>
      <c r="B72" s="69" t="s">
        <v>727</v>
      </c>
      <c r="C72" s="69" t="s">
        <v>728</v>
      </c>
      <c r="D72" s="69">
        <v>9764042559</v>
      </c>
      <c r="E72" s="69" t="s">
        <v>729</v>
      </c>
      <c r="F72" s="69" t="s">
        <v>1974</v>
      </c>
      <c r="G72" s="26"/>
      <c r="H72" s="26">
        <v>33</v>
      </c>
      <c r="I72" s="26">
        <v>50</v>
      </c>
      <c r="J72" s="26"/>
      <c r="K72" s="26">
        <v>20</v>
      </c>
      <c r="L72" s="26"/>
      <c r="M72" s="26">
        <v>20</v>
      </c>
      <c r="N72" s="26"/>
      <c r="O72" s="26">
        <v>20</v>
      </c>
      <c r="P72" s="26">
        <v>0</v>
      </c>
      <c r="Q72" s="70">
        <v>23</v>
      </c>
      <c r="R72" s="26">
        <v>413</v>
      </c>
    </row>
    <row r="73" spans="1:18" x14ac:dyDescent="0.35">
      <c r="A73" s="69">
        <v>14210487</v>
      </c>
      <c r="B73" s="69" t="s">
        <v>730</v>
      </c>
      <c r="C73" s="69" t="s">
        <v>731</v>
      </c>
      <c r="D73" s="69">
        <v>9766754687</v>
      </c>
      <c r="E73" s="69" t="s">
        <v>732</v>
      </c>
      <c r="F73" s="69" t="s">
        <v>1974</v>
      </c>
      <c r="G73" s="26"/>
      <c r="H73" s="26">
        <v>9</v>
      </c>
      <c r="I73" s="26"/>
      <c r="J73" s="26">
        <v>18</v>
      </c>
      <c r="K73" s="26">
        <v>5</v>
      </c>
      <c r="L73" s="26">
        <v>8</v>
      </c>
      <c r="M73" s="26">
        <v>1</v>
      </c>
      <c r="N73" s="26">
        <v>5</v>
      </c>
      <c r="O73" s="26">
        <v>10</v>
      </c>
      <c r="P73" s="26">
        <v>8</v>
      </c>
      <c r="Q73" s="70">
        <v>7</v>
      </c>
      <c r="R73" s="26">
        <v>413</v>
      </c>
    </row>
    <row r="74" spans="1:18" x14ac:dyDescent="0.35">
      <c r="A74" s="69">
        <v>14210496</v>
      </c>
      <c r="B74" s="69" t="s">
        <v>733</v>
      </c>
      <c r="C74" s="69" t="s">
        <v>734</v>
      </c>
      <c r="D74" s="69">
        <v>8087187102</v>
      </c>
      <c r="E74" s="69" t="s">
        <v>735</v>
      </c>
      <c r="F74" s="69" t="s">
        <v>1974</v>
      </c>
      <c r="G74" s="26"/>
      <c r="H74" s="26">
        <v>1</v>
      </c>
      <c r="I74" s="26"/>
      <c r="J74" s="26">
        <v>10</v>
      </c>
      <c r="K74" s="26">
        <v>3</v>
      </c>
      <c r="L74" s="26">
        <v>5</v>
      </c>
      <c r="M74" s="26">
        <v>2</v>
      </c>
      <c r="N74" s="26"/>
      <c r="O74" s="26">
        <v>1</v>
      </c>
      <c r="P74" s="26">
        <v>7</v>
      </c>
      <c r="Q74" s="70">
        <v>4</v>
      </c>
      <c r="R74" s="26">
        <v>410</v>
      </c>
    </row>
    <row r="75" spans="1:18" x14ac:dyDescent="0.35">
      <c r="A75" s="69">
        <v>15210005</v>
      </c>
      <c r="B75" s="69" t="s">
        <v>736</v>
      </c>
      <c r="C75" s="69" t="s">
        <v>737</v>
      </c>
      <c r="D75" s="69">
        <v>9420034749</v>
      </c>
      <c r="E75" s="69" t="s">
        <v>738</v>
      </c>
      <c r="F75" s="69" t="s">
        <v>1974</v>
      </c>
      <c r="G75" s="26"/>
      <c r="H75" s="26"/>
      <c r="I75" s="26">
        <v>6</v>
      </c>
      <c r="J75" s="26">
        <v>11</v>
      </c>
      <c r="K75" s="26"/>
      <c r="L75" s="26"/>
      <c r="M75" s="26">
        <v>9</v>
      </c>
      <c r="N75" s="26"/>
      <c r="O75" s="26">
        <v>10</v>
      </c>
      <c r="P75" s="26">
        <v>5</v>
      </c>
      <c r="Q75" s="70">
        <v>0</v>
      </c>
      <c r="R75" s="26">
        <v>406</v>
      </c>
    </row>
    <row r="76" spans="1:18" x14ac:dyDescent="0.35">
      <c r="A76" s="69">
        <v>15210008</v>
      </c>
      <c r="B76" s="69" t="s">
        <v>740</v>
      </c>
      <c r="C76" s="69" t="s">
        <v>741</v>
      </c>
      <c r="D76" s="69">
        <v>9860806480</v>
      </c>
      <c r="E76" s="69" t="s">
        <v>742</v>
      </c>
      <c r="F76" s="69" t="s">
        <v>1974</v>
      </c>
      <c r="G76" s="26"/>
      <c r="H76" s="26">
        <v>52</v>
      </c>
      <c r="I76" s="26"/>
      <c r="J76" s="26">
        <v>52</v>
      </c>
      <c r="K76" s="26">
        <v>20</v>
      </c>
      <c r="L76" s="26"/>
      <c r="M76" s="26">
        <v>20</v>
      </c>
      <c r="N76" s="26">
        <v>13</v>
      </c>
      <c r="O76" s="26">
        <v>11</v>
      </c>
      <c r="P76" s="26">
        <v>15</v>
      </c>
      <c r="Q76" s="70">
        <v>5</v>
      </c>
      <c r="R76" s="26">
        <v>406</v>
      </c>
    </row>
    <row r="77" spans="1:18" x14ac:dyDescent="0.35">
      <c r="A77" s="69">
        <v>15210049</v>
      </c>
      <c r="B77" s="69" t="s">
        <v>736</v>
      </c>
      <c r="C77" s="69" t="s">
        <v>743</v>
      </c>
      <c r="D77" s="69">
        <v>9420815577</v>
      </c>
      <c r="E77" s="69" t="s">
        <v>744</v>
      </c>
      <c r="F77" s="69" t="s">
        <v>1974</v>
      </c>
      <c r="G77" s="26">
        <v>34</v>
      </c>
      <c r="H77" s="26">
        <v>20</v>
      </c>
      <c r="I77" s="26"/>
      <c r="J77" s="26">
        <v>70</v>
      </c>
      <c r="K77" s="26"/>
      <c r="L77" s="26">
        <v>19</v>
      </c>
      <c r="M77" s="26">
        <v>5</v>
      </c>
      <c r="N77" s="26">
        <v>15</v>
      </c>
      <c r="O77" s="26">
        <v>15</v>
      </c>
      <c r="P77" s="26">
        <v>23</v>
      </c>
      <c r="Q77" s="70">
        <v>6</v>
      </c>
      <c r="R77" s="26">
        <v>405</v>
      </c>
    </row>
    <row r="78" spans="1:18" x14ac:dyDescent="0.35">
      <c r="A78" s="69">
        <v>15210051</v>
      </c>
      <c r="B78" s="69" t="s">
        <v>745</v>
      </c>
      <c r="C78" s="69" t="s">
        <v>746</v>
      </c>
      <c r="D78" s="69">
        <v>9422945000</v>
      </c>
      <c r="E78" s="69" t="s">
        <v>747</v>
      </c>
      <c r="F78" s="69" t="s">
        <v>1974</v>
      </c>
      <c r="G78" s="26">
        <v>21</v>
      </c>
      <c r="H78" s="26"/>
      <c r="I78" s="26"/>
      <c r="J78" s="26">
        <v>99</v>
      </c>
      <c r="K78" s="26"/>
      <c r="L78" s="26">
        <v>10</v>
      </c>
      <c r="M78" s="26">
        <v>6</v>
      </c>
      <c r="N78" s="26">
        <v>9</v>
      </c>
      <c r="O78" s="26"/>
      <c r="P78" s="26">
        <v>15</v>
      </c>
      <c r="Q78" s="70">
        <v>0</v>
      </c>
      <c r="R78" s="26">
        <v>401</v>
      </c>
    </row>
    <row r="79" spans="1:18" x14ac:dyDescent="0.35">
      <c r="A79" s="69">
        <v>15210087</v>
      </c>
      <c r="B79" s="69" t="s">
        <v>748</v>
      </c>
      <c r="C79" s="69" t="s">
        <v>749</v>
      </c>
      <c r="D79" s="69">
        <v>9860806480</v>
      </c>
      <c r="E79" s="69" t="s">
        <v>750</v>
      </c>
      <c r="F79" s="69" t="s">
        <v>1974</v>
      </c>
      <c r="G79" s="26"/>
      <c r="H79" s="26">
        <v>7</v>
      </c>
      <c r="I79" s="26"/>
      <c r="J79" s="26">
        <v>51</v>
      </c>
      <c r="K79" s="26">
        <v>4</v>
      </c>
      <c r="L79" s="26"/>
      <c r="M79" s="26">
        <v>4</v>
      </c>
      <c r="N79" s="26">
        <v>11</v>
      </c>
      <c r="O79" s="26">
        <v>0</v>
      </c>
      <c r="P79" s="26">
        <v>15</v>
      </c>
      <c r="Q79" s="70">
        <v>3</v>
      </c>
      <c r="R79" s="26">
        <v>397</v>
      </c>
    </row>
    <row r="80" spans="1:18" x14ac:dyDescent="0.35">
      <c r="A80" s="69">
        <v>15210091</v>
      </c>
      <c r="B80" s="69" t="s">
        <v>736</v>
      </c>
      <c r="C80" s="69" t="s">
        <v>751</v>
      </c>
      <c r="D80" s="69">
        <v>9890984899</v>
      </c>
      <c r="E80" s="69" t="s">
        <v>752</v>
      </c>
      <c r="F80" s="69" t="s">
        <v>1974</v>
      </c>
      <c r="G80" s="26">
        <v>30</v>
      </c>
      <c r="H80" s="26">
        <v>14</v>
      </c>
      <c r="I80" s="26">
        <v>33</v>
      </c>
      <c r="J80" s="26">
        <v>57</v>
      </c>
      <c r="K80" s="26">
        <v>17</v>
      </c>
      <c r="L80" s="26"/>
      <c r="M80" s="26"/>
      <c r="N80" s="26">
        <v>0</v>
      </c>
      <c r="O80" s="26">
        <v>1</v>
      </c>
      <c r="P80" s="26">
        <v>29</v>
      </c>
      <c r="Q80" s="70">
        <v>4</v>
      </c>
      <c r="R80" s="26">
        <v>395</v>
      </c>
    </row>
    <row r="81" spans="1:18" x14ac:dyDescent="0.35">
      <c r="A81" s="69">
        <v>15210101</v>
      </c>
      <c r="B81" s="69" t="s">
        <v>753</v>
      </c>
      <c r="C81" s="69" t="s">
        <v>754</v>
      </c>
      <c r="D81" s="69">
        <v>9921952488</v>
      </c>
      <c r="E81" s="69" t="s">
        <v>755</v>
      </c>
      <c r="F81" s="69" t="s">
        <v>768</v>
      </c>
      <c r="G81" s="26">
        <v>21</v>
      </c>
      <c r="H81" s="26">
        <v>3</v>
      </c>
      <c r="I81" s="26"/>
      <c r="J81" s="26">
        <v>30</v>
      </c>
      <c r="K81" s="26">
        <v>1</v>
      </c>
      <c r="L81" s="26"/>
      <c r="M81" s="26"/>
      <c r="N81" s="26">
        <v>3</v>
      </c>
      <c r="O81" s="26">
        <v>1</v>
      </c>
      <c r="P81" s="26">
        <v>1</v>
      </c>
      <c r="Q81" s="70">
        <v>1</v>
      </c>
      <c r="R81" s="26">
        <v>394</v>
      </c>
    </row>
    <row r="82" spans="1:18" x14ac:dyDescent="0.35">
      <c r="A82" s="69">
        <v>15210144</v>
      </c>
      <c r="B82" s="69" t="s">
        <v>756</v>
      </c>
      <c r="C82" s="69" t="s">
        <v>757</v>
      </c>
      <c r="D82" s="69">
        <v>9970874230</v>
      </c>
      <c r="E82" s="69" t="s">
        <v>758</v>
      </c>
      <c r="F82" s="69" t="s">
        <v>768</v>
      </c>
      <c r="G82" s="26">
        <v>11</v>
      </c>
      <c r="H82" s="26"/>
      <c r="I82" s="26"/>
      <c r="J82" s="26">
        <v>29</v>
      </c>
      <c r="K82" s="26">
        <v>1</v>
      </c>
      <c r="L82" s="26"/>
      <c r="M82" s="26">
        <v>6</v>
      </c>
      <c r="N82" s="26"/>
      <c r="O82" s="26"/>
      <c r="P82" s="26">
        <v>0</v>
      </c>
      <c r="Q82" s="70">
        <v>0</v>
      </c>
      <c r="R82" s="26">
        <v>391</v>
      </c>
    </row>
    <row r="83" spans="1:18" x14ac:dyDescent="0.35">
      <c r="A83" s="69">
        <v>15210145</v>
      </c>
      <c r="B83" s="69" t="s">
        <v>759</v>
      </c>
      <c r="C83" s="69" t="s">
        <v>760</v>
      </c>
      <c r="D83" s="69">
        <v>8605906052</v>
      </c>
      <c r="E83" s="69" t="s">
        <v>761</v>
      </c>
      <c r="F83" s="69" t="s">
        <v>768</v>
      </c>
      <c r="G83" s="26">
        <v>11</v>
      </c>
      <c r="H83" s="26"/>
      <c r="I83" s="26">
        <v>24</v>
      </c>
      <c r="J83" s="26">
        <v>42</v>
      </c>
      <c r="K83" s="26"/>
      <c r="L83" s="26"/>
      <c r="M83" s="26"/>
      <c r="N83" s="26">
        <v>10</v>
      </c>
      <c r="O83" s="26">
        <v>0</v>
      </c>
      <c r="P83" s="26">
        <v>0</v>
      </c>
      <c r="Q83" s="70">
        <v>4</v>
      </c>
      <c r="R83" s="26">
        <v>383</v>
      </c>
    </row>
    <row r="84" spans="1:18" x14ac:dyDescent="0.35">
      <c r="A84" s="69">
        <v>15210146</v>
      </c>
      <c r="B84" s="69" t="s">
        <v>762</v>
      </c>
      <c r="C84" s="69" t="s">
        <v>763</v>
      </c>
      <c r="D84" s="69">
        <v>9881927158</v>
      </c>
      <c r="E84" s="69" t="s">
        <v>764</v>
      </c>
      <c r="F84" s="69" t="s">
        <v>768</v>
      </c>
      <c r="G84" s="26"/>
      <c r="H84" s="26">
        <v>3</v>
      </c>
      <c r="I84" s="26">
        <v>7</v>
      </c>
      <c r="J84" s="26">
        <v>10</v>
      </c>
      <c r="K84" s="26">
        <v>5</v>
      </c>
      <c r="L84" s="26">
        <v>4</v>
      </c>
      <c r="M84" s="26">
        <v>15</v>
      </c>
      <c r="N84" s="26">
        <v>3</v>
      </c>
      <c r="O84" s="26">
        <v>4</v>
      </c>
      <c r="P84" s="26">
        <v>1</v>
      </c>
      <c r="Q84" s="70">
        <v>0</v>
      </c>
      <c r="R84" s="26">
        <v>382</v>
      </c>
    </row>
    <row r="85" spans="1:18" x14ac:dyDescent="0.35">
      <c r="A85" s="69">
        <v>16210002</v>
      </c>
      <c r="B85" s="69" t="s">
        <v>765</v>
      </c>
      <c r="C85" s="69" t="s">
        <v>766</v>
      </c>
      <c r="D85" s="69">
        <v>9028042434</v>
      </c>
      <c r="E85" s="69" t="s">
        <v>767</v>
      </c>
      <c r="F85" s="69" t="s">
        <v>768</v>
      </c>
      <c r="G85" s="26">
        <v>27</v>
      </c>
      <c r="H85" s="26"/>
      <c r="I85" s="26">
        <v>21</v>
      </c>
      <c r="J85" s="26">
        <v>34</v>
      </c>
      <c r="K85" s="26">
        <v>23</v>
      </c>
      <c r="L85" s="26">
        <v>8</v>
      </c>
      <c r="M85" s="26">
        <v>10</v>
      </c>
      <c r="N85" s="26">
        <v>7</v>
      </c>
      <c r="O85" s="26">
        <v>0</v>
      </c>
      <c r="P85" s="26">
        <v>13</v>
      </c>
      <c r="Q85" s="70">
        <v>7</v>
      </c>
      <c r="R85" s="26">
        <v>379</v>
      </c>
    </row>
    <row r="86" spans="1:18" x14ac:dyDescent="0.35">
      <c r="A86" s="69">
        <v>16210003</v>
      </c>
      <c r="B86" s="69" t="s">
        <v>769</v>
      </c>
      <c r="C86" s="69" t="s">
        <v>770</v>
      </c>
      <c r="D86" s="69">
        <v>9890939072</v>
      </c>
      <c r="E86" s="69" t="s">
        <v>771</v>
      </c>
      <c r="F86" s="69" t="s">
        <v>768</v>
      </c>
      <c r="G86" s="26">
        <v>23</v>
      </c>
      <c r="H86" s="26">
        <v>10</v>
      </c>
      <c r="I86" s="26">
        <v>58</v>
      </c>
      <c r="J86" s="26">
        <v>63</v>
      </c>
      <c r="K86" s="26">
        <v>16</v>
      </c>
      <c r="L86" s="26">
        <v>18</v>
      </c>
      <c r="M86" s="26">
        <v>16</v>
      </c>
      <c r="N86" s="26">
        <v>13</v>
      </c>
      <c r="O86" s="26">
        <v>10</v>
      </c>
      <c r="P86" s="26">
        <v>10</v>
      </c>
      <c r="Q86" s="70">
        <v>3</v>
      </c>
      <c r="R86" s="26">
        <v>378</v>
      </c>
    </row>
    <row r="87" spans="1:18" x14ac:dyDescent="0.35">
      <c r="A87" s="69">
        <v>16210007</v>
      </c>
      <c r="B87" s="69" t="s">
        <v>772</v>
      </c>
      <c r="C87" s="69" t="s">
        <v>773</v>
      </c>
      <c r="D87" s="69">
        <v>9890076567</v>
      </c>
      <c r="E87" s="69" t="s">
        <v>774</v>
      </c>
      <c r="F87" s="69" t="s">
        <v>768</v>
      </c>
      <c r="G87" s="26">
        <v>51</v>
      </c>
      <c r="H87" s="26">
        <v>15</v>
      </c>
      <c r="I87" s="26">
        <v>53</v>
      </c>
      <c r="J87" s="26">
        <v>39</v>
      </c>
      <c r="K87" s="26">
        <v>17</v>
      </c>
      <c r="L87" s="26"/>
      <c r="M87" s="26">
        <v>28</v>
      </c>
      <c r="N87" s="26">
        <v>19</v>
      </c>
      <c r="O87" s="26">
        <v>14</v>
      </c>
      <c r="P87" s="26">
        <v>11</v>
      </c>
      <c r="Q87" s="70">
        <v>0</v>
      </c>
      <c r="R87" s="26">
        <v>378</v>
      </c>
    </row>
    <row r="88" spans="1:18" x14ac:dyDescent="0.35">
      <c r="A88" s="69">
        <v>16210008</v>
      </c>
      <c r="B88" s="69" t="s">
        <v>775</v>
      </c>
      <c r="C88" s="69" t="s">
        <v>776</v>
      </c>
      <c r="D88" s="69">
        <v>9422541749</v>
      </c>
      <c r="E88" s="69" t="s">
        <v>777</v>
      </c>
      <c r="F88" s="69" t="s">
        <v>768</v>
      </c>
      <c r="G88" s="26">
        <v>24</v>
      </c>
      <c r="H88" s="26"/>
      <c r="I88" s="26">
        <v>123</v>
      </c>
      <c r="J88" s="26">
        <v>34</v>
      </c>
      <c r="K88" s="26">
        <v>7</v>
      </c>
      <c r="L88" s="26"/>
      <c r="M88" s="26">
        <v>32</v>
      </c>
      <c r="N88" s="26">
        <v>14</v>
      </c>
      <c r="O88" s="26">
        <v>13</v>
      </c>
      <c r="P88" s="26">
        <v>17</v>
      </c>
      <c r="Q88" s="70">
        <v>2</v>
      </c>
      <c r="R88" s="26">
        <v>376</v>
      </c>
    </row>
    <row r="89" spans="1:18" x14ac:dyDescent="0.35">
      <c r="A89" s="69">
        <v>16210009</v>
      </c>
      <c r="B89" s="69" t="s">
        <v>778</v>
      </c>
      <c r="C89" s="69" t="s">
        <v>779</v>
      </c>
      <c r="D89" s="69">
        <v>9822093201</v>
      </c>
      <c r="E89" s="69" t="s">
        <v>780</v>
      </c>
      <c r="F89" s="69" t="s">
        <v>768</v>
      </c>
      <c r="G89" s="26">
        <v>49</v>
      </c>
      <c r="H89" s="26"/>
      <c r="I89" s="26"/>
      <c r="J89" s="26">
        <v>76</v>
      </c>
      <c r="K89" s="26"/>
      <c r="L89" s="26"/>
      <c r="M89" s="26">
        <v>32</v>
      </c>
      <c r="N89" s="26"/>
      <c r="O89" s="26">
        <v>11</v>
      </c>
      <c r="P89" s="26">
        <v>11</v>
      </c>
      <c r="Q89" s="70">
        <v>0</v>
      </c>
      <c r="R89" s="26">
        <v>375</v>
      </c>
    </row>
    <row r="90" spans="1:18" x14ac:dyDescent="0.35">
      <c r="A90" s="69">
        <v>16210010</v>
      </c>
      <c r="B90" s="69" t="s">
        <v>781</v>
      </c>
      <c r="C90" s="69" t="s">
        <v>782</v>
      </c>
      <c r="D90" s="69">
        <v>9823578786</v>
      </c>
      <c r="E90" s="69" t="s">
        <v>783</v>
      </c>
      <c r="F90" s="69" t="s">
        <v>768</v>
      </c>
      <c r="G90" s="26">
        <v>30</v>
      </c>
      <c r="H90" s="26">
        <v>9</v>
      </c>
      <c r="I90" s="26">
        <v>2</v>
      </c>
      <c r="J90" s="26">
        <v>62</v>
      </c>
      <c r="K90" s="26">
        <v>11</v>
      </c>
      <c r="L90" s="26">
        <v>9</v>
      </c>
      <c r="M90" s="26">
        <v>15</v>
      </c>
      <c r="N90" s="26">
        <v>3</v>
      </c>
      <c r="O90" s="26">
        <v>5</v>
      </c>
      <c r="P90" s="26">
        <v>10</v>
      </c>
      <c r="Q90" s="70">
        <v>11</v>
      </c>
      <c r="R90" s="26">
        <v>373</v>
      </c>
    </row>
    <row r="91" spans="1:18" x14ac:dyDescent="0.35">
      <c r="A91" s="69">
        <v>16210011</v>
      </c>
      <c r="B91" s="69" t="s">
        <v>784</v>
      </c>
      <c r="C91" s="69" t="s">
        <v>785</v>
      </c>
      <c r="D91" s="69">
        <v>9921835853</v>
      </c>
      <c r="E91" s="69" t="s">
        <v>786</v>
      </c>
      <c r="F91" s="69" t="s">
        <v>768</v>
      </c>
      <c r="G91" s="26">
        <v>13</v>
      </c>
      <c r="H91" s="26">
        <v>11</v>
      </c>
      <c r="I91" s="26">
        <v>64</v>
      </c>
      <c r="J91" s="26">
        <v>103</v>
      </c>
      <c r="K91" s="26">
        <v>85</v>
      </c>
      <c r="L91" s="26">
        <v>23</v>
      </c>
      <c r="M91" s="26">
        <v>15</v>
      </c>
      <c r="N91" s="26">
        <v>21</v>
      </c>
      <c r="O91" s="26">
        <v>20</v>
      </c>
      <c r="P91" s="26">
        <v>24</v>
      </c>
      <c r="Q91" s="70">
        <v>4</v>
      </c>
      <c r="R91" s="26">
        <v>370</v>
      </c>
    </row>
    <row r="92" spans="1:18" x14ac:dyDescent="0.35">
      <c r="A92" s="69">
        <v>16210012</v>
      </c>
      <c r="B92" s="69" t="s">
        <v>787</v>
      </c>
      <c r="C92" s="69" t="s">
        <v>788</v>
      </c>
      <c r="D92" s="69">
        <v>9373204998</v>
      </c>
      <c r="E92" s="69" t="s">
        <v>789</v>
      </c>
      <c r="F92" s="69" t="s">
        <v>768</v>
      </c>
      <c r="G92" s="26">
        <v>10</v>
      </c>
      <c r="H92" s="26"/>
      <c r="I92" s="26">
        <v>12</v>
      </c>
      <c r="J92" s="26">
        <v>46</v>
      </c>
      <c r="K92" s="26">
        <v>11</v>
      </c>
      <c r="L92" s="26">
        <v>7</v>
      </c>
      <c r="M92" s="26">
        <v>13</v>
      </c>
      <c r="N92" s="26">
        <v>9</v>
      </c>
      <c r="O92" s="26">
        <v>4</v>
      </c>
      <c r="P92" s="26">
        <v>5</v>
      </c>
      <c r="Q92" s="70">
        <v>0</v>
      </c>
      <c r="R92" s="26">
        <v>369</v>
      </c>
    </row>
    <row r="93" spans="1:18" x14ac:dyDescent="0.35">
      <c r="A93" s="69">
        <v>16210013</v>
      </c>
      <c r="B93" s="69" t="s">
        <v>790</v>
      </c>
      <c r="C93" s="69" t="s">
        <v>791</v>
      </c>
      <c r="D93" s="69">
        <v>9923274435</v>
      </c>
      <c r="E93" s="69" t="s">
        <v>792</v>
      </c>
      <c r="F93" s="69" t="s">
        <v>768</v>
      </c>
      <c r="G93" s="26">
        <v>34</v>
      </c>
      <c r="H93" s="26">
        <v>11</v>
      </c>
      <c r="I93" s="26"/>
      <c r="J93" s="26">
        <v>26</v>
      </c>
      <c r="K93" s="26">
        <v>14</v>
      </c>
      <c r="L93" s="26">
        <v>20</v>
      </c>
      <c r="M93" s="26">
        <v>18</v>
      </c>
      <c r="N93" s="26">
        <v>4</v>
      </c>
      <c r="O93" s="26">
        <v>30</v>
      </c>
      <c r="P93" s="26">
        <v>10</v>
      </c>
      <c r="Q93" s="70">
        <v>11</v>
      </c>
      <c r="R93" s="26">
        <v>367</v>
      </c>
    </row>
    <row r="94" spans="1:18" x14ac:dyDescent="0.35">
      <c r="A94" s="69">
        <v>16210015</v>
      </c>
      <c r="B94" s="69" t="s">
        <v>793</v>
      </c>
      <c r="C94" s="69" t="s">
        <v>794</v>
      </c>
      <c r="D94" s="69">
        <v>9422205486</v>
      </c>
      <c r="E94" s="69" t="s">
        <v>795</v>
      </c>
      <c r="F94" s="69" t="s">
        <v>768</v>
      </c>
      <c r="G94" s="26">
        <v>6</v>
      </c>
      <c r="H94" s="26">
        <v>8</v>
      </c>
      <c r="I94" s="26">
        <v>2</v>
      </c>
      <c r="J94" s="26">
        <v>31</v>
      </c>
      <c r="K94" s="26">
        <v>3</v>
      </c>
      <c r="L94" s="26">
        <v>8</v>
      </c>
      <c r="M94" s="26">
        <v>4</v>
      </c>
      <c r="N94" s="26"/>
      <c r="O94" s="26">
        <v>4</v>
      </c>
      <c r="P94" s="26">
        <v>6</v>
      </c>
      <c r="Q94" s="70">
        <v>0</v>
      </c>
      <c r="R94" s="26">
        <v>363</v>
      </c>
    </row>
    <row r="95" spans="1:18" x14ac:dyDescent="0.35">
      <c r="A95" s="69">
        <v>16210016</v>
      </c>
      <c r="B95" s="69" t="s">
        <v>796</v>
      </c>
      <c r="C95" s="69" t="s">
        <v>797</v>
      </c>
      <c r="D95" s="69">
        <v>9326929069</v>
      </c>
      <c r="E95" s="69" t="s">
        <v>798</v>
      </c>
      <c r="F95" s="69" t="s">
        <v>768</v>
      </c>
      <c r="G95" s="26">
        <v>40</v>
      </c>
      <c r="H95" s="26">
        <v>19</v>
      </c>
      <c r="I95" s="26">
        <v>50</v>
      </c>
      <c r="J95" s="26">
        <v>80</v>
      </c>
      <c r="K95" s="26">
        <v>42</v>
      </c>
      <c r="L95" s="26">
        <v>31</v>
      </c>
      <c r="M95" s="26">
        <v>23</v>
      </c>
      <c r="N95" s="26">
        <v>14</v>
      </c>
      <c r="O95" s="26">
        <v>17</v>
      </c>
      <c r="P95" s="26">
        <v>11</v>
      </c>
      <c r="Q95" s="70">
        <v>6</v>
      </c>
      <c r="R95" s="26">
        <v>362</v>
      </c>
    </row>
    <row r="96" spans="1:18" x14ac:dyDescent="0.35">
      <c r="A96" s="69">
        <v>16210018</v>
      </c>
      <c r="B96" s="69" t="s">
        <v>799</v>
      </c>
      <c r="C96" s="69" t="s">
        <v>800</v>
      </c>
      <c r="D96" s="69">
        <v>9730005320</v>
      </c>
      <c r="E96" s="69" t="s">
        <v>801</v>
      </c>
      <c r="F96" s="69" t="s">
        <v>768</v>
      </c>
      <c r="G96" s="26">
        <v>60</v>
      </c>
      <c r="H96" s="26">
        <v>12</v>
      </c>
      <c r="I96" s="26">
        <v>101</v>
      </c>
      <c r="J96" s="26">
        <v>141</v>
      </c>
      <c r="K96" s="26">
        <v>40</v>
      </c>
      <c r="L96" s="26">
        <v>8</v>
      </c>
      <c r="M96" s="26">
        <v>14</v>
      </c>
      <c r="N96" s="26">
        <v>9</v>
      </c>
      <c r="O96" s="26">
        <v>18</v>
      </c>
      <c r="P96" s="26">
        <v>31</v>
      </c>
      <c r="Q96" s="70">
        <v>7</v>
      </c>
      <c r="R96" s="26">
        <v>361</v>
      </c>
    </row>
    <row r="97" spans="1:18" x14ac:dyDescent="0.35">
      <c r="A97" s="69">
        <v>16210049</v>
      </c>
      <c r="B97" s="69" t="s">
        <v>802</v>
      </c>
      <c r="C97" s="69" t="s">
        <v>803</v>
      </c>
      <c r="D97" s="69">
        <v>9421692101</v>
      </c>
      <c r="E97" s="69" t="s">
        <v>804</v>
      </c>
      <c r="F97" s="69" t="s">
        <v>768</v>
      </c>
      <c r="G97" s="26">
        <v>29</v>
      </c>
      <c r="H97" s="26"/>
      <c r="I97" s="26">
        <v>29</v>
      </c>
      <c r="J97" s="26">
        <v>28</v>
      </c>
      <c r="K97" s="26">
        <v>14</v>
      </c>
      <c r="L97" s="26"/>
      <c r="M97" s="26">
        <v>14</v>
      </c>
      <c r="N97" s="26">
        <v>22</v>
      </c>
      <c r="O97" s="26">
        <v>7</v>
      </c>
      <c r="P97" s="26">
        <v>0</v>
      </c>
      <c r="Q97" s="70">
        <v>11</v>
      </c>
      <c r="R97" s="26">
        <v>361</v>
      </c>
    </row>
    <row r="98" spans="1:18" x14ac:dyDescent="0.35">
      <c r="A98" s="69">
        <v>16210061</v>
      </c>
      <c r="B98" s="69" t="s">
        <v>784</v>
      </c>
      <c r="C98" s="69" t="s">
        <v>805</v>
      </c>
      <c r="D98" s="69">
        <v>9422575887</v>
      </c>
      <c r="E98" s="69" t="s">
        <v>806</v>
      </c>
      <c r="F98" s="69" t="s">
        <v>768</v>
      </c>
      <c r="G98" s="26">
        <v>26</v>
      </c>
      <c r="H98" s="26">
        <v>20</v>
      </c>
      <c r="I98" s="26">
        <v>89</v>
      </c>
      <c r="J98" s="26">
        <v>52</v>
      </c>
      <c r="K98" s="26"/>
      <c r="L98" s="26">
        <v>34</v>
      </c>
      <c r="M98" s="26">
        <v>11</v>
      </c>
      <c r="N98" s="26">
        <v>16</v>
      </c>
      <c r="O98" s="26">
        <v>7</v>
      </c>
      <c r="P98" s="26">
        <v>7</v>
      </c>
      <c r="Q98" s="70">
        <v>1</v>
      </c>
      <c r="R98" s="26">
        <v>360</v>
      </c>
    </row>
    <row r="99" spans="1:18" x14ac:dyDescent="0.35">
      <c r="A99" s="69">
        <v>16210094</v>
      </c>
      <c r="B99" s="69" t="s">
        <v>807</v>
      </c>
      <c r="C99" s="69" t="s">
        <v>808</v>
      </c>
      <c r="D99" s="69">
        <v>9422713089</v>
      </c>
      <c r="E99" s="69" t="s">
        <v>809</v>
      </c>
      <c r="F99" s="69" t="s">
        <v>768</v>
      </c>
      <c r="G99" s="26">
        <v>35</v>
      </c>
      <c r="H99" s="26"/>
      <c r="I99" s="26"/>
      <c r="J99" s="26">
        <v>52</v>
      </c>
      <c r="K99" s="26">
        <v>14</v>
      </c>
      <c r="L99" s="26"/>
      <c r="M99" s="26">
        <v>9</v>
      </c>
      <c r="N99" s="26">
        <v>18</v>
      </c>
      <c r="O99" s="26">
        <v>0</v>
      </c>
      <c r="P99" s="26">
        <v>0</v>
      </c>
      <c r="Q99" s="70">
        <v>18</v>
      </c>
      <c r="R99" s="26">
        <v>359</v>
      </c>
    </row>
    <row r="100" spans="1:18" x14ac:dyDescent="0.35">
      <c r="A100" s="69">
        <v>16210156</v>
      </c>
      <c r="B100" s="69" t="s">
        <v>810</v>
      </c>
      <c r="C100" s="69" t="s">
        <v>811</v>
      </c>
      <c r="D100" s="69">
        <v>9028170448</v>
      </c>
      <c r="E100" s="69" t="s">
        <v>812</v>
      </c>
      <c r="F100" s="69" t="s">
        <v>768</v>
      </c>
      <c r="G100" s="26">
        <v>17</v>
      </c>
      <c r="H100" s="26">
        <v>4</v>
      </c>
      <c r="I100" s="26">
        <v>32</v>
      </c>
      <c r="J100" s="26">
        <v>50</v>
      </c>
      <c r="K100" s="26">
        <v>6</v>
      </c>
      <c r="L100" s="26"/>
      <c r="M100" s="26">
        <v>12</v>
      </c>
      <c r="N100" s="26">
        <v>13</v>
      </c>
      <c r="O100" s="26">
        <v>16</v>
      </c>
      <c r="P100" s="26">
        <v>5</v>
      </c>
      <c r="Q100" s="70">
        <v>0</v>
      </c>
      <c r="R100" s="26">
        <v>358</v>
      </c>
    </row>
    <row r="101" spans="1:18" x14ac:dyDescent="0.35">
      <c r="A101" s="69">
        <v>16210159</v>
      </c>
      <c r="B101" s="69" t="s">
        <v>813</v>
      </c>
      <c r="C101" s="69" t="s">
        <v>814</v>
      </c>
      <c r="D101" s="69">
        <v>9850501514</v>
      </c>
      <c r="E101" s="69" t="s">
        <v>815</v>
      </c>
      <c r="F101" s="69" t="s">
        <v>768</v>
      </c>
      <c r="G101" s="26">
        <v>15</v>
      </c>
      <c r="H101" s="26"/>
      <c r="I101" s="26">
        <v>68</v>
      </c>
      <c r="J101" s="26">
        <v>68</v>
      </c>
      <c r="K101" s="26"/>
      <c r="L101" s="26">
        <v>36</v>
      </c>
      <c r="M101" s="26">
        <v>11</v>
      </c>
      <c r="N101" s="26">
        <v>12</v>
      </c>
      <c r="O101" s="26">
        <v>5</v>
      </c>
      <c r="P101" s="26">
        <v>12</v>
      </c>
      <c r="Q101" s="70">
        <v>1</v>
      </c>
      <c r="R101" s="26">
        <v>356</v>
      </c>
    </row>
    <row r="102" spans="1:18" x14ac:dyDescent="0.35">
      <c r="A102" s="69">
        <v>16210160</v>
      </c>
      <c r="B102" s="69" t="s">
        <v>816</v>
      </c>
      <c r="C102" s="69" t="s">
        <v>817</v>
      </c>
      <c r="D102" s="69">
        <v>9028136651</v>
      </c>
      <c r="E102" s="69" t="s">
        <v>818</v>
      </c>
      <c r="F102" s="69" t="s">
        <v>768</v>
      </c>
      <c r="G102" s="26">
        <v>6</v>
      </c>
      <c r="H102" s="26">
        <v>4</v>
      </c>
      <c r="I102" s="26"/>
      <c r="J102" s="26">
        <v>15</v>
      </c>
      <c r="K102" s="26"/>
      <c r="L102" s="26">
        <v>9</v>
      </c>
      <c r="M102" s="26">
        <v>1</v>
      </c>
      <c r="N102" s="26">
        <v>2</v>
      </c>
      <c r="O102" s="26"/>
      <c r="P102" s="26">
        <v>9</v>
      </c>
      <c r="Q102" s="70">
        <v>0</v>
      </c>
      <c r="R102" s="26">
        <v>355</v>
      </c>
    </row>
    <row r="103" spans="1:18" x14ac:dyDescent="0.35">
      <c r="A103" s="69">
        <v>16210162</v>
      </c>
      <c r="B103" s="69" t="s">
        <v>819</v>
      </c>
      <c r="C103" s="69" t="s">
        <v>820</v>
      </c>
      <c r="D103" s="69">
        <v>9960760553</v>
      </c>
      <c r="E103" s="69" t="s">
        <v>821</v>
      </c>
      <c r="F103" s="69" t="s">
        <v>768</v>
      </c>
      <c r="G103" s="26">
        <v>33</v>
      </c>
      <c r="H103" s="26">
        <v>15</v>
      </c>
      <c r="I103" s="26">
        <v>63</v>
      </c>
      <c r="J103" s="26">
        <v>45</v>
      </c>
      <c r="K103" s="26">
        <v>19</v>
      </c>
      <c r="L103" s="26"/>
      <c r="M103" s="26">
        <v>20</v>
      </c>
      <c r="N103" s="26"/>
      <c r="O103" s="26">
        <v>7</v>
      </c>
      <c r="P103" s="26">
        <v>13</v>
      </c>
      <c r="Q103" s="70">
        <v>0</v>
      </c>
      <c r="R103" s="26">
        <v>355</v>
      </c>
    </row>
    <row r="104" spans="1:18" x14ac:dyDescent="0.35">
      <c r="A104" s="69">
        <v>16210169</v>
      </c>
      <c r="B104" s="69" t="s">
        <v>822</v>
      </c>
      <c r="C104" s="69" t="s">
        <v>823</v>
      </c>
      <c r="D104" s="69">
        <v>9922773137</v>
      </c>
      <c r="E104" s="69" t="s">
        <v>824</v>
      </c>
      <c r="F104" s="69" t="s">
        <v>768</v>
      </c>
      <c r="G104" s="26">
        <v>16</v>
      </c>
      <c r="H104" s="26">
        <v>45</v>
      </c>
      <c r="I104" s="26">
        <v>33</v>
      </c>
      <c r="J104" s="26">
        <v>75</v>
      </c>
      <c r="K104" s="26">
        <v>31</v>
      </c>
      <c r="L104" s="26">
        <v>23</v>
      </c>
      <c r="M104" s="26">
        <v>17</v>
      </c>
      <c r="N104" s="26">
        <v>30</v>
      </c>
      <c r="O104" s="26">
        <v>4</v>
      </c>
      <c r="P104" s="26">
        <v>42</v>
      </c>
      <c r="Q104" s="70">
        <v>6</v>
      </c>
      <c r="R104" s="26">
        <v>352</v>
      </c>
    </row>
    <row r="105" spans="1:18" x14ac:dyDescent="0.35">
      <c r="A105" s="69">
        <v>16210177</v>
      </c>
      <c r="B105" s="69" t="s">
        <v>825</v>
      </c>
      <c r="C105" s="69" t="s">
        <v>826</v>
      </c>
      <c r="D105" s="69">
        <v>9665066607</v>
      </c>
      <c r="E105" s="69" t="s">
        <v>827</v>
      </c>
      <c r="F105" s="69" t="s">
        <v>768</v>
      </c>
      <c r="G105" s="26"/>
      <c r="H105" s="26"/>
      <c r="I105" s="26"/>
      <c r="J105" s="26">
        <v>12</v>
      </c>
      <c r="K105" s="26">
        <v>8</v>
      </c>
      <c r="L105" s="26">
        <v>2</v>
      </c>
      <c r="M105" s="26">
        <v>13</v>
      </c>
      <c r="N105" s="26"/>
      <c r="O105" s="26">
        <v>4</v>
      </c>
      <c r="P105" s="26">
        <v>4</v>
      </c>
      <c r="Q105" s="70">
        <v>0</v>
      </c>
      <c r="R105" s="26">
        <v>351</v>
      </c>
    </row>
    <row r="106" spans="1:18" x14ac:dyDescent="0.35">
      <c r="A106" s="69">
        <v>16210185</v>
      </c>
      <c r="B106" s="69" t="s">
        <v>828</v>
      </c>
      <c r="C106" s="69" t="s">
        <v>829</v>
      </c>
      <c r="D106" s="69">
        <v>9923579667</v>
      </c>
      <c r="E106" s="69" t="s">
        <v>830</v>
      </c>
      <c r="F106" s="69" t="s">
        <v>768</v>
      </c>
      <c r="G106" s="26">
        <v>20</v>
      </c>
      <c r="H106" s="26">
        <v>2</v>
      </c>
      <c r="I106" s="26"/>
      <c r="J106" s="26">
        <v>53</v>
      </c>
      <c r="K106" s="26">
        <v>3</v>
      </c>
      <c r="L106" s="26">
        <v>4</v>
      </c>
      <c r="M106" s="26">
        <v>4</v>
      </c>
      <c r="N106" s="26">
        <v>8</v>
      </c>
      <c r="O106" s="26">
        <v>6</v>
      </c>
      <c r="P106" s="26">
        <v>7</v>
      </c>
      <c r="Q106" s="70">
        <v>3</v>
      </c>
      <c r="R106" s="26">
        <v>350</v>
      </c>
    </row>
    <row r="107" spans="1:18" x14ac:dyDescent="0.35">
      <c r="A107" s="69">
        <v>16210186</v>
      </c>
      <c r="B107" s="69" t="s">
        <v>831</v>
      </c>
      <c r="C107" s="69" t="s">
        <v>832</v>
      </c>
      <c r="D107" s="69">
        <v>9420811079</v>
      </c>
      <c r="E107" s="69" t="s">
        <v>833</v>
      </c>
      <c r="F107" s="69" t="s">
        <v>768</v>
      </c>
      <c r="G107" s="26">
        <v>7</v>
      </c>
      <c r="H107" s="26">
        <v>11</v>
      </c>
      <c r="I107" s="26"/>
      <c r="J107" s="26">
        <v>68</v>
      </c>
      <c r="K107" s="26"/>
      <c r="L107" s="26">
        <v>6</v>
      </c>
      <c r="M107" s="26">
        <v>0</v>
      </c>
      <c r="N107" s="26">
        <v>11</v>
      </c>
      <c r="O107" s="26">
        <v>7</v>
      </c>
      <c r="P107" s="26">
        <v>2</v>
      </c>
      <c r="Q107" s="70">
        <v>2</v>
      </c>
      <c r="R107" s="26">
        <v>349</v>
      </c>
    </row>
    <row r="108" spans="1:18" x14ac:dyDescent="0.35">
      <c r="A108" s="69">
        <v>16210192</v>
      </c>
      <c r="B108" s="69" t="s">
        <v>834</v>
      </c>
      <c r="C108" s="69" t="s">
        <v>835</v>
      </c>
      <c r="D108" s="69">
        <v>9595164270</v>
      </c>
      <c r="E108" s="69" t="s">
        <v>836</v>
      </c>
      <c r="F108" s="69" t="s">
        <v>768</v>
      </c>
      <c r="G108" s="26"/>
      <c r="H108" s="26">
        <v>4</v>
      </c>
      <c r="I108" s="26"/>
      <c r="J108" s="26">
        <v>9</v>
      </c>
      <c r="K108" s="26"/>
      <c r="L108" s="26">
        <v>2</v>
      </c>
      <c r="M108" s="26"/>
      <c r="N108" s="26">
        <v>2</v>
      </c>
      <c r="O108" s="26"/>
      <c r="P108" s="26">
        <v>0</v>
      </c>
      <c r="Q108" s="70">
        <v>0</v>
      </c>
      <c r="R108" s="26">
        <v>348</v>
      </c>
    </row>
    <row r="109" spans="1:18" x14ac:dyDescent="0.35">
      <c r="A109" s="69">
        <v>16210217</v>
      </c>
      <c r="B109" s="69" t="s">
        <v>837</v>
      </c>
      <c r="C109" s="69" t="s">
        <v>838</v>
      </c>
      <c r="D109" s="69">
        <v>9421686282</v>
      </c>
      <c r="E109" s="69" t="s">
        <v>839</v>
      </c>
      <c r="F109" s="69" t="s">
        <v>768</v>
      </c>
      <c r="G109" s="26">
        <v>15</v>
      </c>
      <c r="H109" s="26">
        <v>15</v>
      </c>
      <c r="I109" s="26">
        <v>21</v>
      </c>
      <c r="J109" s="26">
        <v>33</v>
      </c>
      <c r="K109" s="26"/>
      <c r="L109" s="26">
        <v>10</v>
      </c>
      <c r="M109" s="26">
        <v>10</v>
      </c>
      <c r="N109" s="26">
        <v>2</v>
      </c>
      <c r="O109" s="26">
        <v>6</v>
      </c>
      <c r="P109" s="26">
        <v>1</v>
      </c>
      <c r="Q109" s="70">
        <v>2</v>
      </c>
      <c r="R109" s="26">
        <v>343</v>
      </c>
    </row>
    <row r="110" spans="1:18" x14ac:dyDescent="0.35">
      <c r="A110" s="69">
        <v>16210243</v>
      </c>
      <c r="B110" s="69" t="s">
        <v>840</v>
      </c>
      <c r="C110" s="69" t="s">
        <v>841</v>
      </c>
      <c r="D110" s="69">
        <v>9764006177</v>
      </c>
      <c r="E110" s="69" t="s">
        <v>842</v>
      </c>
      <c r="F110" s="69" t="s">
        <v>768</v>
      </c>
      <c r="G110" s="26"/>
      <c r="H110" s="26"/>
      <c r="I110" s="26"/>
      <c r="J110" s="26">
        <v>73</v>
      </c>
      <c r="K110" s="26"/>
      <c r="L110" s="26"/>
      <c r="M110" s="26"/>
      <c r="N110" s="26"/>
      <c r="O110" s="26"/>
      <c r="P110" s="26">
        <v>0</v>
      </c>
      <c r="Q110" s="70">
        <v>0</v>
      </c>
      <c r="R110" s="26">
        <v>342</v>
      </c>
    </row>
    <row r="111" spans="1:18" x14ac:dyDescent="0.35">
      <c r="A111" s="69">
        <v>16210285</v>
      </c>
      <c r="B111" s="69" t="s">
        <v>843</v>
      </c>
      <c r="C111" s="69" t="s">
        <v>844</v>
      </c>
      <c r="D111" s="69">
        <v>9422202771</v>
      </c>
      <c r="E111" s="69" t="s">
        <v>845</v>
      </c>
      <c r="F111" s="69" t="s">
        <v>768</v>
      </c>
      <c r="G111" s="26">
        <v>10</v>
      </c>
      <c r="H111" s="26">
        <v>6</v>
      </c>
      <c r="I111" s="26">
        <v>5</v>
      </c>
      <c r="J111" s="26">
        <v>25</v>
      </c>
      <c r="K111" s="26">
        <v>8</v>
      </c>
      <c r="L111" s="26">
        <v>2</v>
      </c>
      <c r="M111" s="26">
        <v>3</v>
      </c>
      <c r="N111" s="26">
        <v>4</v>
      </c>
      <c r="O111" s="26">
        <v>3</v>
      </c>
      <c r="P111" s="26">
        <v>6</v>
      </c>
      <c r="Q111" s="70">
        <v>1</v>
      </c>
      <c r="R111" s="26">
        <v>341</v>
      </c>
    </row>
    <row r="112" spans="1:18" x14ac:dyDescent="0.35">
      <c r="A112" s="69">
        <v>16210300</v>
      </c>
      <c r="B112" s="69" t="s">
        <v>846</v>
      </c>
      <c r="C112" s="69" t="s">
        <v>847</v>
      </c>
      <c r="D112" s="69">
        <v>9371580193</v>
      </c>
      <c r="E112" s="69" t="s">
        <v>848</v>
      </c>
      <c r="F112" s="69" t="s">
        <v>768</v>
      </c>
      <c r="G112" s="26"/>
      <c r="H112" s="26">
        <v>15</v>
      </c>
      <c r="I112" s="26"/>
      <c r="J112" s="26">
        <v>20</v>
      </c>
      <c r="K112" s="26"/>
      <c r="L112" s="26">
        <v>4</v>
      </c>
      <c r="M112" s="26">
        <v>6</v>
      </c>
      <c r="N112" s="26">
        <v>5</v>
      </c>
      <c r="O112" s="26"/>
      <c r="P112" s="26">
        <v>0</v>
      </c>
      <c r="Q112" s="70">
        <v>2</v>
      </c>
      <c r="R112" s="26">
        <v>337</v>
      </c>
    </row>
    <row r="113" spans="1:18" x14ac:dyDescent="0.35">
      <c r="A113" s="69">
        <v>16210325</v>
      </c>
      <c r="B113" s="69" t="s">
        <v>849</v>
      </c>
      <c r="C113" s="69" t="s">
        <v>850</v>
      </c>
      <c r="D113" s="69">
        <v>9224367597</v>
      </c>
      <c r="E113" s="69" t="s">
        <v>851</v>
      </c>
      <c r="F113" s="69" t="s">
        <v>768</v>
      </c>
      <c r="G113" s="26">
        <v>2</v>
      </c>
      <c r="H113" s="26">
        <v>1</v>
      </c>
      <c r="I113" s="26">
        <v>8</v>
      </c>
      <c r="J113" s="26">
        <v>20</v>
      </c>
      <c r="K113" s="26">
        <v>2</v>
      </c>
      <c r="L113" s="26"/>
      <c r="M113" s="26">
        <v>9</v>
      </c>
      <c r="N113" s="26">
        <v>3</v>
      </c>
      <c r="O113" s="26">
        <v>2</v>
      </c>
      <c r="P113" s="26">
        <v>4</v>
      </c>
      <c r="Q113" s="70">
        <v>3</v>
      </c>
      <c r="R113" s="26">
        <v>333</v>
      </c>
    </row>
    <row r="114" spans="1:18" x14ac:dyDescent="0.35">
      <c r="A114" s="69">
        <v>16210331</v>
      </c>
      <c r="B114" s="69" t="s">
        <v>852</v>
      </c>
      <c r="C114" s="69" t="s">
        <v>853</v>
      </c>
      <c r="D114" s="69">
        <v>9970725262</v>
      </c>
      <c r="E114" s="69" t="s">
        <v>854</v>
      </c>
      <c r="F114" s="69" t="s">
        <v>768</v>
      </c>
      <c r="G114" s="26">
        <v>3</v>
      </c>
      <c r="H114" s="26">
        <v>2</v>
      </c>
      <c r="I114" s="26">
        <v>19</v>
      </c>
      <c r="J114" s="26">
        <v>6</v>
      </c>
      <c r="K114" s="26">
        <v>5</v>
      </c>
      <c r="L114" s="26">
        <v>1</v>
      </c>
      <c r="M114" s="26"/>
      <c r="N114" s="26">
        <v>0</v>
      </c>
      <c r="O114" s="26">
        <v>0</v>
      </c>
      <c r="P114" s="26">
        <v>0</v>
      </c>
      <c r="Q114" s="70">
        <v>2</v>
      </c>
      <c r="R114" s="26">
        <v>330</v>
      </c>
    </row>
    <row r="115" spans="1:18" x14ac:dyDescent="0.35">
      <c r="A115" s="69">
        <v>16210333</v>
      </c>
      <c r="B115" s="69" t="s">
        <v>855</v>
      </c>
      <c r="C115" s="69" t="s">
        <v>856</v>
      </c>
      <c r="D115" s="69">
        <v>9552288446</v>
      </c>
      <c r="E115" s="69" t="s">
        <v>857</v>
      </c>
      <c r="F115" s="69" t="s">
        <v>1812</v>
      </c>
      <c r="G115" s="26">
        <v>16</v>
      </c>
      <c r="H115" s="26">
        <v>10</v>
      </c>
      <c r="I115" s="26">
        <v>4</v>
      </c>
      <c r="J115" s="26">
        <v>6</v>
      </c>
      <c r="K115" s="26">
        <v>7</v>
      </c>
      <c r="L115" s="26">
        <v>1</v>
      </c>
      <c r="M115" s="26">
        <v>6</v>
      </c>
      <c r="N115" s="26">
        <v>5</v>
      </c>
      <c r="O115" s="26">
        <v>8</v>
      </c>
      <c r="P115" s="26">
        <v>4</v>
      </c>
      <c r="Q115" s="70">
        <v>2</v>
      </c>
      <c r="R115" s="26">
        <v>329</v>
      </c>
    </row>
    <row r="116" spans="1:18" x14ac:dyDescent="0.35">
      <c r="A116" s="69">
        <v>16210334</v>
      </c>
      <c r="B116" s="69" t="s">
        <v>855</v>
      </c>
      <c r="C116" s="69" t="s">
        <v>858</v>
      </c>
      <c r="D116" s="69">
        <v>8421031503</v>
      </c>
      <c r="E116" s="69" t="s">
        <v>859</v>
      </c>
      <c r="F116" s="69" t="s">
        <v>1812</v>
      </c>
      <c r="G116" s="26">
        <v>24</v>
      </c>
      <c r="H116" s="26">
        <v>10</v>
      </c>
      <c r="I116" s="26">
        <v>5</v>
      </c>
      <c r="J116" s="26">
        <v>30</v>
      </c>
      <c r="K116" s="26">
        <v>7</v>
      </c>
      <c r="L116" s="26">
        <v>8</v>
      </c>
      <c r="M116" s="26">
        <v>7</v>
      </c>
      <c r="N116" s="26">
        <v>7</v>
      </c>
      <c r="O116" s="26">
        <v>2</v>
      </c>
      <c r="P116" s="26">
        <v>15</v>
      </c>
      <c r="Q116" s="70">
        <v>6</v>
      </c>
      <c r="R116" s="26">
        <v>327</v>
      </c>
    </row>
    <row r="117" spans="1:18" x14ac:dyDescent="0.35">
      <c r="A117" s="69">
        <v>16210347</v>
      </c>
      <c r="B117" s="69" t="s">
        <v>860</v>
      </c>
      <c r="C117" s="69" t="s">
        <v>861</v>
      </c>
      <c r="D117" s="69">
        <v>9922201612</v>
      </c>
      <c r="E117" s="69" t="s">
        <v>862</v>
      </c>
      <c r="F117" s="69" t="s">
        <v>1812</v>
      </c>
      <c r="G117" s="26"/>
      <c r="H117" s="26">
        <v>7</v>
      </c>
      <c r="I117" s="26">
        <v>14</v>
      </c>
      <c r="J117" s="26">
        <v>7</v>
      </c>
      <c r="K117" s="26"/>
      <c r="L117" s="26"/>
      <c r="M117" s="26"/>
      <c r="N117" s="26">
        <v>10</v>
      </c>
      <c r="O117" s="26">
        <v>2</v>
      </c>
      <c r="P117" s="26">
        <v>4</v>
      </c>
      <c r="Q117" s="70">
        <v>3</v>
      </c>
      <c r="R117" s="26">
        <v>326</v>
      </c>
    </row>
    <row r="118" spans="1:18" x14ac:dyDescent="0.35">
      <c r="A118" s="69">
        <v>16210351</v>
      </c>
      <c r="B118" s="69" t="s">
        <v>863</v>
      </c>
      <c r="C118" s="69" t="s">
        <v>864</v>
      </c>
      <c r="D118" s="69">
        <v>9421273046</v>
      </c>
      <c r="E118" s="69" t="s">
        <v>865</v>
      </c>
      <c r="F118" s="69" t="s">
        <v>1812</v>
      </c>
      <c r="G118" s="26">
        <v>9</v>
      </c>
      <c r="H118" s="26">
        <v>6</v>
      </c>
      <c r="I118" s="26">
        <v>21</v>
      </c>
      <c r="J118" s="26">
        <v>18</v>
      </c>
      <c r="K118" s="26">
        <v>10</v>
      </c>
      <c r="L118" s="26">
        <v>3</v>
      </c>
      <c r="M118" s="26"/>
      <c r="N118" s="26">
        <v>15</v>
      </c>
      <c r="O118" s="26">
        <v>3</v>
      </c>
      <c r="P118" s="26">
        <v>3</v>
      </c>
      <c r="Q118" s="70">
        <v>1</v>
      </c>
      <c r="R118" s="26">
        <v>324</v>
      </c>
    </row>
    <row r="119" spans="1:18" x14ac:dyDescent="0.35">
      <c r="A119" s="69">
        <v>17210010</v>
      </c>
      <c r="B119" s="69" t="s">
        <v>807</v>
      </c>
      <c r="C119" s="69" t="s">
        <v>866</v>
      </c>
      <c r="D119" s="69">
        <v>9890179748</v>
      </c>
      <c r="E119" s="69" t="s">
        <v>867</v>
      </c>
      <c r="F119" s="69" t="s">
        <v>1812</v>
      </c>
      <c r="G119" s="26">
        <v>73</v>
      </c>
      <c r="H119" s="26">
        <v>12</v>
      </c>
      <c r="I119" s="26">
        <v>57</v>
      </c>
      <c r="J119" s="26">
        <v>117</v>
      </c>
      <c r="K119" s="26">
        <v>32</v>
      </c>
      <c r="L119" s="26">
        <v>17</v>
      </c>
      <c r="M119" s="26">
        <v>42</v>
      </c>
      <c r="N119" s="26">
        <v>28</v>
      </c>
      <c r="O119" s="26">
        <v>53</v>
      </c>
      <c r="P119" s="26">
        <v>15</v>
      </c>
      <c r="Q119" s="70">
        <v>0</v>
      </c>
      <c r="R119" s="26">
        <v>324</v>
      </c>
    </row>
    <row r="120" spans="1:18" x14ac:dyDescent="0.35">
      <c r="A120" s="69">
        <v>17210034</v>
      </c>
      <c r="B120" s="69" t="s">
        <v>869</v>
      </c>
      <c r="C120" s="69" t="s">
        <v>870</v>
      </c>
      <c r="D120" s="69">
        <v>9370332866</v>
      </c>
      <c r="E120" s="69" t="s">
        <v>871</v>
      </c>
      <c r="F120" s="69" t="s">
        <v>1812</v>
      </c>
      <c r="G120" s="26">
        <v>72</v>
      </c>
      <c r="H120" s="26">
        <v>10</v>
      </c>
      <c r="I120" s="26">
        <v>54</v>
      </c>
      <c r="J120" s="26">
        <v>335</v>
      </c>
      <c r="K120" s="26">
        <v>54</v>
      </c>
      <c r="L120" s="26">
        <v>17</v>
      </c>
      <c r="M120" s="26">
        <v>46</v>
      </c>
      <c r="N120" s="26">
        <v>60</v>
      </c>
      <c r="O120" s="26">
        <v>12</v>
      </c>
      <c r="P120" s="26">
        <v>8</v>
      </c>
      <c r="Q120" s="70">
        <v>11</v>
      </c>
      <c r="R120" s="26">
        <v>323</v>
      </c>
    </row>
    <row r="121" spans="1:18" x14ac:dyDescent="0.35">
      <c r="A121" s="69">
        <v>17210059</v>
      </c>
      <c r="B121" s="69" t="s">
        <v>872</v>
      </c>
      <c r="C121" s="69" t="s">
        <v>873</v>
      </c>
      <c r="D121" s="69">
        <v>9371761331</v>
      </c>
      <c r="E121" s="69" t="s">
        <v>874</v>
      </c>
      <c r="F121" s="69" t="s">
        <v>1812</v>
      </c>
      <c r="G121" s="26">
        <v>36</v>
      </c>
      <c r="H121" s="26">
        <v>1</v>
      </c>
      <c r="I121" s="26">
        <v>50</v>
      </c>
      <c r="J121" s="26">
        <v>66</v>
      </c>
      <c r="K121" s="26">
        <v>32</v>
      </c>
      <c r="L121" s="26">
        <v>34</v>
      </c>
      <c r="M121" s="26">
        <v>11</v>
      </c>
      <c r="N121" s="26">
        <v>12</v>
      </c>
      <c r="O121" s="26">
        <v>10</v>
      </c>
      <c r="P121" s="26">
        <v>46</v>
      </c>
      <c r="Q121" s="70">
        <v>0</v>
      </c>
      <c r="R121" s="26">
        <v>322</v>
      </c>
    </row>
    <row r="122" spans="1:18" x14ac:dyDescent="0.35">
      <c r="A122" s="69">
        <v>17210060</v>
      </c>
      <c r="B122" s="69" t="s">
        <v>875</v>
      </c>
      <c r="C122" s="69" t="s">
        <v>876</v>
      </c>
      <c r="D122" s="69">
        <v>9822069547</v>
      </c>
      <c r="E122" s="69" t="s">
        <v>877</v>
      </c>
      <c r="F122" s="69" t="s">
        <v>1812</v>
      </c>
      <c r="G122" s="26">
        <v>260</v>
      </c>
      <c r="H122" s="26">
        <v>53</v>
      </c>
      <c r="I122" s="26"/>
      <c r="J122" s="26">
        <v>493</v>
      </c>
      <c r="K122" s="26">
        <v>76</v>
      </c>
      <c r="L122" s="26"/>
      <c r="M122" s="26">
        <v>76</v>
      </c>
      <c r="N122" s="26">
        <v>44</v>
      </c>
      <c r="O122" s="26">
        <v>30</v>
      </c>
      <c r="P122" s="26">
        <v>35</v>
      </c>
      <c r="Q122" s="70">
        <v>8</v>
      </c>
      <c r="R122" s="26">
        <v>322</v>
      </c>
    </row>
    <row r="123" spans="1:18" x14ac:dyDescent="0.35">
      <c r="A123" s="69">
        <v>17210096</v>
      </c>
      <c r="B123" s="69" t="s">
        <v>878</v>
      </c>
      <c r="C123" s="69" t="s">
        <v>879</v>
      </c>
      <c r="D123" s="69">
        <v>9850292251</v>
      </c>
      <c r="E123" s="69" t="s">
        <v>880</v>
      </c>
      <c r="F123" s="69" t="s">
        <v>1812</v>
      </c>
      <c r="G123" s="26">
        <v>24</v>
      </c>
      <c r="H123" s="26"/>
      <c r="I123" s="26"/>
      <c r="J123" s="26">
        <v>96</v>
      </c>
      <c r="K123" s="26">
        <v>7</v>
      </c>
      <c r="L123" s="26"/>
      <c r="M123" s="26">
        <v>20</v>
      </c>
      <c r="N123" s="26">
        <v>3</v>
      </c>
      <c r="O123" s="26"/>
      <c r="P123" s="26">
        <v>0</v>
      </c>
      <c r="Q123" s="70">
        <v>0</v>
      </c>
      <c r="R123" s="26">
        <v>321</v>
      </c>
    </row>
    <row r="124" spans="1:18" x14ac:dyDescent="0.35">
      <c r="A124" s="69">
        <v>17210107</v>
      </c>
      <c r="B124" s="69" t="s">
        <v>881</v>
      </c>
      <c r="C124" s="69" t="s">
        <v>882</v>
      </c>
      <c r="D124" s="69">
        <v>9011711185</v>
      </c>
      <c r="E124" s="69" t="s">
        <v>883</v>
      </c>
      <c r="F124" s="69" t="s">
        <v>1812</v>
      </c>
      <c r="G124" s="26">
        <v>62</v>
      </c>
      <c r="H124" s="26">
        <v>12</v>
      </c>
      <c r="I124" s="26"/>
      <c r="J124" s="26">
        <v>119</v>
      </c>
      <c r="K124" s="26">
        <v>19</v>
      </c>
      <c r="L124" s="26">
        <v>2</v>
      </c>
      <c r="M124" s="26">
        <v>3</v>
      </c>
      <c r="N124" s="26">
        <v>26</v>
      </c>
      <c r="O124" s="26">
        <v>2</v>
      </c>
      <c r="P124" s="26">
        <v>0</v>
      </c>
      <c r="Q124" s="70">
        <v>11</v>
      </c>
      <c r="R124" s="26">
        <v>320</v>
      </c>
    </row>
    <row r="125" spans="1:18" x14ac:dyDescent="0.35">
      <c r="A125" s="69">
        <v>17210109</v>
      </c>
      <c r="B125" s="69" t="s">
        <v>884</v>
      </c>
      <c r="C125" s="69" t="s">
        <v>885</v>
      </c>
      <c r="D125" s="69">
        <v>9423467299</v>
      </c>
      <c r="E125" s="69" t="s">
        <v>886</v>
      </c>
      <c r="F125" s="69" t="s">
        <v>1812</v>
      </c>
      <c r="G125" s="26">
        <v>12</v>
      </c>
      <c r="H125" s="26"/>
      <c r="I125" s="26">
        <v>28</v>
      </c>
      <c r="J125" s="26">
        <v>43</v>
      </c>
      <c r="K125" s="26">
        <v>18</v>
      </c>
      <c r="L125" s="26"/>
      <c r="M125" s="26">
        <v>9</v>
      </c>
      <c r="N125" s="26">
        <v>2</v>
      </c>
      <c r="O125" s="26">
        <v>7</v>
      </c>
      <c r="P125" s="26">
        <v>4</v>
      </c>
      <c r="Q125" s="70">
        <v>1</v>
      </c>
      <c r="R125" s="26">
        <v>318</v>
      </c>
    </row>
    <row r="126" spans="1:18" x14ac:dyDescent="0.35">
      <c r="A126" s="69">
        <v>17210112</v>
      </c>
      <c r="B126" s="69" t="s">
        <v>887</v>
      </c>
      <c r="C126" s="69" t="s">
        <v>888</v>
      </c>
      <c r="D126" s="69">
        <v>9890684382</v>
      </c>
      <c r="E126" s="69" t="s">
        <v>889</v>
      </c>
      <c r="F126" s="69" t="s">
        <v>1812</v>
      </c>
      <c r="G126" s="26">
        <v>102</v>
      </c>
      <c r="H126" s="26">
        <v>2</v>
      </c>
      <c r="I126" s="26">
        <v>50</v>
      </c>
      <c r="J126" s="26">
        <v>83</v>
      </c>
      <c r="K126" s="26">
        <v>18</v>
      </c>
      <c r="L126" s="26">
        <v>4</v>
      </c>
      <c r="M126" s="26">
        <v>6</v>
      </c>
      <c r="N126" s="26">
        <v>4</v>
      </c>
      <c r="O126" s="26">
        <v>6</v>
      </c>
      <c r="P126" s="26">
        <v>8</v>
      </c>
      <c r="Q126" s="70">
        <v>2</v>
      </c>
      <c r="R126" s="26">
        <v>318</v>
      </c>
    </row>
    <row r="127" spans="1:18" x14ac:dyDescent="0.35">
      <c r="A127" s="69">
        <v>17210149</v>
      </c>
      <c r="B127" s="69" t="s">
        <v>890</v>
      </c>
      <c r="C127" s="69" t="s">
        <v>891</v>
      </c>
      <c r="D127" s="69">
        <v>9850967905</v>
      </c>
      <c r="E127" s="69" t="s">
        <v>892</v>
      </c>
      <c r="F127" s="69" t="s">
        <v>1812</v>
      </c>
      <c r="G127" s="26">
        <v>33</v>
      </c>
      <c r="H127" s="26">
        <v>13</v>
      </c>
      <c r="I127" s="26">
        <v>88</v>
      </c>
      <c r="J127" s="26">
        <v>91</v>
      </c>
      <c r="K127" s="26">
        <v>45</v>
      </c>
      <c r="L127" s="26">
        <v>11</v>
      </c>
      <c r="M127" s="26">
        <v>41</v>
      </c>
      <c r="N127" s="26"/>
      <c r="O127" s="26">
        <v>32</v>
      </c>
      <c r="P127" s="26">
        <v>22</v>
      </c>
      <c r="Q127" s="70">
        <v>0</v>
      </c>
      <c r="R127" s="26">
        <v>312</v>
      </c>
    </row>
    <row r="128" spans="1:18" x14ac:dyDescent="0.35">
      <c r="A128" s="69">
        <v>17210161</v>
      </c>
      <c r="B128" s="69" t="s">
        <v>893</v>
      </c>
      <c r="C128" s="69" t="s">
        <v>894</v>
      </c>
      <c r="D128" s="69">
        <v>9970711606</v>
      </c>
      <c r="E128" s="69" t="s">
        <v>895</v>
      </c>
      <c r="F128" s="69" t="s">
        <v>1812</v>
      </c>
      <c r="G128" s="26">
        <v>7</v>
      </c>
      <c r="H128" s="26"/>
      <c r="I128" s="26">
        <v>80</v>
      </c>
      <c r="J128" s="26">
        <v>24</v>
      </c>
      <c r="K128" s="26">
        <v>5</v>
      </c>
      <c r="L128" s="26"/>
      <c r="M128" s="26">
        <v>10</v>
      </c>
      <c r="N128" s="26"/>
      <c r="O128" s="26">
        <v>3</v>
      </c>
      <c r="P128" s="26">
        <v>4</v>
      </c>
      <c r="Q128" s="70">
        <v>0</v>
      </c>
      <c r="R128" s="26">
        <v>312</v>
      </c>
    </row>
    <row r="129" spans="1:18" x14ac:dyDescent="0.35">
      <c r="A129" s="69">
        <v>17210168</v>
      </c>
      <c r="B129" s="69" t="s">
        <v>896</v>
      </c>
      <c r="C129" s="69" t="s">
        <v>897</v>
      </c>
      <c r="D129" s="69">
        <v>9421560411</v>
      </c>
      <c r="E129" s="69" t="s">
        <v>898</v>
      </c>
      <c r="F129" s="69" t="s">
        <v>1726</v>
      </c>
      <c r="G129" s="26">
        <v>4</v>
      </c>
      <c r="H129" s="26"/>
      <c r="I129" s="26">
        <v>86</v>
      </c>
      <c r="J129" s="26">
        <v>76</v>
      </c>
      <c r="K129" s="26">
        <v>7</v>
      </c>
      <c r="L129" s="26">
        <v>3</v>
      </c>
      <c r="M129" s="26">
        <v>4</v>
      </c>
      <c r="N129" s="26">
        <v>12</v>
      </c>
      <c r="O129" s="26"/>
      <c r="P129" s="26">
        <v>5</v>
      </c>
      <c r="Q129" s="70">
        <v>2</v>
      </c>
      <c r="R129" s="26">
        <v>311</v>
      </c>
    </row>
    <row r="130" spans="1:18" x14ac:dyDescent="0.35">
      <c r="A130" s="69">
        <v>17210183</v>
      </c>
      <c r="B130" s="69" t="s">
        <v>899</v>
      </c>
      <c r="C130" s="69" t="s">
        <v>900</v>
      </c>
      <c r="D130" s="69">
        <v>9423461913</v>
      </c>
      <c r="E130" s="69" t="s">
        <v>901</v>
      </c>
      <c r="F130" s="69" t="s">
        <v>1726</v>
      </c>
      <c r="G130" s="26"/>
      <c r="H130" s="26">
        <v>23</v>
      </c>
      <c r="I130" s="26"/>
      <c r="J130" s="26">
        <v>40</v>
      </c>
      <c r="K130" s="26"/>
      <c r="L130" s="26">
        <v>23</v>
      </c>
      <c r="M130" s="26"/>
      <c r="N130" s="26"/>
      <c r="O130" s="26">
        <v>21</v>
      </c>
      <c r="P130" s="26">
        <v>23</v>
      </c>
      <c r="Q130" s="70">
        <v>0</v>
      </c>
      <c r="R130" s="26">
        <v>310</v>
      </c>
    </row>
    <row r="131" spans="1:18" x14ac:dyDescent="0.35">
      <c r="A131" s="69">
        <v>17210194</v>
      </c>
      <c r="B131" s="69" t="s">
        <v>902</v>
      </c>
      <c r="C131" s="69" t="s">
        <v>903</v>
      </c>
      <c r="D131" s="69">
        <v>9423793421</v>
      </c>
      <c r="E131" s="69" t="s">
        <v>904</v>
      </c>
      <c r="F131" s="69" t="s">
        <v>1726</v>
      </c>
      <c r="G131" s="26">
        <v>28</v>
      </c>
      <c r="H131" s="26">
        <v>122</v>
      </c>
      <c r="I131" s="26"/>
      <c r="J131" s="26">
        <v>116</v>
      </c>
      <c r="K131" s="26">
        <v>34</v>
      </c>
      <c r="L131" s="26">
        <v>13</v>
      </c>
      <c r="M131" s="26">
        <v>15</v>
      </c>
      <c r="N131" s="26"/>
      <c r="O131" s="26">
        <v>7</v>
      </c>
      <c r="P131" s="26">
        <v>12</v>
      </c>
      <c r="Q131" s="70">
        <v>1</v>
      </c>
      <c r="R131" s="26">
        <v>309</v>
      </c>
    </row>
    <row r="132" spans="1:18" x14ac:dyDescent="0.35">
      <c r="A132" s="69">
        <v>17210205</v>
      </c>
      <c r="B132" s="69" t="s">
        <v>905</v>
      </c>
      <c r="C132" s="69" t="s">
        <v>906</v>
      </c>
      <c r="D132" s="69">
        <v>9423754209</v>
      </c>
      <c r="E132" s="69" t="s">
        <v>907</v>
      </c>
      <c r="F132" s="69" t="s">
        <v>1726</v>
      </c>
      <c r="G132" s="26">
        <v>35</v>
      </c>
      <c r="H132" s="26"/>
      <c r="I132" s="26">
        <v>18</v>
      </c>
      <c r="J132" s="26">
        <v>38</v>
      </c>
      <c r="K132" s="26">
        <v>22</v>
      </c>
      <c r="L132" s="26">
        <v>2</v>
      </c>
      <c r="M132" s="26">
        <v>4</v>
      </c>
      <c r="N132" s="26">
        <v>1</v>
      </c>
      <c r="O132" s="26"/>
      <c r="P132" s="26">
        <v>5</v>
      </c>
      <c r="Q132" s="70">
        <v>0</v>
      </c>
      <c r="R132" s="26">
        <v>309</v>
      </c>
    </row>
    <row r="133" spans="1:18" x14ac:dyDescent="0.35">
      <c r="A133" s="69">
        <v>17210233</v>
      </c>
      <c r="B133" s="69" t="s">
        <v>908</v>
      </c>
      <c r="C133" s="69" t="s">
        <v>909</v>
      </c>
      <c r="D133" s="69">
        <v>9975668944</v>
      </c>
      <c r="E133" s="69" t="s">
        <v>910</v>
      </c>
      <c r="F133" s="69" t="s">
        <v>1726</v>
      </c>
      <c r="G133" s="26">
        <v>7</v>
      </c>
      <c r="H133" s="26"/>
      <c r="I133" s="26">
        <v>70</v>
      </c>
      <c r="J133" s="26">
        <v>127</v>
      </c>
      <c r="K133" s="26">
        <v>83</v>
      </c>
      <c r="L133" s="26"/>
      <c r="M133" s="26">
        <v>10</v>
      </c>
      <c r="N133" s="26">
        <v>4</v>
      </c>
      <c r="O133" s="26">
        <v>11</v>
      </c>
      <c r="P133" s="26">
        <v>6</v>
      </c>
      <c r="Q133" s="70">
        <v>6</v>
      </c>
      <c r="R133" s="26">
        <v>308</v>
      </c>
    </row>
    <row r="134" spans="1:18" x14ac:dyDescent="0.35">
      <c r="A134" s="69">
        <v>17210234</v>
      </c>
      <c r="B134" s="69" t="s">
        <v>911</v>
      </c>
      <c r="C134" s="69" t="s">
        <v>912</v>
      </c>
      <c r="D134" s="69">
        <v>9423046448</v>
      </c>
      <c r="E134" s="69" t="s">
        <v>913</v>
      </c>
      <c r="F134" s="69" t="s">
        <v>1726</v>
      </c>
      <c r="G134" s="26">
        <v>91</v>
      </c>
      <c r="H134" s="26">
        <v>12</v>
      </c>
      <c r="I134" s="26">
        <v>108</v>
      </c>
      <c r="J134" s="26">
        <v>94</v>
      </c>
      <c r="K134" s="26">
        <v>50</v>
      </c>
      <c r="L134" s="26"/>
      <c r="M134" s="26">
        <v>49</v>
      </c>
      <c r="N134" s="26">
        <v>32</v>
      </c>
      <c r="O134" s="26">
        <v>29</v>
      </c>
      <c r="P134" s="26">
        <v>46</v>
      </c>
      <c r="Q134" s="70">
        <v>0</v>
      </c>
      <c r="R134" s="26">
        <v>306</v>
      </c>
    </row>
    <row r="135" spans="1:18" x14ac:dyDescent="0.35">
      <c r="A135" s="69">
        <v>17210249</v>
      </c>
      <c r="B135" s="69" t="s">
        <v>914</v>
      </c>
      <c r="C135" s="69" t="s">
        <v>915</v>
      </c>
      <c r="D135" s="69">
        <v>9423784490</v>
      </c>
      <c r="E135" s="69" t="s">
        <v>916</v>
      </c>
      <c r="F135" s="69" t="s">
        <v>1726</v>
      </c>
      <c r="G135" s="26">
        <v>7</v>
      </c>
      <c r="H135" s="26"/>
      <c r="I135" s="26">
        <v>20</v>
      </c>
      <c r="J135" s="26">
        <v>32</v>
      </c>
      <c r="K135" s="26">
        <v>12</v>
      </c>
      <c r="L135" s="26">
        <v>13</v>
      </c>
      <c r="M135" s="26">
        <v>6</v>
      </c>
      <c r="N135" s="26"/>
      <c r="O135" s="26">
        <v>3</v>
      </c>
      <c r="P135" s="26">
        <v>4</v>
      </c>
      <c r="Q135" s="70">
        <v>2</v>
      </c>
      <c r="R135" s="26">
        <v>306</v>
      </c>
    </row>
    <row r="136" spans="1:18" x14ac:dyDescent="0.35">
      <c r="A136" s="69">
        <v>17210273</v>
      </c>
      <c r="B136" s="69" t="s">
        <v>917</v>
      </c>
      <c r="C136" s="69" t="s">
        <v>918</v>
      </c>
      <c r="D136" s="69">
        <v>9850448553</v>
      </c>
      <c r="E136" s="69" t="s">
        <v>919</v>
      </c>
      <c r="F136" s="69" t="s">
        <v>1726</v>
      </c>
      <c r="G136" s="26">
        <v>19</v>
      </c>
      <c r="H136" s="26"/>
      <c r="I136" s="26"/>
      <c r="J136" s="26">
        <v>68</v>
      </c>
      <c r="K136" s="26">
        <v>2</v>
      </c>
      <c r="L136" s="26"/>
      <c r="M136" s="26"/>
      <c r="N136" s="26">
        <v>1</v>
      </c>
      <c r="O136" s="26"/>
      <c r="P136" s="26">
        <v>3</v>
      </c>
      <c r="Q136" s="70">
        <v>0</v>
      </c>
      <c r="R136" s="26">
        <v>305</v>
      </c>
    </row>
    <row r="137" spans="1:18" x14ac:dyDescent="0.35">
      <c r="A137" s="69">
        <v>17210280</v>
      </c>
      <c r="B137" s="69" t="s">
        <v>920</v>
      </c>
      <c r="C137" s="69" t="s">
        <v>921</v>
      </c>
      <c r="D137" s="69">
        <v>9970724799</v>
      </c>
      <c r="E137" s="69" t="s">
        <v>922</v>
      </c>
      <c r="F137" s="69" t="s">
        <v>1726</v>
      </c>
      <c r="G137" s="26">
        <v>19</v>
      </c>
      <c r="H137" s="26"/>
      <c r="I137" s="26"/>
      <c r="J137" s="26">
        <v>103</v>
      </c>
      <c r="K137" s="26"/>
      <c r="L137" s="26"/>
      <c r="M137" s="26"/>
      <c r="N137" s="26">
        <v>12</v>
      </c>
      <c r="O137" s="26">
        <v>4</v>
      </c>
      <c r="P137" s="26">
        <v>17</v>
      </c>
      <c r="Q137" s="70">
        <v>3</v>
      </c>
      <c r="R137" s="26">
        <v>305</v>
      </c>
    </row>
    <row r="138" spans="1:18" x14ac:dyDescent="0.35">
      <c r="A138" s="69">
        <v>17210288</v>
      </c>
      <c r="B138" s="69" t="s">
        <v>923</v>
      </c>
      <c r="C138" s="69" t="s">
        <v>924</v>
      </c>
      <c r="D138" s="69">
        <v>9960360987</v>
      </c>
      <c r="E138" s="69" t="s">
        <v>925</v>
      </c>
      <c r="F138" s="69" t="s">
        <v>1726</v>
      </c>
      <c r="G138" s="26"/>
      <c r="H138" s="26"/>
      <c r="I138" s="26"/>
      <c r="J138" s="26">
        <v>49</v>
      </c>
      <c r="K138" s="26"/>
      <c r="L138" s="26"/>
      <c r="M138" s="26"/>
      <c r="N138" s="26">
        <v>5</v>
      </c>
      <c r="O138" s="26">
        <v>0</v>
      </c>
      <c r="P138" s="26">
        <v>13</v>
      </c>
      <c r="Q138" s="70">
        <v>0</v>
      </c>
      <c r="R138" s="26">
        <v>304</v>
      </c>
    </row>
    <row r="139" spans="1:18" x14ac:dyDescent="0.35">
      <c r="A139" s="69">
        <v>17210289</v>
      </c>
      <c r="B139" s="69" t="s">
        <v>926</v>
      </c>
      <c r="C139" s="69" t="s">
        <v>927</v>
      </c>
      <c r="D139" s="69">
        <v>9730454890</v>
      </c>
      <c r="E139" s="69" t="s">
        <v>928</v>
      </c>
      <c r="F139" s="69" t="s">
        <v>1726</v>
      </c>
      <c r="G139" s="26"/>
      <c r="H139" s="26"/>
      <c r="I139" s="26">
        <v>9</v>
      </c>
      <c r="J139" s="26">
        <v>27</v>
      </c>
      <c r="K139" s="26">
        <v>3</v>
      </c>
      <c r="L139" s="26"/>
      <c r="M139" s="26">
        <v>13</v>
      </c>
      <c r="N139" s="26">
        <v>0</v>
      </c>
      <c r="O139" s="26"/>
      <c r="P139" s="26">
        <v>5</v>
      </c>
      <c r="Q139" s="70">
        <v>0</v>
      </c>
      <c r="R139" s="26">
        <v>298</v>
      </c>
    </row>
    <row r="140" spans="1:18" x14ac:dyDescent="0.35">
      <c r="A140" s="69">
        <v>17210296</v>
      </c>
      <c r="B140" s="69" t="s">
        <v>929</v>
      </c>
      <c r="C140" s="69" t="s">
        <v>930</v>
      </c>
      <c r="D140" s="69">
        <v>9970818616</v>
      </c>
      <c r="E140" s="69" t="s">
        <v>931</v>
      </c>
      <c r="F140" s="69" t="s">
        <v>1726</v>
      </c>
      <c r="G140" s="26">
        <v>18</v>
      </c>
      <c r="H140" s="26">
        <v>5</v>
      </c>
      <c r="I140" s="26">
        <v>38</v>
      </c>
      <c r="J140" s="26">
        <v>25</v>
      </c>
      <c r="K140" s="26">
        <v>14</v>
      </c>
      <c r="L140" s="26"/>
      <c r="M140" s="26">
        <v>6</v>
      </c>
      <c r="N140" s="26">
        <v>0</v>
      </c>
      <c r="O140" s="26"/>
      <c r="P140" s="26">
        <v>8</v>
      </c>
      <c r="Q140" s="70">
        <v>0</v>
      </c>
      <c r="R140" s="26">
        <v>297</v>
      </c>
    </row>
    <row r="141" spans="1:18" x14ac:dyDescent="0.35">
      <c r="A141" s="69">
        <v>18210002</v>
      </c>
      <c r="B141" s="69" t="s">
        <v>932</v>
      </c>
      <c r="C141" s="69" t="s">
        <v>933</v>
      </c>
      <c r="D141" s="69">
        <v>9594066788</v>
      </c>
      <c r="E141" s="69" t="s">
        <v>934</v>
      </c>
      <c r="F141" s="69" t="s">
        <v>1726</v>
      </c>
      <c r="G141" s="26">
        <v>75</v>
      </c>
      <c r="H141" s="26">
        <v>11</v>
      </c>
      <c r="I141" s="26">
        <v>100</v>
      </c>
      <c r="J141" s="26">
        <v>138</v>
      </c>
      <c r="K141" s="26">
        <v>60</v>
      </c>
      <c r="L141" s="26">
        <v>55</v>
      </c>
      <c r="M141" s="26">
        <v>49</v>
      </c>
      <c r="N141" s="26">
        <v>11</v>
      </c>
      <c r="O141" s="26">
        <v>41</v>
      </c>
      <c r="P141" s="26">
        <v>28</v>
      </c>
      <c r="Q141" s="70">
        <v>16</v>
      </c>
      <c r="R141" s="26">
        <v>295</v>
      </c>
    </row>
    <row r="142" spans="1:18" x14ac:dyDescent="0.35">
      <c r="A142" s="69">
        <v>18210004</v>
      </c>
      <c r="B142" s="69" t="s">
        <v>935</v>
      </c>
      <c r="C142" s="69" t="s">
        <v>936</v>
      </c>
      <c r="D142" s="69">
        <v>9322219070</v>
      </c>
      <c r="E142" s="69" t="s">
        <v>937</v>
      </c>
      <c r="F142" s="69" t="s">
        <v>1726</v>
      </c>
      <c r="G142" s="26">
        <v>93</v>
      </c>
      <c r="H142" s="26"/>
      <c r="I142" s="26">
        <v>50</v>
      </c>
      <c r="J142" s="26">
        <v>310</v>
      </c>
      <c r="K142" s="26">
        <v>88</v>
      </c>
      <c r="L142" s="26">
        <v>61</v>
      </c>
      <c r="M142" s="26">
        <v>85</v>
      </c>
      <c r="N142" s="26">
        <v>56</v>
      </c>
      <c r="O142" s="26">
        <v>40</v>
      </c>
      <c r="P142" s="26">
        <v>46</v>
      </c>
      <c r="Q142" s="70">
        <v>10</v>
      </c>
      <c r="R142" s="26">
        <v>294</v>
      </c>
    </row>
    <row r="143" spans="1:18" x14ac:dyDescent="0.35">
      <c r="A143" s="69">
        <v>18210017</v>
      </c>
      <c r="B143" s="69" t="s">
        <v>935</v>
      </c>
      <c r="C143" s="69" t="s">
        <v>938</v>
      </c>
      <c r="D143" s="69">
        <v>9870482537</v>
      </c>
      <c r="E143" s="69" t="s">
        <v>939</v>
      </c>
      <c r="F143" s="69" t="s">
        <v>1726</v>
      </c>
      <c r="G143" s="26">
        <v>26</v>
      </c>
      <c r="H143" s="26">
        <v>7</v>
      </c>
      <c r="I143" s="26">
        <v>25</v>
      </c>
      <c r="J143" s="26">
        <v>102</v>
      </c>
      <c r="K143" s="26">
        <v>17</v>
      </c>
      <c r="L143" s="26">
        <v>45</v>
      </c>
      <c r="M143" s="26">
        <v>37</v>
      </c>
      <c r="N143" s="26">
        <v>11</v>
      </c>
      <c r="O143" s="26">
        <v>6</v>
      </c>
      <c r="P143" s="26">
        <v>0</v>
      </c>
      <c r="Q143" s="70">
        <v>19</v>
      </c>
      <c r="R143" s="26">
        <v>292</v>
      </c>
    </row>
    <row r="144" spans="1:18" x14ac:dyDescent="0.35">
      <c r="A144" s="69">
        <v>18210044</v>
      </c>
      <c r="B144" s="69" t="s">
        <v>935</v>
      </c>
      <c r="C144" s="69" t="s">
        <v>940</v>
      </c>
      <c r="D144" s="69">
        <v>9820994920</v>
      </c>
      <c r="E144" s="69" t="s">
        <v>941</v>
      </c>
      <c r="F144" s="69" t="s">
        <v>1726</v>
      </c>
      <c r="G144" s="26">
        <v>12</v>
      </c>
      <c r="H144" s="26">
        <v>8</v>
      </c>
      <c r="I144" s="26"/>
      <c r="J144" s="26">
        <v>18</v>
      </c>
      <c r="K144" s="26"/>
      <c r="L144" s="26"/>
      <c r="M144" s="26">
        <v>22</v>
      </c>
      <c r="N144" s="26"/>
      <c r="O144" s="26"/>
      <c r="P144" s="26">
        <v>6</v>
      </c>
      <c r="Q144" s="70">
        <v>0</v>
      </c>
      <c r="R144" s="26">
        <v>292</v>
      </c>
    </row>
    <row r="145" spans="1:18" x14ac:dyDescent="0.35">
      <c r="A145" s="69">
        <v>18210049</v>
      </c>
      <c r="B145" s="69" t="s">
        <v>935</v>
      </c>
      <c r="C145" s="69" t="s">
        <v>942</v>
      </c>
      <c r="D145" s="69">
        <v>9869414474</v>
      </c>
      <c r="E145" s="69" t="s">
        <v>943</v>
      </c>
      <c r="F145" s="69" t="s">
        <v>1726</v>
      </c>
      <c r="G145" s="26">
        <v>18</v>
      </c>
      <c r="H145" s="26"/>
      <c r="I145" s="26"/>
      <c r="J145" s="26">
        <v>24</v>
      </c>
      <c r="K145" s="26"/>
      <c r="L145" s="26">
        <v>16</v>
      </c>
      <c r="M145" s="26">
        <v>16</v>
      </c>
      <c r="N145" s="26">
        <v>16</v>
      </c>
      <c r="O145" s="26"/>
      <c r="P145" s="26">
        <v>11</v>
      </c>
      <c r="Q145" s="70">
        <v>0</v>
      </c>
      <c r="R145" s="26">
        <v>291</v>
      </c>
    </row>
    <row r="146" spans="1:18" x14ac:dyDescent="0.35">
      <c r="A146" s="69">
        <v>18210050</v>
      </c>
      <c r="B146" s="69" t="s">
        <v>935</v>
      </c>
      <c r="C146" s="69" t="s">
        <v>944</v>
      </c>
      <c r="D146" s="69">
        <v>9833104217</v>
      </c>
      <c r="E146" s="69" t="s">
        <v>945</v>
      </c>
      <c r="F146" s="69" t="s">
        <v>1726</v>
      </c>
      <c r="G146" s="26"/>
      <c r="H146" s="26">
        <v>16</v>
      </c>
      <c r="I146" s="26"/>
      <c r="J146" s="26"/>
      <c r="K146" s="26">
        <v>26</v>
      </c>
      <c r="L146" s="26">
        <v>20</v>
      </c>
      <c r="M146" s="26">
        <v>10</v>
      </c>
      <c r="N146" s="26"/>
      <c r="O146" s="26"/>
      <c r="P146" s="26">
        <v>17</v>
      </c>
      <c r="Q146" s="70">
        <v>7</v>
      </c>
      <c r="R146" s="26">
        <v>289</v>
      </c>
    </row>
    <row r="147" spans="1:18" x14ac:dyDescent="0.35">
      <c r="A147" s="69">
        <v>19210012</v>
      </c>
      <c r="B147" s="69" t="s">
        <v>946</v>
      </c>
      <c r="C147" s="69" t="s">
        <v>947</v>
      </c>
      <c r="D147" s="69">
        <v>9272980098</v>
      </c>
      <c r="E147" s="69" t="s">
        <v>948</v>
      </c>
      <c r="F147" s="69" t="s">
        <v>1726</v>
      </c>
      <c r="G147" s="26"/>
      <c r="H147" s="26">
        <v>28</v>
      </c>
      <c r="I147" s="26">
        <v>53</v>
      </c>
      <c r="J147" s="26">
        <v>205</v>
      </c>
      <c r="K147" s="26">
        <v>44</v>
      </c>
      <c r="L147" s="26">
        <v>19</v>
      </c>
      <c r="M147" s="26">
        <v>34</v>
      </c>
      <c r="N147" s="26">
        <v>21</v>
      </c>
      <c r="O147" s="26">
        <v>10</v>
      </c>
      <c r="P147" s="26">
        <v>32</v>
      </c>
      <c r="Q147" s="70">
        <v>11</v>
      </c>
      <c r="R147" s="26">
        <v>288</v>
      </c>
    </row>
    <row r="148" spans="1:18" x14ac:dyDescent="0.35">
      <c r="A148" s="69">
        <v>19210014</v>
      </c>
      <c r="B148" s="69" t="s">
        <v>950</v>
      </c>
      <c r="C148" s="69" t="s">
        <v>951</v>
      </c>
      <c r="D148" s="69">
        <v>9819192156</v>
      </c>
      <c r="E148" s="69" t="s">
        <v>952</v>
      </c>
      <c r="F148" s="69" t="s">
        <v>1726</v>
      </c>
      <c r="G148" s="26">
        <v>50</v>
      </c>
      <c r="H148" s="26">
        <v>6</v>
      </c>
      <c r="I148" s="26">
        <v>72</v>
      </c>
      <c r="J148" s="26">
        <v>58</v>
      </c>
      <c r="K148" s="26">
        <v>24</v>
      </c>
      <c r="L148" s="26">
        <v>19</v>
      </c>
      <c r="M148" s="26">
        <v>21</v>
      </c>
      <c r="N148" s="26">
        <v>18</v>
      </c>
      <c r="O148" s="26">
        <v>8</v>
      </c>
      <c r="P148" s="26">
        <v>6</v>
      </c>
      <c r="Q148" s="70">
        <v>6</v>
      </c>
      <c r="R148" s="26">
        <v>287</v>
      </c>
    </row>
    <row r="149" spans="1:18" x14ac:dyDescent="0.35">
      <c r="A149" s="69">
        <v>19210015</v>
      </c>
      <c r="B149" s="69" t="s">
        <v>953</v>
      </c>
      <c r="C149" s="69" t="s">
        <v>954</v>
      </c>
      <c r="D149" s="69">
        <v>9421159084</v>
      </c>
      <c r="E149" s="69" t="s">
        <v>955</v>
      </c>
      <c r="F149" s="69" t="s">
        <v>1386</v>
      </c>
      <c r="G149" s="26">
        <v>13</v>
      </c>
      <c r="H149" s="26"/>
      <c r="I149" s="26">
        <v>22</v>
      </c>
      <c r="J149" s="26">
        <v>73</v>
      </c>
      <c r="K149" s="26">
        <v>16</v>
      </c>
      <c r="L149" s="26"/>
      <c r="M149" s="26">
        <v>27</v>
      </c>
      <c r="N149" s="26">
        <v>3</v>
      </c>
      <c r="O149" s="26">
        <v>2</v>
      </c>
      <c r="P149" s="26">
        <v>4</v>
      </c>
      <c r="Q149" s="70">
        <v>4</v>
      </c>
      <c r="R149" s="26">
        <v>285</v>
      </c>
    </row>
    <row r="150" spans="1:18" x14ac:dyDescent="0.35">
      <c r="A150" s="69">
        <v>19210017</v>
      </c>
      <c r="B150" s="69" t="s">
        <v>956</v>
      </c>
      <c r="C150" s="69" t="s">
        <v>957</v>
      </c>
      <c r="D150" s="69">
        <v>9421254610</v>
      </c>
      <c r="E150" s="69" t="s">
        <v>958</v>
      </c>
      <c r="F150" s="69" t="s">
        <v>1386</v>
      </c>
      <c r="G150" s="26">
        <v>1</v>
      </c>
      <c r="H150" s="26"/>
      <c r="I150" s="26">
        <v>36</v>
      </c>
      <c r="J150" s="26">
        <v>26</v>
      </c>
      <c r="K150" s="26">
        <v>4</v>
      </c>
      <c r="L150" s="26"/>
      <c r="M150" s="26">
        <v>6</v>
      </c>
      <c r="N150" s="26"/>
      <c r="O150" s="26"/>
      <c r="P150" s="26">
        <v>3</v>
      </c>
      <c r="Q150" s="70">
        <v>2</v>
      </c>
      <c r="R150" s="26">
        <v>285</v>
      </c>
    </row>
    <row r="151" spans="1:18" x14ac:dyDescent="0.35">
      <c r="A151" s="69">
        <v>19210018</v>
      </c>
      <c r="B151" s="69" t="s">
        <v>959</v>
      </c>
      <c r="C151" s="69" t="s">
        <v>960</v>
      </c>
      <c r="D151" s="69">
        <v>9011234839</v>
      </c>
      <c r="E151" s="69" t="s">
        <v>961</v>
      </c>
      <c r="F151" s="69" t="s">
        <v>1386</v>
      </c>
      <c r="G151" s="26">
        <v>5</v>
      </c>
      <c r="H151" s="26">
        <v>1</v>
      </c>
      <c r="I151" s="26">
        <v>42</v>
      </c>
      <c r="J151" s="26">
        <v>18</v>
      </c>
      <c r="K151" s="26"/>
      <c r="L151" s="26">
        <v>19</v>
      </c>
      <c r="M151" s="26">
        <v>9</v>
      </c>
      <c r="N151" s="26"/>
      <c r="O151" s="26"/>
      <c r="P151" s="26">
        <v>0</v>
      </c>
      <c r="Q151" s="70">
        <v>6</v>
      </c>
      <c r="R151" s="26">
        <v>282</v>
      </c>
    </row>
    <row r="152" spans="1:18" x14ac:dyDescent="0.35">
      <c r="A152" s="69">
        <v>19210145</v>
      </c>
      <c r="B152" s="69" t="s">
        <v>935</v>
      </c>
      <c r="C152" s="69" t="s">
        <v>962</v>
      </c>
      <c r="D152" s="69">
        <v>9146042227</v>
      </c>
      <c r="E152" s="69" t="s">
        <v>963</v>
      </c>
      <c r="F152" s="69" t="s">
        <v>1386</v>
      </c>
      <c r="G152" s="26">
        <v>5</v>
      </c>
      <c r="H152" s="26"/>
      <c r="I152" s="26">
        <v>11</v>
      </c>
      <c r="J152" s="26">
        <v>6</v>
      </c>
      <c r="K152" s="26">
        <v>15</v>
      </c>
      <c r="L152" s="26">
        <v>9</v>
      </c>
      <c r="M152" s="26">
        <v>8</v>
      </c>
      <c r="N152" s="26">
        <v>8</v>
      </c>
      <c r="O152" s="26">
        <v>8</v>
      </c>
      <c r="P152" s="26">
        <v>7</v>
      </c>
      <c r="Q152" s="70">
        <v>2</v>
      </c>
      <c r="R152" s="26">
        <v>282</v>
      </c>
    </row>
    <row r="153" spans="1:18" x14ac:dyDescent="0.35">
      <c r="A153" s="69">
        <v>19210192</v>
      </c>
      <c r="B153" s="69" t="s">
        <v>964</v>
      </c>
      <c r="C153" s="69" t="s">
        <v>965</v>
      </c>
      <c r="D153" s="69">
        <v>9702999849</v>
      </c>
      <c r="E153" s="69" t="s">
        <v>966</v>
      </c>
      <c r="F153" s="69" t="s">
        <v>1386</v>
      </c>
      <c r="G153" s="26">
        <v>6</v>
      </c>
      <c r="H153" s="26"/>
      <c r="I153" s="26"/>
      <c r="J153" s="26">
        <v>9</v>
      </c>
      <c r="K153" s="26">
        <v>6</v>
      </c>
      <c r="L153" s="26">
        <v>3</v>
      </c>
      <c r="M153" s="26">
        <v>2</v>
      </c>
      <c r="N153" s="26">
        <v>3</v>
      </c>
      <c r="O153" s="26">
        <v>2</v>
      </c>
      <c r="P153" s="26">
        <v>0</v>
      </c>
      <c r="Q153" s="70">
        <v>0</v>
      </c>
      <c r="R153" s="26">
        <v>281</v>
      </c>
    </row>
    <row r="154" spans="1:18" x14ac:dyDescent="0.35">
      <c r="A154" s="69">
        <v>19210210</v>
      </c>
      <c r="B154" s="69" t="s">
        <v>967</v>
      </c>
      <c r="C154" s="69" t="s">
        <v>968</v>
      </c>
      <c r="D154" s="69">
        <v>9870227217</v>
      </c>
      <c r="E154" s="69" t="s">
        <v>969</v>
      </c>
      <c r="F154" s="69" t="s">
        <v>1386</v>
      </c>
      <c r="G154" s="26">
        <v>11</v>
      </c>
      <c r="H154" s="26">
        <v>3</v>
      </c>
      <c r="I154" s="26">
        <v>40</v>
      </c>
      <c r="J154" s="26">
        <v>40</v>
      </c>
      <c r="K154" s="26">
        <v>13</v>
      </c>
      <c r="L154" s="26">
        <v>5</v>
      </c>
      <c r="M154" s="26">
        <v>7</v>
      </c>
      <c r="N154" s="26">
        <v>5</v>
      </c>
      <c r="O154" s="26">
        <v>2</v>
      </c>
      <c r="P154" s="26">
        <v>11</v>
      </c>
      <c r="Q154" s="70">
        <v>1</v>
      </c>
      <c r="R154" s="26">
        <v>281</v>
      </c>
    </row>
    <row r="155" spans="1:18" x14ac:dyDescent="0.35">
      <c r="A155" s="69">
        <v>21210003</v>
      </c>
      <c r="B155" s="69" t="s">
        <v>970</v>
      </c>
      <c r="C155" s="69" t="s">
        <v>971</v>
      </c>
      <c r="D155" s="69">
        <v>9423016624</v>
      </c>
      <c r="E155" s="69" t="s">
        <v>972</v>
      </c>
      <c r="F155" s="69" t="s">
        <v>1386</v>
      </c>
      <c r="G155" s="26">
        <v>75</v>
      </c>
      <c r="H155" s="26"/>
      <c r="I155" s="26">
        <v>51</v>
      </c>
      <c r="J155" s="26">
        <v>181</v>
      </c>
      <c r="K155" s="26">
        <v>74</v>
      </c>
      <c r="L155" s="26"/>
      <c r="M155" s="26">
        <v>87</v>
      </c>
      <c r="N155" s="26">
        <v>30</v>
      </c>
      <c r="O155" s="26">
        <v>31</v>
      </c>
      <c r="P155" s="26">
        <v>55</v>
      </c>
      <c r="Q155" s="70">
        <v>0</v>
      </c>
      <c r="R155" s="26">
        <v>280</v>
      </c>
    </row>
    <row r="156" spans="1:18" x14ac:dyDescent="0.35">
      <c r="A156" s="69">
        <v>21210051</v>
      </c>
      <c r="B156" s="69" t="s">
        <v>974</v>
      </c>
      <c r="C156" s="69" t="s">
        <v>975</v>
      </c>
      <c r="D156" s="69">
        <v>9890255373</v>
      </c>
      <c r="E156" s="69" t="s">
        <v>976</v>
      </c>
      <c r="F156" s="69" t="s">
        <v>1386</v>
      </c>
      <c r="G156" s="26"/>
      <c r="H156" s="26">
        <v>4</v>
      </c>
      <c r="I156" s="26"/>
      <c r="J156" s="26">
        <v>39</v>
      </c>
      <c r="K156" s="26">
        <v>17</v>
      </c>
      <c r="L156" s="26">
        <v>4</v>
      </c>
      <c r="M156" s="26">
        <v>7</v>
      </c>
      <c r="N156" s="26">
        <v>3</v>
      </c>
      <c r="O156" s="26">
        <v>6</v>
      </c>
      <c r="P156" s="26">
        <v>0</v>
      </c>
      <c r="Q156" s="70">
        <v>9</v>
      </c>
      <c r="R156" s="26">
        <v>278</v>
      </c>
    </row>
    <row r="157" spans="1:18" x14ac:dyDescent="0.35">
      <c r="A157" s="69">
        <v>21210061</v>
      </c>
      <c r="B157" s="69" t="s">
        <v>977</v>
      </c>
      <c r="C157" s="69" t="s">
        <v>978</v>
      </c>
      <c r="D157" s="69">
        <v>9270119010</v>
      </c>
      <c r="E157" s="69" t="s">
        <v>979</v>
      </c>
      <c r="F157" s="69" t="s">
        <v>1386</v>
      </c>
      <c r="G157" s="26">
        <v>18</v>
      </c>
      <c r="H157" s="26">
        <v>1</v>
      </c>
      <c r="I157" s="26">
        <v>36</v>
      </c>
      <c r="J157" s="26">
        <v>21</v>
      </c>
      <c r="K157" s="26"/>
      <c r="L157" s="26">
        <v>23</v>
      </c>
      <c r="M157" s="26">
        <v>27</v>
      </c>
      <c r="N157" s="26">
        <v>1</v>
      </c>
      <c r="O157" s="26"/>
      <c r="P157" s="26">
        <v>25</v>
      </c>
      <c r="Q157" s="70">
        <v>5</v>
      </c>
      <c r="R157" s="26">
        <v>277</v>
      </c>
    </row>
    <row r="158" spans="1:18" x14ac:dyDescent="0.35">
      <c r="A158" s="69">
        <v>21210063</v>
      </c>
      <c r="B158" s="69" t="s">
        <v>980</v>
      </c>
      <c r="C158" s="69" t="s">
        <v>981</v>
      </c>
      <c r="D158" s="69">
        <v>9422787105</v>
      </c>
      <c r="E158" s="69" t="s">
        <v>982</v>
      </c>
      <c r="F158" s="69" t="s">
        <v>1386</v>
      </c>
      <c r="G158" s="26">
        <v>32</v>
      </c>
      <c r="H158" s="26">
        <v>4</v>
      </c>
      <c r="I158" s="26">
        <v>14</v>
      </c>
      <c r="J158" s="26">
        <v>43</v>
      </c>
      <c r="K158" s="26">
        <v>10</v>
      </c>
      <c r="L158" s="26">
        <v>21</v>
      </c>
      <c r="M158" s="26">
        <v>12</v>
      </c>
      <c r="N158" s="26">
        <v>7</v>
      </c>
      <c r="O158" s="26">
        <v>9</v>
      </c>
      <c r="P158" s="26">
        <v>0</v>
      </c>
      <c r="Q158" s="70">
        <v>10</v>
      </c>
      <c r="R158" s="26">
        <v>277</v>
      </c>
    </row>
    <row r="159" spans="1:18" x14ac:dyDescent="0.35">
      <c r="A159" s="69">
        <v>21210064</v>
      </c>
      <c r="B159" s="69" t="s">
        <v>983</v>
      </c>
      <c r="C159" s="69" t="s">
        <v>984</v>
      </c>
      <c r="D159" s="69">
        <v>9860093456</v>
      </c>
      <c r="E159" s="69" t="s">
        <v>985</v>
      </c>
      <c r="F159" s="69" t="s">
        <v>1386</v>
      </c>
      <c r="G159" s="26">
        <v>29</v>
      </c>
      <c r="H159" s="26">
        <v>17</v>
      </c>
      <c r="I159" s="26">
        <v>89</v>
      </c>
      <c r="J159" s="26">
        <v>90</v>
      </c>
      <c r="K159" s="26">
        <v>26</v>
      </c>
      <c r="L159" s="26">
        <v>15</v>
      </c>
      <c r="M159" s="26">
        <v>20</v>
      </c>
      <c r="N159" s="26">
        <v>13</v>
      </c>
      <c r="O159" s="26">
        <v>25</v>
      </c>
      <c r="P159" s="26">
        <v>27</v>
      </c>
      <c r="Q159" s="70">
        <v>10</v>
      </c>
      <c r="R159" s="26">
        <v>276</v>
      </c>
    </row>
    <row r="160" spans="1:18" x14ac:dyDescent="0.35">
      <c r="A160" s="69">
        <v>21210068</v>
      </c>
      <c r="B160" s="69" t="s">
        <v>986</v>
      </c>
      <c r="C160" s="69" t="s">
        <v>987</v>
      </c>
      <c r="D160" s="69">
        <v>9420721700</v>
      </c>
      <c r="E160" s="69" t="s">
        <v>988</v>
      </c>
      <c r="F160" s="69" t="s">
        <v>1386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>
        <v>0</v>
      </c>
      <c r="Q160" s="70">
        <v>0</v>
      </c>
      <c r="R160" s="26">
        <v>275</v>
      </c>
    </row>
    <row r="161" spans="1:18" x14ac:dyDescent="0.35">
      <c r="A161" s="69">
        <v>21210069</v>
      </c>
      <c r="B161" s="69" t="s">
        <v>989</v>
      </c>
      <c r="C161" s="69" t="s">
        <v>990</v>
      </c>
      <c r="D161" s="69">
        <v>9096101066</v>
      </c>
      <c r="E161" s="69" t="s">
        <v>991</v>
      </c>
      <c r="F161" s="69" t="s">
        <v>1386</v>
      </c>
      <c r="G161" s="26">
        <v>55</v>
      </c>
      <c r="H161" s="26">
        <v>6</v>
      </c>
      <c r="I161" s="26">
        <v>50</v>
      </c>
      <c r="J161" s="26">
        <v>66</v>
      </c>
      <c r="K161" s="26">
        <v>19</v>
      </c>
      <c r="L161" s="26"/>
      <c r="M161" s="26">
        <v>35</v>
      </c>
      <c r="N161" s="26">
        <v>1</v>
      </c>
      <c r="O161" s="26">
        <v>33</v>
      </c>
      <c r="P161" s="26">
        <v>27</v>
      </c>
      <c r="Q161" s="70">
        <v>17</v>
      </c>
      <c r="R161" s="26">
        <v>275</v>
      </c>
    </row>
    <row r="162" spans="1:18" x14ac:dyDescent="0.35">
      <c r="A162" s="69">
        <v>21210071</v>
      </c>
      <c r="B162" s="69" t="s">
        <v>992</v>
      </c>
      <c r="C162" s="69" t="s">
        <v>993</v>
      </c>
      <c r="D162" s="69">
        <v>9226415153</v>
      </c>
      <c r="E162" s="69" t="s">
        <v>994</v>
      </c>
      <c r="F162" s="69" t="s">
        <v>1386</v>
      </c>
      <c r="G162" s="26">
        <v>16</v>
      </c>
      <c r="H162" s="26">
        <v>5</v>
      </c>
      <c r="I162" s="26"/>
      <c r="J162" s="26">
        <v>40</v>
      </c>
      <c r="K162" s="26">
        <v>8</v>
      </c>
      <c r="L162" s="26">
        <v>17</v>
      </c>
      <c r="M162" s="26">
        <v>14</v>
      </c>
      <c r="N162" s="26">
        <v>11</v>
      </c>
      <c r="O162" s="26">
        <v>9</v>
      </c>
      <c r="P162" s="26">
        <v>27</v>
      </c>
      <c r="Q162" s="70">
        <v>6</v>
      </c>
      <c r="R162" s="26">
        <v>274</v>
      </c>
    </row>
    <row r="163" spans="1:18" x14ac:dyDescent="0.35">
      <c r="A163" s="69">
        <v>21210075</v>
      </c>
      <c r="B163" s="69" t="s">
        <v>995</v>
      </c>
      <c r="C163" s="69" t="s">
        <v>996</v>
      </c>
      <c r="D163" s="69">
        <v>9403260029</v>
      </c>
      <c r="E163" s="69" t="s">
        <v>997</v>
      </c>
      <c r="F163" s="69" t="s">
        <v>1386</v>
      </c>
      <c r="G163" s="26"/>
      <c r="H163" s="26"/>
      <c r="I163" s="26"/>
      <c r="J163" s="26">
        <v>68</v>
      </c>
      <c r="K163" s="26"/>
      <c r="L163" s="26"/>
      <c r="M163" s="26"/>
      <c r="N163" s="26">
        <v>0</v>
      </c>
      <c r="O163" s="26">
        <v>5</v>
      </c>
      <c r="P163" s="26">
        <v>15</v>
      </c>
      <c r="Q163" s="70">
        <v>0</v>
      </c>
      <c r="R163" s="26">
        <v>271</v>
      </c>
    </row>
    <row r="164" spans="1:18" x14ac:dyDescent="0.35">
      <c r="A164" s="69">
        <v>21210077</v>
      </c>
      <c r="B164" s="69" t="s">
        <v>998</v>
      </c>
      <c r="C164" s="69" t="s">
        <v>999</v>
      </c>
      <c r="D164" s="69">
        <v>9270820852</v>
      </c>
      <c r="E164" s="69" t="s">
        <v>1000</v>
      </c>
      <c r="F164" s="69" t="s">
        <v>1386</v>
      </c>
      <c r="G164" s="26">
        <v>24</v>
      </c>
      <c r="H164" s="26">
        <v>2</v>
      </c>
      <c r="I164" s="26">
        <v>37</v>
      </c>
      <c r="J164" s="26">
        <v>23</v>
      </c>
      <c r="K164" s="26">
        <v>10</v>
      </c>
      <c r="L164" s="26">
        <v>12</v>
      </c>
      <c r="M164" s="26">
        <v>8</v>
      </c>
      <c r="N164" s="26">
        <v>13</v>
      </c>
      <c r="O164" s="26">
        <v>7</v>
      </c>
      <c r="P164" s="26">
        <v>31</v>
      </c>
      <c r="Q164" s="70">
        <v>2</v>
      </c>
      <c r="R164" s="26">
        <v>271</v>
      </c>
    </row>
    <row r="165" spans="1:18" x14ac:dyDescent="0.35">
      <c r="A165" s="69">
        <v>21210080</v>
      </c>
      <c r="B165" s="69" t="s">
        <v>1001</v>
      </c>
      <c r="C165" s="69" t="s">
        <v>1002</v>
      </c>
      <c r="D165" s="69">
        <v>9822648810</v>
      </c>
      <c r="E165" s="69" t="s">
        <v>1003</v>
      </c>
      <c r="F165" s="69" t="s">
        <v>1386</v>
      </c>
      <c r="G165" s="26">
        <v>78</v>
      </c>
      <c r="H165" s="26">
        <v>21</v>
      </c>
      <c r="I165" s="26">
        <v>51</v>
      </c>
      <c r="J165" s="26">
        <v>191</v>
      </c>
      <c r="K165" s="26">
        <v>59</v>
      </c>
      <c r="L165" s="26">
        <v>29</v>
      </c>
      <c r="M165" s="26">
        <v>52</v>
      </c>
      <c r="N165" s="26">
        <v>57</v>
      </c>
      <c r="O165" s="26">
        <v>39</v>
      </c>
      <c r="P165" s="26">
        <v>28</v>
      </c>
      <c r="Q165" s="70">
        <v>12</v>
      </c>
      <c r="R165" s="26">
        <v>270</v>
      </c>
    </row>
    <row r="166" spans="1:18" x14ac:dyDescent="0.35">
      <c r="A166" s="69">
        <v>21210081</v>
      </c>
      <c r="B166" s="69" t="s">
        <v>1004</v>
      </c>
      <c r="C166" s="69" t="s">
        <v>1005</v>
      </c>
      <c r="D166" s="69">
        <v>9423917778</v>
      </c>
      <c r="E166" s="69" t="s">
        <v>1006</v>
      </c>
      <c r="F166" s="69" t="s">
        <v>1386</v>
      </c>
      <c r="G166" s="26"/>
      <c r="H166" s="26">
        <v>48</v>
      </c>
      <c r="I166" s="26">
        <v>57</v>
      </c>
      <c r="J166" s="26">
        <v>71</v>
      </c>
      <c r="K166" s="26">
        <v>18</v>
      </c>
      <c r="L166" s="26"/>
      <c r="M166" s="26">
        <v>22</v>
      </c>
      <c r="N166" s="26">
        <v>39</v>
      </c>
      <c r="O166" s="26">
        <v>11</v>
      </c>
      <c r="P166" s="26">
        <v>10</v>
      </c>
      <c r="Q166" s="70">
        <v>5</v>
      </c>
      <c r="R166" s="26">
        <v>266</v>
      </c>
    </row>
    <row r="167" spans="1:18" x14ac:dyDescent="0.35">
      <c r="A167" s="69">
        <v>21210082</v>
      </c>
      <c r="B167" s="69" t="s">
        <v>1007</v>
      </c>
      <c r="C167" s="69" t="s">
        <v>1008</v>
      </c>
      <c r="D167" s="69">
        <v>9922719769</v>
      </c>
      <c r="E167" s="69" t="s">
        <v>1009</v>
      </c>
      <c r="F167" s="69" t="s">
        <v>1386</v>
      </c>
      <c r="G167" s="26">
        <v>124</v>
      </c>
      <c r="H167" s="26">
        <v>11</v>
      </c>
      <c r="I167" s="26">
        <v>155</v>
      </c>
      <c r="J167" s="26">
        <v>195</v>
      </c>
      <c r="K167" s="26">
        <v>15</v>
      </c>
      <c r="L167" s="26">
        <v>17</v>
      </c>
      <c r="M167" s="26">
        <v>29</v>
      </c>
      <c r="N167" s="26">
        <v>31</v>
      </c>
      <c r="O167" s="26">
        <v>36</v>
      </c>
      <c r="P167" s="26">
        <v>23</v>
      </c>
      <c r="Q167" s="70">
        <v>22</v>
      </c>
      <c r="R167" s="26">
        <v>266</v>
      </c>
    </row>
    <row r="168" spans="1:18" x14ac:dyDescent="0.35">
      <c r="A168" s="69">
        <v>21210087</v>
      </c>
      <c r="B168" s="69" t="s">
        <v>1010</v>
      </c>
      <c r="C168" s="69" t="s">
        <v>1011</v>
      </c>
      <c r="D168" s="69">
        <v>9579255268</v>
      </c>
      <c r="E168" s="69" t="s">
        <v>1012</v>
      </c>
      <c r="F168" s="69" t="s">
        <v>1386</v>
      </c>
      <c r="G168" s="26">
        <v>2</v>
      </c>
      <c r="H168" s="26">
        <v>15</v>
      </c>
      <c r="I168" s="26">
        <v>104</v>
      </c>
      <c r="J168" s="26">
        <v>25</v>
      </c>
      <c r="K168" s="26">
        <v>17</v>
      </c>
      <c r="L168" s="26"/>
      <c r="M168" s="26">
        <v>9</v>
      </c>
      <c r="N168" s="26">
        <v>32</v>
      </c>
      <c r="O168" s="26">
        <v>13</v>
      </c>
      <c r="P168" s="26">
        <v>12</v>
      </c>
      <c r="Q168" s="70">
        <v>12</v>
      </c>
      <c r="R168" s="26">
        <v>264</v>
      </c>
    </row>
    <row r="169" spans="1:18" x14ac:dyDescent="0.35">
      <c r="A169" s="69">
        <v>21210095</v>
      </c>
      <c r="B169" s="69" t="s">
        <v>1013</v>
      </c>
      <c r="C169" s="69" t="s">
        <v>1014</v>
      </c>
      <c r="D169" s="69">
        <v>9226778289</v>
      </c>
      <c r="E169" s="69" t="s">
        <v>1015</v>
      </c>
      <c r="F169" s="69" t="s">
        <v>231</v>
      </c>
      <c r="G169" s="26">
        <v>14</v>
      </c>
      <c r="H169" s="26"/>
      <c r="I169" s="26">
        <v>40</v>
      </c>
      <c r="J169" s="26">
        <v>25</v>
      </c>
      <c r="K169" s="26">
        <v>18</v>
      </c>
      <c r="L169" s="26">
        <v>12</v>
      </c>
      <c r="M169" s="26">
        <v>5</v>
      </c>
      <c r="N169" s="26">
        <v>8</v>
      </c>
      <c r="O169" s="26">
        <v>10</v>
      </c>
      <c r="P169" s="26">
        <v>7</v>
      </c>
      <c r="Q169" s="70">
        <v>9</v>
      </c>
      <c r="R169" s="26">
        <v>263</v>
      </c>
    </row>
    <row r="170" spans="1:18" x14ac:dyDescent="0.35">
      <c r="A170" s="69">
        <v>22210001</v>
      </c>
      <c r="B170" s="69" t="s">
        <v>1016</v>
      </c>
      <c r="C170" s="69" t="s">
        <v>1017</v>
      </c>
      <c r="D170" s="69">
        <v>9423611239</v>
      </c>
      <c r="E170" s="69" t="s">
        <v>1018</v>
      </c>
      <c r="F170" s="69" t="s">
        <v>231</v>
      </c>
      <c r="G170" s="26">
        <v>21</v>
      </c>
      <c r="H170" s="26"/>
      <c r="I170" s="26">
        <v>73</v>
      </c>
      <c r="J170" s="26">
        <v>77</v>
      </c>
      <c r="K170" s="26"/>
      <c r="L170" s="26">
        <v>16</v>
      </c>
      <c r="M170" s="26">
        <v>9</v>
      </c>
      <c r="N170" s="26">
        <v>8</v>
      </c>
      <c r="O170" s="26">
        <v>8</v>
      </c>
      <c r="P170" s="26">
        <v>8</v>
      </c>
      <c r="Q170" s="70">
        <v>0</v>
      </c>
      <c r="R170" s="26">
        <v>259</v>
      </c>
    </row>
    <row r="171" spans="1:18" x14ac:dyDescent="0.35">
      <c r="A171" s="69">
        <v>22210002</v>
      </c>
      <c r="B171" s="69" t="s">
        <v>1020</v>
      </c>
      <c r="C171" s="69" t="s">
        <v>1021</v>
      </c>
      <c r="D171" s="69">
        <v>9423611241</v>
      </c>
      <c r="E171" s="69" t="s">
        <v>1022</v>
      </c>
      <c r="F171" s="69" t="s">
        <v>231</v>
      </c>
      <c r="G171" s="26">
        <v>31</v>
      </c>
      <c r="H171" s="26"/>
      <c r="I171" s="26">
        <v>74</v>
      </c>
      <c r="J171" s="26">
        <v>62</v>
      </c>
      <c r="K171" s="26"/>
      <c r="L171" s="26"/>
      <c r="M171" s="26">
        <v>35</v>
      </c>
      <c r="N171" s="26"/>
      <c r="O171" s="26"/>
      <c r="P171" s="26">
        <v>22</v>
      </c>
      <c r="Q171" s="70">
        <v>0</v>
      </c>
      <c r="R171" s="26">
        <v>259</v>
      </c>
    </row>
    <row r="172" spans="1:18" x14ac:dyDescent="0.35">
      <c r="A172" s="69">
        <v>22210027</v>
      </c>
      <c r="B172" s="69" t="s">
        <v>1023</v>
      </c>
      <c r="C172" s="69" t="s">
        <v>1024</v>
      </c>
      <c r="D172" s="69">
        <v>9270765550</v>
      </c>
      <c r="E172" s="69" t="s">
        <v>1025</v>
      </c>
      <c r="F172" s="69" t="s">
        <v>231</v>
      </c>
      <c r="G172" s="26"/>
      <c r="H172" s="26">
        <v>20</v>
      </c>
      <c r="I172" s="26"/>
      <c r="J172" s="26">
        <v>80</v>
      </c>
      <c r="K172" s="26">
        <v>21</v>
      </c>
      <c r="L172" s="26"/>
      <c r="M172" s="26">
        <v>1</v>
      </c>
      <c r="N172" s="26"/>
      <c r="O172" s="26">
        <v>6</v>
      </c>
      <c r="P172" s="26">
        <v>6</v>
      </c>
      <c r="Q172" s="70">
        <v>7</v>
      </c>
      <c r="R172" s="26">
        <v>258</v>
      </c>
    </row>
    <row r="173" spans="1:18" x14ac:dyDescent="0.35">
      <c r="A173" s="69">
        <v>22210029</v>
      </c>
      <c r="B173" s="69" t="s">
        <v>1026</v>
      </c>
      <c r="C173" s="69" t="s">
        <v>1027</v>
      </c>
      <c r="D173" s="69">
        <v>9822015528</v>
      </c>
      <c r="E173" s="69" t="s">
        <v>1025</v>
      </c>
      <c r="F173" s="69" t="s">
        <v>231</v>
      </c>
      <c r="G173" s="26"/>
      <c r="H173" s="26">
        <v>27</v>
      </c>
      <c r="I173" s="26">
        <v>54</v>
      </c>
      <c r="J173" s="26">
        <v>56</v>
      </c>
      <c r="K173" s="26"/>
      <c r="L173" s="26"/>
      <c r="M173" s="26">
        <v>16</v>
      </c>
      <c r="N173" s="26">
        <v>0</v>
      </c>
      <c r="O173" s="26">
        <v>0</v>
      </c>
      <c r="P173" s="26">
        <v>4</v>
      </c>
      <c r="Q173" s="70">
        <v>1</v>
      </c>
      <c r="R173" s="26">
        <v>258</v>
      </c>
    </row>
    <row r="174" spans="1:18" x14ac:dyDescent="0.35">
      <c r="A174" s="69">
        <v>22210053</v>
      </c>
      <c r="B174" s="69" t="s">
        <v>1028</v>
      </c>
      <c r="C174" s="69" t="s">
        <v>1029</v>
      </c>
      <c r="D174" s="69">
        <v>9960081409</v>
      </c>
      <c r="E174" s="69" t="s">
        <v>1030</v>
      </c>
      <c r="F174" s="69" t="s">
        <v>231</v>
      </c>
      <c r="G174" s="26">
        <v>7</v>
      </c>
      <c r="H174" s="26"/>
      <c r="I174" s="26">
        <v>10</v>
      </c>
      <c r="J174" s="26">
        <v>25</v>
      </c>
      <c r="K174" s="26">
        <v>12</v>
      </c>
      <c r="L174" s="26"/>
      <c r="M174" s="26">
        <v>6</v>
      </c>
      <c r="N174" s="26"/>
      <c r="O174" s="26">
        <v>2</v>
      </c>
      <c r="P174" s="26">
        <v>1</v>
      </c>
      <c r="Q174" s="70">
        <v>1</v>
      </c>
      <c r="R174" s="26">
        <v>256</v>
      </c>
    </row>
    <row r="175" spans="1:18" x14ac:dyDescent="0.35">
      <c r="A175" s="69">
        <v>22210054</v>
      </c>
      <c r="B175" s="69" t="s">
        <v>1031</v>
      </c>
      <c r="C175" s="69" t="s">
        <v>1032</v>
      </c>
      <c r="D175" s="69">
        <v>9421895823</v>
      </c>
      <c r="E175" s="69" t="s">
        <v>1033</v>
      </c>
      <c r="F175" s="69" t="s">
        <v>231</v>
      </c>
      <c r="G175" s="26"/>
      <c r="H175" s="26">
        <v>4</v>
      </c>
      <c r="I175" s="26"/>
      <c r="J175" s="26">
        <v>21</v>
      </c>
      <c r="K175" s="26"/>
      <c r="L175" s="26">
        <v>8</v>
      </c>
      <c r="M175" s="26">
        <v>4</v>
      </c>
      <c r="N175" s="26">
        <v>5</v>
      </c>
      <c r="O175" s="26">
        <v>3</v>
      </c>
      <c r="P175" s="26">
        <v>6</v>
      </c>
      <c r="Q175" s="70">
        <v>2</v>
      </c>
      <c r="R175" s="26">
        <v>256</v>
      </c>
    </row>
    <row r="176" spans="1:18" x14ac:dyDescent="0.35">
      <c r="A176" s="69">
        <v>22210063</v>
      </c>
      <c r="B176" s="69" t="s">
        <v>1034</v>
      </c>
      <c r="C176" s="69" t="s">
        <v>1035</v>
      </c>
      <c r="D176" s="69">
        <v>9881660607</v>
      </c>
      <c r="E176" s="69" t="s">
        <v>1036</v>
      </c>
      <c r="F176" s="69" t="s">
        <v>231</v>
      </c>
      <c r="G176" s="26">
        <v>21</v>
      </c>
      <c r="H176" s="26">
        <v>4</v>
      </c>
      <c r="I176" s="26">
        <v>7</v>
      </c>
      <c r="J176" s="26">
        <v>29</v>
      </c>
      <c r="K176" s="26">
        <v>11</v>
      </c>
      <c r="L176" s="26">
        <v>2</v>
      </c>
      <c r="M176" s="26">
        <v>10</v>
      </c>
      <c r="N176" s="26">
        <v>2</v>
      </c>
      <c r="O176" s="26"/>
      <c r="P176" s="26">
        <v>8</v>
      </c>
      <c r="Q176" s="70">
        <v>4</v>
      </c>
      <c r="R176" s="26">
        <v>256</v>
      </c>
    </row>
    <row r="177" spans="1:18" x14ac:dyDescent="0.35">
      <c r="A177" s="69">
        <v>23210006</v>
      </c>
      <c r="B177" s="69" t="s">
        <v>1037</v>
      </c>
      <c r="C177" s="69" t="s">
        <v>1038</v>
      </c>
      <c r="D177" s="69">
        <v>9423273222</v>
      </c>
      <c r="E177" s="69" t="s">
        <v>1039</v>
      </c>
      <c r="F177" s="69" t="s">
        <v>231</v>
      </c>
      <c r="G177" s="26"/>
      <c r="H177" s="26"/>
      <c r="I177" s="26">
        <v>42</v>
      </c>
      <c r="J177" s="26">
        <v>23</v>
      </c>
      <c r="K177" s="26"/>
      <c r="L177" s="26"/>
      <c r="M177" s="26">
        <v>20</v>
      </c>
      <c r="N177" s="26"/>
      <c r="O177" s="26">
        <v>9</v>
      </c>
      <c r="P177" s="26">
        <v>0</v>
      </c>
      <c r="Q177" s="70">
        <v>0</v>
      </c>
      <c r="R177" s="26">
        <v>254</v>
      </c>
    </row>
    <row r="178" spans="1:18" x14ac:dyDescent="0.35">
      <c r="A178" s="69">
        <v>23210007</v>
      </c>
      <c r="B178" s="69" t="s">
        <v>1041</v>
      </c>
      <c r="C178" s="69" t="s">
        <v>1042</v>
      </c>
      <c r="D178" s="69">
        <v>9421220635</v>
      </c>
      <c r="E178" s="69" t="s">
        <v>1043</v>
      </c>
      <c r="F178" s="69" t="s">
        <v>231</v>
      </c>
      <c r="G178" s="26">
        <v>14</v>
      </c>
      <c r="H178" s="26">
        <v>4</v>
      </c>
      <c r="I178" s="26">
        <v>88</v>
      </c>
      <c r="J178" s="26">
        <v>209</v>
      </c>
      <c r="K178" s="26">
        <v>15</v>
      </c>
      <c r="L178" s="26"/>
      <c r="M178" s="26">
        <v>19</v>
      </c>
      <c r="N178" s="26">
        <v>12</v>
      </c>
      <c r="O178" s="26">
        <v>13</v>
      </c>
      <c r="P178" s="26">
        <v>14</v>
      </c>
      <c r="Q178" s="70">
        <v>7</v>
      </c>
      <c r="R178" s="26">
        <v>252</v>
      </c>
    </row>
    <row r="179" spans="1:18" x14ac:dyDescent="0.35">
      <c r="A179" s="69">
        <v>23210008</v>
      </c>
      <c r="B179" s="69" t="s">
        <v>1044</v>
      </c>
      <c r="C179" s="69" t="s">
        <v>1045</v>
      </c>
      <c r="D179" s="69">
        <v>9850810100</v>
      </c>
      <c r="E179" s="69" t="s">
        <v>1046</v>
      </c>
      <c r="F179" s="69" t="s">
        <v>231</v>
      </c>
      <c r="G179" s="26"/>
      <c r="H179" s="26"/>
      <c r="I179" s="26"/>
      <c r="J179" s="26">
        <v>125</v>
      </c>
      <c r="K179" s="26">
        <v>42</v>
      </c>
      <c r="L179" s="26"/>
      <c r="M179" s="26"/>
      <c r="N179" s="26">
        <v>2</v>
      </c>
      <c r="O179" s="26">
        <v>21</v>
      </c>
      <c r="P179" s="26">
        <v>0</v>
      </c>
      <c r="Q179" s="70">
        <v>0</v>
      </c>
      <c r="R179" s="26">
        <v>252</v>
      </c>
    </row>
    <row r="180" spans="1:18" x14ac:dyDescent="0.35">
      <c r="A180" s="69">
        <v>23210228</v>
      </c>
      <c r="B180" s="69" t="s">
        <v>1047</v>
      </c>
      <c r="C180" s="69" t="s">
        <v>1048</v>
      </c>
      <c r="D180" s="69">
        <v>9011034867</v>
      </c>
      <c r="E180" s="69" t="s">
        <v>1049</v>
      </c>
      <c r="F180" s="69" t="s">
        <v>231</v>
      </c>
      <c r="G180" s="26">
        <v>7</v>
      </c>
      <c r="H180" s="26">
        <v>3</v>
      </c>
      <c r="I180" s="26">
        <v>12</v>
      </c>
      <c r="J180" s="26">
        <v>21</v>
      </c>
      <c r="K180" s="26">
        <v>14</v>
      </c>
      <c r="L180" s="26">
        <v>10</v>
      </c>
      <c r="M180" s="26">
        <v>6</v>
      </c>
      <c r="N180" s="26">
        <v>11</v>
      </c>
      <c r="O180" s="26">
        <v>4</v>
      </c>
      <c r="P180" s="26">
        <v>0</v>
      </c>
      <c r="Q180" s="70">
        <v>0</v>
      </c>
      <c r="R180" s="26">
        <v>251</v>
      </c>
    </row>
    <row r="181" spans="1:18" x14ac:dyDescent="0.35">
      <c r="A181" s="69">
        <v>23210235</v>
      </c>
      <c r="B181" s="69" t="s">
        <v>1050</v>
      </c>
      <c r="C181" s="69" t="s">
        <v>1051</v>
      </c>
      <c r="D181" s="69">
        <v>9673798777</v>
      </c>
      <c r="E181" s="69" t="s">
        <v>1052</v>
      </c>
      <c r="F181" s="69" t="s">
        <v>231</v>
      </c>
      <c r="G181" s="26"/>
      <c r="H181" s="26"/>
      <c r="I181" s="26"/>
      <c r="J181" s="26">
        <v>10</v>
      </c>
      <c r="K181" s="26"/>
      <c r="L181" s="26"/>
      <c r="M181" s="26"/>
      <c r="N181" s="26"/>
      <c r="O181" s="26">
        <v>3</v>
      </c>
      <c r="P181" s="26">
        <v>0</v>
      </c>
      <c r="Q181" s="70">
        <v>0</v>
      </c>
      <c r="R181" s="26">
        <v>251</v>
      </c>
    </row>
    <row r="182" spans="1:18" x14ac:dyDescent="0.35">
      <c r="A182" s="69">
        <v>23210237</v>
      </c>
      <c r="B182" s="69" t="s">
        <v>1053</v>
      </c>
      <c r="C182" s="69" t="s">
        <v>1054</v>
      </c>
      <c r="D182" s="69">
        <v>9921777304</v>
      </c>
      <c r="E182" s="69" t="s">
        <v>1055</v>
      </c>
      <c r="F182" s="69" t="s">
        <v>231</v>
      </c>
      <c r="G182" s="26">
        <v>20</v>
      </c>
      <c r="H182" s="26">
        <v>11</v>
      </c>
      <c r="I182" s="26">
        <v>25</v>
      </c>
      <c r="J182" s="26">
        <v>62</v>
      </c>
      <c r="K182" s="26">
        <v>6</v>
      </c>
      <c r="L182" s="26">
        <v>5</v>
      </c>
      <c r="M182" s="26">
        <v>12</v>
      </c>
      <c r="N182" s="26">
        <v>9</v>
      </c>
      <c r="O182" s="26">
        <v>10</v>
      </c>
      <c r="P182" s="26">
        <v>3</v>
      </c>
      <c r="Q182" s="70">
        <v>2</v>
      </c>
      <c r="R182" s="26">
        <v>251</v>
      </c>
    </row>
    <row r="183" spans="1:18" x14ac:dyDescent="0.35">
      <c r="A183" s="69">
        <v>23210239</v>
      </c>
      <c r="B183" s="69" t="s">
        <v>1056</v>
      </c>
      <c r="C183" s="69" t="s">
        <v>1057</v>
      </c>
      <c r="D183" s="69">
        <v>9422409492</v>
      </c>
      <c r="E183" s="69" t="s">
        <v>1058</v>
      </c>
      <c r="F183" s="69" t="s">
        <v>231</v>
      </c>
      <c r="G183" s="26">
        <v>6</v>
      </c>
      <c r="H183" s="26"/>
      <c r="I183" s="26"/>
      <c r="J183" s="26">
        <v>36</v>
      </c>
      <c r="K183" s="26">
        <v>6</v>
      </c>
      <c r="L183" s="26">
        <v>6</v>
      </c>
      <c r="M183" s="26">
        <v>3</v>
      </c>
      <c r="N183" s="26">
        <v>1</v>
      </c>
      <c r="O183" s="26">
        <v>1</v>
      </c>
      <c r="P183" s="26">
        <v>1</v>
      </c>
      <c r="Q183" s="70">
        <v>0</v>
      </c>
      <c r="R183" s="26">
        <v>249</v>
      </c>
    </row>
    <row r="184" spans="1:18" x14ac:dyDescent="0.35">
      <c r="A184" s="69">
        <v>23210245</v>
      </c>
      <c r="B184" s="69" t="s">
        <v>1059</v>
      </c>
      <c r="C184" s="69" t="s">
        <v>1060</v>
      </c>
      <c r="D184" s="69">
        <v>9403944156</v>
      </c>
      <c r="E184" s="69" t="s">
        <v>1061</v>
      </c>
      <c r="F184" s="69" t="s">
        <v>231</v>
      </c>
      <c r="G184" s="26"/>
      <c r="H184" s="26"/>
      <c r="I184" s="26"/>
      <c r="J184" s="26">
        <v>38</v>
      </c>
      <c r="K184" s="26">
        <v>5</v>
      </c>
      <c r="L184" s="26">
        <v>1</v>
      </c>
      <c r="M184" s="26">
        <v>1</v>
      </c>
      <c r="N184" s="26"/>
      <c r="O184" s="26">
        <v>2</v>
      </c>
      <c r="P184" s="26">
        <v>2</v>
      </c>
      <c r="Q184" s="70">
        <v>0</v>
      </c>
      <c r="R184" s="26">
        <v>248</v>
      </c>
    </row>
    <row r="185" spans="1:18" x14ac:dyDescent="0.35">
      <c r="A185" s="69">
        <v>23210246</v>
      </c>
      <c r="B185" s="69" t="s">
        <v>1062</v>
      </c>
      <c r="C185" s="69" t="s">
        <v>1063</v>
      </c>
      <c r="D185" s="69">
        <v>9765982798</v>
      </c>
      <c r="E185" s="69" t="s">
        <v>1064</v>
      </c>
      <c r="F185" s="69" t="s">
        <v>231</v>
      </c>
      <c r="G185" s="26">
        <v>22</v>
      </c>
      <c r="H185" s="26">
        <v>6</v>
      </c>
      <c r="I185" s="26">
        <v>133</v>
      </c>
      <c r="J185" s="26">
        <v>113</v>
      </c>
      <c r="K185" s="26">
        <v>6</v>
      </c>
      <c r="L185" s="26">
        <v>3</v>
      </c>
      <c r="M185" s="26">
        <v>21</v>
      </c>
      <c r="N185" s="26">
        <v>20</v>
      </c>
      <c r="O185" s="26">
        <v>21</v>
      </c>
      <c r="P185" s="26">
        <v>13</v>
      </c>
      <c r="Q185" s="70">
        <v>20</v>
      </c>
      <c r="R185" s="26">
        <v>248</v>
      </c>
    </row>
    <row r="186" spans="1:18" x14ac:dyDescent="0.35">
      <c r="A186" s="69">
        <v>23210248</v>
      </c>
      <c r="B186" s="69" t="s">
        <v>1065</v>
      </c>
      <c r="C186" s="69" t="s">
        <v>1066</v>
      </c>
      <c r="D186" s="69">
        <v>9527465494</v>
      </c>
      <c r="E186" s="69" t="s">
        <v>1067</v>
      </c>
      <c r="F186" s="69" t="s">
        <v>231</v>
      </c>
      <c r="G186" s="26">
        <v>9</v>
      </c>
      <c r="H186" s="26">
        <v>1</v>
      </c>
      <c r="I186" s="26">
        <v>25</v>
      </c>
      <c r="J186" s="26">
        <v>23</v>
      </c>
      <c r="K186" s="26">
        <v>5</v>
      </c>
      <c r="L186" s="26"/>
      <c r="M186" s="26">
        <v>7</v>
      </c>
      <c r="N186" s="26">
        <v>5</v>
      </c>
      <c r="O186" s="26">
        <v>3</v>
      </c>
      <c r="P186" s="26">
        <v>3</v>
      </c>
      <c r="Q186" s="70">
        <v>0</v>
      </c>
      <c r="R186" s="26">
        <v>247</v>
      </c>
    </row>
    <row r="187" spans="1:18" x14ac:dyDescent="0.35">
      <c r="A187" s="69">
        <v>23210252</v>
      </c>
      <c r="B187" s="69" t="s">
        <v>1068</v>
      </c>
      <c r="C187" s="69" t="s">
        <v>1069</v>
      </c>
      <c r="D187" s="69">
        <v>8605111818</v>
      </c>
      <c r="E187" s="69" t="s">
        <v>1070</v>
      </c>
      <c r="F187" s="69" t="s">
        <v>231</v>
      </c>
      <c r="G187" s="26">
        <v>3</v>
      </c>
      <c r="H187" s="26">
        <v>7</v>
      </c>
      <c r="I187" s="26"/>
      <c r="J187" s="26">
        <v>110</v>
      </c>
      <c r="K187" s="26">
        <v>5</v>
      </c>
      <c r="L187" s="26"/>
      <c r="M187" s="26"/>
      <c r="N187" s="26">
        <v>1</v>
      </c>
      <c r="O187" s="26">
        <v>1</v>
      </c>
      <c r="P187" s="26">
        <v>1</v>
      </c>
      <c r="Q187" s="70">
        <v>0</v>
      </c>
      <c r="R187" s="26">
        <v>247</v>
      </c>
    </row>
    <row r="188" spans="1:18" x14ac:dyDescent="0.35">
      <c r="A188" s="69">
        <v>23210256</v>
      </c>
      <c r="B188" s="69" t="s">
        <v>1071</v>
      </c>
      <c r="C188" s="69" t="s">
        <v>1072</v>
      </c>
      <c r="D188" s="69">
        <v>9960378465</v>
      </c>
      <c r="E188" s="69" t="s">
        <v>1073</v>
      </c>
      <c r="F188" s="69" t="s">
        <v>231</v>
      </c>
      <c r="G188" s="26"/>
      <c r="H188" s="26">
        <v>9</v>
      </c>
      <c r="I188" s="26"/>
      <c r="J188" s="26">
        <v>40</v>
      </c>
      <c r="K188" s="26"/>
      <c r="L188" s="26"/>
      <c r="M188" s="26"/>
      <c r="N188" s="26">
        <v>2</v>
      </c>
      <c r="O188" s="26">
        <v>6</v>
      </c>
      <c r="P188" s="26">
        <v>2</v>
      </c>
      <c r="Q188" s="70">
        <v>1</v>
      </c>
      <c r="R188" s="26">
        <v>245</v>
      </c>
    </row>
    <row r="189" spans="1:18" x14ac:dyDescent="0.35">
      <c r="A189" s="69">
        <v>24210001</v>
      </c>
      <c r="B189" s="69" t="s">
        <v>1074</v>
      </c>
      <c r="C189" s="69" t="s">
        <v>1075</v>
      </c>
      <c r="D189" s="69">
        <v>9850237149</v>
      </c>
      <c r="E189" s="69" t="s">
        <v>1076</v>
      </c>
      <c r="F189" s="69" t="s">
        <v>973</v>
      </c>
      <c r="G189" s="26">
        <v>4</v>
      </c>
      <c r="H189" s="26"/>
      <c r="I189" s="26"/>
      <c r="J189" s="26">
        <v>8</v>
      </c>
      <c r="K189" s="26">
        <v>13</v>
      </c>
      <c r="L189" s="26">
        <v>4</v>
      </c>
      <c r="M189" s="26">
        <v>11</v>
      </c>
      <c r="N189" s="26">
        <v>0</v>
      </c>
      <c r="O189" s="26">
        <v>4</v>
      </c>
      <c r="P189" s="26">
        <v>0</v>
      </c>
      <c r="Q189" s="70">
        <v>2</v>
      </c>
      <c r="R189" s="26">
        <v>243</v>
      </c>
    </row>
    <row r="190" spans="1:18" x14ac:dyDescent="0.35">
      <c r="A190" s="69">
        <v>24210004</v>
      </c>
      <c r="B190" s="69" t="s">
        <v>1077</v>
      </c>
      <c r="C190" s="69" t="s">
        <v>1078</v>
      </c>
      <c r="D190" s="69">
        <v>9405529077</v>
      </c>
      <c r="E190" s="69" t="s">
        <v>1079</v>
      </c>
      <c r="F190" s="69" t="s">
        <v>973</v>
      </c>
      <c r="G190" s="26">
        <v>42</v>
      </c>
      <c r="H190" s="26">
        <v>17</v>
      </c>
      <c r="I190" s="26">
        <v>53</v>
      </c>
      <c r="J190" s="26">
        <v>83</v>
      </c>
      <c r="K190" s="26">
        <v>47</v>
      </c>
      <c r="L190" s="26">
        <v>13</v>
      </c>
      <c r="M190" s="26">
        <v>24</v>
      </c>
      <c r="N190" s="26">
        <v>13</v>
      </c>
      <c r="O190" s="26">
        <v>27</v>
      </c>
      <c r="P190" s="26">
        <v>23</v>
      </c>
      <c r="Q190" s="70">
        <v>10</v>
      </c>
      <c r="R190" s="26">
        <v>242</v>
      </c>
    </row>
    <row r="191" spans="1:18" x14ac:dyDescent="0.35">
      <c r="A191" s="69">
        <v>24210005</v>
      </c>
      <c r="B191" s="69" t="s">
        <v>1080</v>
      </c>
      <c r="C191" s="69" t="s">
        <v>1081</v>
      </c>
      <c r="D191" s="69">
        <v>9423120951</v>
      </c>
      <c r="E191" s="69" t="s">
        <v>1082</v>
      </c>
      <c r="F191" s="69" t="s">
        <v>973</v>
      </c>
      <c r="G191" s="26">
        <v>5</v>
      </c>
      <c r="H191" s="26">
        <v>7</v>
      </c>
      <c r="I191" s="26"/>
      <c r="J191" s="26">
        <v>9</v>
      </c>
      <c r="K191" s="26">
        <v>7</v>
      </c>
      <c r="L191" s="26"/>
      <c r="M191" s="26"/>
      <c r="N191" s="26">
        <v>15</v>
      </c>
      <c r="O191" s="26">
        <v>11</v>
      </c>
      <c r="P191" s="26">
        <v>1</v>
      </c>
      <c r="Q191" s="70">
        <v>3</v>
      </c>
      <c r="R191" s="26">
        <v>242</v>
      </c>
    </row>
    <row r="192" spans="1:18" x14ac:dyDescent="0.35">
      <c r="A192" s="69">
        <v>24210007</v>
      </c>
      <c r="B192" s="69" t="s">
        <v>1083</v>
      </c>
      <c r="C192" s="69" t="s">
        <v>1084</v>
      </c>
      <c r="D192" s="69">
        <v>9422140622</v>
      </c>
      <c r="E192" s="69" t="s">
        <v>1085</v>
      </c>
      <c r="F192" s="69" t="s">
        <v>973</v>
      </c>
      <c r="G192" s="26">
        <v>45</v>
      </c>
      <c r="H192" s="26">
        <v>10</v>
      </c>
      <c r="I192" s="26">
        <v>76</v>
      </c>
      <c r="J192" s="26">
        <v>87</v>
      </c>
      <c r="K192" s="26">
        <v>29</v>
      </c>
      <c r="L192" s="26"/>
      <c r="M192" s="26">
        <v>20</v>
      </c>
      <c r="N192" s="26">
        <v>14</v>
      </c>
      <c r="O192" s="26">
        <v>10</v>
      </c>
      <c r="P192" s="26">
        <v>20</v>
      </c>
      <c r="Q192" s="70">
        <v>10</v>
      </c>
      <c r="R192" s="26">
        <v>241</v>
      </c>
    </row>
    <row r="193" spans="1:18" x14ac:dyDescent="0.35">
      <c r="A193" s="69">
        <v>24210014</v>
      </c>
      <c r="B193" s="69" t="s">
        <v>1086</v>
      </c>
      <c r="C193" s="69" t="s">
        <v>1087</v>
      </c>
      <c r="D193" s="69">
        <v>9422140795</v>
      </c>
      <c r="E193" s="69" t="s">
        <v>1088</v>
      </c>
      <c r="F193" s="69" t="s">
        <v>973</v>
      </c>
      <c r="G193" s="26">
        <v>18</v>
      </c>
      <c r="H193" s="26">
        <v>5</v>
      </c>
      <c r="I193" s="26">
        <v>25</v>
      </c>
      <c r="J193" s="26">
        <v>60</v>
      </c>
      <c r="K193" s="26">
        <v>20</v>
      </c>
      <c r="L193" s="26">
        <v>12</v>
      </c>
      <c r="M193" s="26">
        <v>14</v>
      </c>
      <c r="N193" s="26">
        <v>7</v>
      </c>
      <c r="O193" s="26">
        <v>1</v>
      </c>
      <c r="P193" s="26">
        <v>8</v>
      </c>
      <c r="Q193" s="70">
        <v>0</v>
      </c>
      <c r="R193" s="26">
        <v>241</v>
      </c>
    </row>
    <row r="194" spans="1:18" x14ac:dyDescent="0.35">
      <c r="A194" s="69">
        <v>24210015</v>
      </c>
      <c r="B194" s="69" t="s">
        <v>1089</v>
      </c>
      <c r="C194" s="69" t="s">
        <v>1090</v>
      </c>
      <c r="D194" s="69">
        <v>9767986381</v>
      </c>
      <c r="E194" s="69" t="s">
        <v>1091</v>
      </c>
      <c r="F194" s="69" t="s">
        <v>973</v>
      </c>
      <c r="G194" s="26">
        <v>43</v>
      </c>
      <c r="H194" s="26"/>
      <c r="I194" s="26"/>
      <c r="J194" s="26">
        <v>167</v>
      </c>
      <c r="K194" s="26">
        <v>31</v>
      </c>
      <c r="L194" s="26">
        <v>5</v>
      </c>
      <c r="M194" s="26">
        <v>9</v>
      </c>
      <c r="N194" s="26"/>
      <c r="O194" s="26">
        <v>12</v>
      </c>
      <c r="P194" s="26">
        <v>11</v>
      </c>
      <c r="Q194" s="70">
        <v>4</v>
      </c>
      <c r="R194" s="26">
        <v>241</v>
      </c>
    </row>
    <row r="195" spans="1:18" x14ac:dyDescent="0.35">
      <c r="A195" s="69">
        <v>24210016</v>
      </c>
      <c r="B195" s="69" t="s">
        <v>1092</v>
      </c>
      <c r="C195" s="69" t="s">
        <v>1093</v>
      </c>
      <c r="D195" s="69">
        <v>9421152211</v>
      </c>
      <c r="E195" s="69" t="s">
        <v>1094</v>
      </c>
      <c r="F195" s="69" t="s">
        <v>973</v>
      </c>
      <c r="G195" s="26">
        <v>50</v>
      </c>
      <c r="H195" s="26">
        <v>4</v>
      </c>
      <c r="I195" s="26">
        <v>14</v>
      </c>
      <c r="J195" s="26">
        <v>46</v>
      </c>
      <c r="K195" s="26">
        <v>18</v>
      </c>
      <c r="L195" s="26">
        <v>8</v>
      </c>
      <c r="M195" s="26">
        <v>12</v>
      </c>
      <c r="N195" s="26">
        <v>8</v>
      </c>
      <c r="O195" s="26">
        <v>16</v>
      </c>
      <c r="P195" s="26">
        <v>16</v>
      </c>
      <c r="Q195" s="70">
        <v>1</v>
      </c>
      <c r="R195" s="26">
        <v>241</v>
      </c>
    </row>
    <row r="196" spans="1:18" x14ac:dyDescent="0.35">
      <c r="A196" s="69">
        <v>24210038</v>
      </c>
      <c r="B196" s="69" t="s">
        <v>1095</v>
      </c>
      <c r="C196" s="69" t="s">
        <v>1096</v>
      </c>
      <c r="D196" s="69">
        <v>9373767790</v>
      </c>
      <c r="E196" s="69" t="s">
        <v>1097</v>
      </c>
      <c r="F196" s="69" t="s">
        <v>973</v>
      </c>
      <c r="G196" s="26">
        <v>135</v>
      </c>
      <c r="H196" s="26">
        <v>12</v>
      </c>
      <c r="I196" s="26">
        <v>90</v>
      </c>
      <c r="J196" s="26">
        <v>75</v>
      </c>
      <c r="K196" s="26">
        <v>54</v>
      </c>
      <c r="L196" s="26">
        <v>7</v>
      </c>
      <c r="M196" s="26">
        <v>38</v>
      </c>
      <c r="N196" s="26">
        <v>41</v>
      </c>
      <c r="O196" s="26">
        <v>32</v>
      </c>
      <c r="P196" s="26">
        <v>20</v>
      </c>
      <c r="Q196" s="70">
        <v>12</v>
      </c>
      <c r="R196" s="26">
        <v>240</v>
      </c>
    </row>
    <row r="197" spans="1:18" x14ac:dyDescent="0.35">
      <c r="A197" s="69">
        <v>24210039</v>
      </c>
      <c r="B197" s="69" t="s">
        <v>1098</v>
      </c>
      <c r="C197" s="69" t="s">
        <v>1099</v>
      </c>
      <c r="D197" s="69">
        <v>9422143041</v>
      </c>
      <c r="E197" s="69" t="s">
        <v>1100</v>
      </c>
      <c r="F197" s="69" t="s">
        <v>973</v>
      </c>
      <c r="G197" s="26">
        <v>89</v>
      </c>
      <c r="H197" s="26">
        <v>11</v>
      </c>
      <c r="I197" s="26">
        <v>9</v>
      </c>
      <c r="J197" s="26">
        <v>68</v>
      </c>
      <c r="K197" s="26">
        <v>42</v>
      </c>
      <c r="L197" s="26">
        <v>16</v>
      </c>
      <c r="M197" s="26">
        <v>12</v>
      </c>
      <c r="N197" s="26">
        <v>14</v>
      </c>
      <c r="O197" s="26"/>
      <c r="P197" s="26">
        <v>18</v>
      </c>
      <c r="Q197" s="70">
        <v>6</v>
      </c>
      <c r="R197" s="26">
        <v>238</v>
      </c>
    </row>
    <row r="198" spans="1:18" x14ac:dyDescent="0.35">
      <c r="A198" s="69">
        <v>24210040</v>
      </c>
      <c r="B198" s="69" t="s">
        <v>1098</v>
      </c>
      <c r="C198" s="69" t="s">
        <v>1101</v>
      </c>
      <c r="D198" s="69">
        <v>9422903838</v>
      </c>
      <c r="E198" s="69" t="s">
        <v>1102</v>
      </c>
      <c r="F198" s="69" t="s">
        <v>973</v>
      </c>
      <c r="G198" s="26">
        <v>68</v>
      </c>
      <c r="H198" s="26">
        <v>52</v>
      </c>
      <c r="I198" s="26">
        <v>105</v>
      </c>
      <c r="J198" s="26">
        <v>157</v>
      </c>
      <c r="K198" s="26">
        <v>46</v>
      </c>
      <c r="L198" s="26"/>
      <c r="M198" s="26">
        <v>56</v>
      </c>
      <c r="N198" s="26">
        <v>29</v>
      </c>
      <c r="O198" s="26">
        <v>43</v>
      </c>
      <c r="P198" s="26">
        <v>28</v>
      </c>
      <c r="Q198" s="70">
        <v>24</v>
      </c>
      <c r="R198" s="26">
        <v>237</v>
      </c>
    </row>
    <row r="199" spans="1:18" x14ac:dyDescent="0.35">
      <c r="A199" s="69">
        <v>24210043</v>
      </c>
      <c r="B199" s="69" t="s">
        <v>1103</v>
      </c>
      <c r="C199" s="69" t="s">
        <v>1104</v>
      </c>
      <c r="D199" s="69">
        <v>9371168469</v>
      </c>
      <c r="E199" s="69" t="s">
        <v>1105</v>
      </c>
      <c r="F199" s="69" t="s">
        <v>973</v>
      </c>
      <c r="G199" s="26">
        <v>247</v>
      </c>
      <c r="H199" s="26">
        <v>17</v>
      </c>
      <c r="I199" s="26">
        <v>190</v>
      </c>
      <c r="J199" s="26">
        <v>104</v>
      </c>
      <c r="K199" s="26">
        <v>33</v>
      </c>
      <c r="L199" s="26"/>
      <c r="M199" s="26">
        <v>61</v>
      </c>
      <c r="N199" s="26">
        <v>55</v>
      </c>
      <c r="O199" s="26"/>
      <c r="P199" s="26">
        <v>55</v>
      </c>
      <c r="Q199" s="70">
        <v>17</v>
      </c>
      <c r="R199" s="26">
        <v>236</v>
      </c>
    </row>
    <row r="200" spans="1:18" x14ac:dyDescent="0.35">
      <c r="A200" s="69">
        <v>24210053</v>
      </c>
      <c r="B200" s="69" t="s">
        <v>1106</v>
      </c>
      <c r="C200" s="69" t="s">
        <v>1107</v>
      </c>
      <c r="D200" s="69">
        <v>9422140654</v>
      </c>
      <c r="E200" s="69" t="s">
        <v>1108</v>
      </c>
      <c r="F200" s="69" t="s">
        <v>973</v>
      </c>
      <c r="G200" s="26"/>
      <c r="H200" s="26">
        <v>5</v>
      </c>
      <c r="I200" s="26"/>
      <c r="J200" s="26">
        <v>62</v>
      </c>
      <c r="K200" s="26"/>
      <c r="L200" s="26">
        <v>7</v>
      </c>
      <c r="M200" s="26">
        <v>5</v>
      </c>
      <c r="N200" s="26">
        <v>12</v>
      </c>
      <c r="O200" s="26">
        <v>9</v>
      </c>
      <c r="P200" s="26">
        <v>9</v>
      </c>
      <c r="Q200" s="70">
        <v>1</v>
      </c>
      <c r="R200" s="26">
        <v>236</v>
      </c>
    </row>
    <row r="201" spans="1:18" x14ac:dyDescent="0.35">
      <c r="A201" s="69">
        <v>24210054</v>
      </c>
      <c r="B201" s="69" t="s">
        <v>1109</v>
      </c>
      <c r="C201" s="69" t="s">
        <v>1110</v>
      </c>
      <c r="D201" s="69">
        <v>9975636651</v>
      </c>
      <c r="E201" s="69" t="s">
        <v>1111</v>
      </c>
      <c r="F201" s="69" t="s">
        <v>973</v>
      </c>
      <c r="G201" s="26">
        <v>57</v>
      </c>
      <c r="H201" s="26">
        <v>25</v>
      </c>
      <c r="I201" s="26">
        <v>5</v>
      </c>
      <c r="J201" s="26">
        <v>228</v>
      </c>
      <c r="K201" s="26">
        <v>21</v>
      </c>
      <c r="L201" s="26"/>
      <c r="M201" s="26">
        <v>64</v>
      </c>
      <c r="N201" s="26">
        <v>42</v>
      </c>
      <c r="O201" s="26">
        <v>21</v>
      </c>
      <c r="P201" s="26">
        <v>20</v>
      </c>
      <c r="Q201" s="70">
        <v>3</v>
      </c>
      <c r="R201" s="26">
        <v>235</v>
      </c>
    </row>
    <row r="202" spans="1:18" x14ac:dyDescent="0.35">
      <c r="A202" s="69">
        <v>24210055</v>
      </c>
      <c r="B202" s="69" t="s">
        <v>1098</v>
      </c>
      <c r="C202" s="69" t="s">
        <v>1112</v>
      </c>
      <c r="D202" s="69">
        <v>9422142870</v>
      </c>
      <c r="E202" s="69" t="s">
        <v>1113</v>
      </c>
      <c r="F202" s="69" t="s">
        <v>973</v>
      </c>
      <c r="G202" s="26">
        <v>53</v>
      </c>
      <c r="H202" s="26"/>
      <c r="I202" s="26"/>
      <c r="J202" s="26"/>
      <c r="K202" s="26"/>
      <c r="L202" s="26"/>
      <c r="M202" s="26">
        <v>11</v>
      </c>
      <c r="N202" s="26"/>
      <c r="O202" s="26">
        <v>17</v>
      </c>
      <c r="P202" s="26">
        <v>0</v>
      </c>
      <c r="Q202" s="70">
        <v>8</v>
      </c>
      <c r="R202" s="26">
        <v>232</v>
      </c>
    </row>
    <row r="203" spans="1:18" x14ac:dyDescent="0.35">
      <c r="A203" s="69">
        <v>24210056</v>
      </c>
      <c r="B203" s="69" t="s">
        <v>1114</v>
      </c>
      <c r="C203" s="69" t="s">
        <v>1115</v>
      </c>
      <c r="D203" s="69">
        <v>9960085232</v>
      </c>
      <c r="E203" s="69" t="s">
        <v>1116</v>
      </c>
      <c r="F203" s="69" t="s">
        <v>973</v>
      </c>
      <c r="G203" s="26">
        <v>24</v>
      </c>
      <c r="H203" s="26"/>
      <c r="I203" s="26">
        <v>42</v>
      </c>
      <c r="J203" s="26">
        <v>54</v>
      </c>
      <c r="K203" s="26">
        <v>19</v>
      </c>
      <c r="L203" s="26">
        <v>6</v>
      </c>
      <c r="M203" s="26">
        <v>7</v>
      </c>
      <c r="N203" s="26">
        <v>9</v>
      </c>
      <c r="O203" s="26">
        <v>4</v>
      </c>
      <c r="P203" s="26">
        <v>4</v>
      </c>
      <c r="Q203" s="70">
        <v>8</v>
      </c>
      <c r="R203" s="26">
        <v>232</v>
      </c>
    </row>
    <row r="204" spans="1:18" x14ac:dyDescent="0.35">
      <c r="A204" s="69">
        <v>24210057</v>
      </c>
      <c r="B204" s="69" t="s">
        <v>1117</v>
      </c>
      <c r="C204" s="69" t="s">
        <v>1118</v>
      </c>
      <c r="D204" s="69">
        <v>9890929939</v>
      </c>
      <c r="E204" s="69" t="s">
        <v>1119</v>
      </c>
      <c r="F204" s="69" t="s">
        <v>2349</v>
      </c>
      <c r="G204" s="26">
        <v>24</v>
      </c>
      <c r="H204" s="26">
        <v>11</v>
      </c>
      <c r="I204" s="26">
        <v>36</v>
      </c>
      <c r="J204" s="26">
        <v>196</v>
      </c>
      <c r="K204" s="26">
        <v>45</v>
      </c>
      <c r="L204" s="26">
        <v>18</v>
      </c>
      <c r="M204" s="26">
        <v>33</v>
      </c>
      <c r="N204" s="26">
        <v>10</v>
      </c>
      <c r="O204" s="26">
        <v>17</v>
      </c>
      <c r="P204" s="26">
        <v>13</v>
      </c>
      <c r="Q204" s="70">
        <v>2</v>
      </c>
      <c r="R204" s="26">
        <v>232</v>
      </c>
    </row>
    <row r="205" spans="1:18" x14ac:dyDescent="0.35">
      <c r="A205" s="69">
        <v>24210066</v>
      </c>
      <c r="B205" s="69" t="s">
        <v>1120</v>
      </c>
      <c r="C205" s="69" t="s">
        <v>1121</v>
      </c>
      <c r="D205" s="69">
        <v>9021464471</v>
      </c>
      <c r="E205" s="69" t="s">
        <v>1122</v>
      </c>
      <c r="F205" s="69" t="s">
        <v>2349</v>
      </c>
      <c r="G205" s="26">
        <v>10</v>
      </c>
      <c r="H205" s="26">
        <v>85</v>
      </c>
      <c r="I205" s="26">
        <v>1</v>
      </c>
      <c r="J205" s="26">
        <v>188</v>
      </c>
      <c r="K205" s="26">
        <v>36</v>
      </c>
      <c r="L205" s="26">
        <v>24</v>
      </c>
      <c r="M205" s="26"/>
      <c r="N205" s="26">
        <v>6</v>
      </c>
      <c r="O205" s="26">
        <v>41</v>
      </c>
      <c r="P205" s="26">
        <v>24</v>
      </c>
      <c r="Q205" s="70">
        <v>15</v>
      </c>
      <c r="R205" s="26">
        <v>232</v>
      </c>
    </row>
    <row r="206" spans="1:18" x14ac:dyDescent="0.35">
      <c r="A206" s="69">
        <v>24210070</v>
      </c>
      <c r="B206" s="69" t="s">
        <v>1123</v>
      </c>
      <c r="C206" s="69" t="s">
        <v>1124</v>
      </c>
      <c r="D206" s="69">
        <v>9970336372</v>
      </c>
      <c r="E206" s="69" t="s">
        <v>1125</v>
      </c>
      <c r="F206" s="69" t="s">
        <v>2349</v>
      </c>
      <c r="G206" s="26">
        <v>33</v>
      </c>
      <c r="H206" s="26"/>
      <c r="I206" s="26">
        <v>50</v>
      </c>
      <c r="J206" s="26">
        <v>88</v>
      </c>
      <c r="K206" s="26">
        <v>60</v>
      </c>
      <c r="L206" s="26"/>
      <c r="M206" s="26">
        <v>45</v>
      </c>
      <c r="N206" s="26"/>
      <c r="O206" s="26">
        <v>23</v>
      </c>
      <c r="P206" s="26">
        <v>13</v>
      </c>
      <c r="Q206" s="70">
        <v>6</v>
      </c>
      <c r="R206" s="26">
        <v>229</v>
      </c>
    </row>
    <row r="207" spans="1:18" x14ac:dyDescent="0.35">
      <c r="A207" s="69">
        <v>24210076</v>
      </c>
      <c r="B207" s="69" t="s">
        <v>1126</v>
      </c>
      <c r="C207" s="69" t="s">
        <v>1127</v>
      </c>
      <c r="D207" s="69">
        <v>9921585857</v>
      </c>
      <c r="E207" s="69" t="s">
        <v>1128</v>
      </c>
      <c r="F207" s="69" t="s">
        <v>2349</v>
      </c>
      <c r="G207" s="26">
        <v>5</v>
      </c>
      <c r="H207" s="26">
        <v>1</v>
      </c>
      <c r="I207" s="26">
        <v>13</v>
      </c>
      <c r="J207" s="26">
        <v>41</v>
      </c>
      <c r="K207" s="26">
        <v>4</v>
      </c>
      <c r="L207" s="26"/>
      <c r="M207" s="26">
        <v>1</v>
      </c>
      <c r="N207" s="26">
        <v>3</v>
      </c>
      <c r="O207" s="26">
        <v>5</v>
      </c>
      <c r="P207" s="26">
        <v>4</v>
      </c>
      <c r="Q207" s="70">
        <v>7</v>
      </c>
      <c r="R207" s="26">
        <v>228</v>
      </c>
    </row>
    <row r="208" spans="1:18" x14ac:dyDescent="0.35">
      <c r="A208" s="69">
        <v>24210095</v>
      </c>
      <c r="B208" s="69" t="s">
        <v>1129</v>
      </c>
      <c r="C208" s="69" t="s">
        <v>1130</v>
      </c>
      <c r="D208" s="69">
        <v>9890304992</v>
      </c>
      <c r="E208" s="69" t="s">
        <v>1131</v>
      </c>
      <c r="F208" s="69" t="s">
        <v>2349</v>
      </c>
      <c r="G208" s="26">
        <v>26</v>
      </c>
      <c r="H208" s="26">
        <v>6</v>
      </c>
      <c r="I208" s="26">
        <v>53</v>
      </c>
      <c r="J208" s="26">
        <v>51</v>
      </c>
      <c r="K208" s="26">
        <v>27</v>
      </c>
      <c r="L208" s="26">
        <v>23</v>
      </c>
      <c r="M208" s="26">
        <v>20</v>
      </c>
      <c r="N208" s="26">
        <v>11</v>
      </c>
      <c r="O208" s="26">
        <v>12</v>
      </c>
      <c r="P208" s="26">
        <v>7</v>
      </c>
      <c r="Q208" s="70">
        <v>6</v>
      </c>
      <c r="R208" s="26">
        <v>228</v>
      </c>
    </row>
    <row r="209" spans="1:18" x14ac:dyDescent="0.35">
      <c r="A209" s="69">
        <v>24210097</v>
      </c>
      <c r="B209" s="69" t="s">
        <v>1132</v>
      </c>
      <c r="C209" s="69" t="s">
        <v>1133</v>
      </c>
      <c r="D209" s="69">
        <v>9890722212</v>
      </c>
      <c r="E209" s="69" t="s">
        <v>1134</v>
      </c>
      <c r="F209" s="69" t="s">
        <v>2101</v>
      </c>
      <c r="G209" s="26">
        <v>58</v>
      </c>
      <c r="H209" s="26">
        <v>13</v>
      </c>
      <c r="I209" s="26">
        <v>13</v>
      </c>
      <c r="J209" s="26">
        <v>96</v>
      </c>
      <c r="K209" s="26">
        <v>21</v>
      </c>
      <c r="L209" s="26">
        <v>9</v>
      </c>
      <c r="M209" s="26">
        <v>33</v>
      </c>
      <c r="N209" s="26">
        <v>41</v>
      </c>
      <c r="O209" s="26">
        <v>26</v>
      </c>
      <c r="P209" s="26">
        <v>25</v>
      </c>
      <c r="Q209" s="70">
        <v>6</v>
      </c>
      <c r="R209" s="26">
        <v>227</v>
      </c>
    </row>
    <row r="210" spans="1:18" x14ac:dyDescent="0.35">
      <c r="A210" s="69">
        <v>24210102</v>
      </c>
      <c r="B210" s="69" t="s">
        <v>1135</v>
      </c>
      <c r="C210" s="69" t="s">
        <v>1136</v>
      </c>
      <c r="D210" s="69">
        <v>9970032332</v>
      </c>
      <c r="E210" s="69" t="s">
        <v>1137</v>
      </c>
      <c r="F210" s="69" t="s">
        <v>2101</v>
      </c>
      <c r="G210" s="26"/>
      <c r="H210" s="26">
        <v>21</v>
      </c>
      <c r="I210" s="26">
        <v>21</v>
      </c>
      <c r="J210" s="26">
        <v>29</v>
      </c>
      <c r="K210" s="26">
        <v>16</v>
      </c>
      <c r="L210" s="26"/>
      <c r="M210" s="26">
        <v>15</v>
      </c>
      <c r="N210" s="26">
        <v>12</v>
      </c>
      <c r="O210" s="26">
        <v>6</v>
      </c>
      <c r="P210" s="26">
        <v>5</v>
      </c>
      <c r="Q210" s="70">
        <v>2</v>
      </c>
      <c r="R210" s="26">
        <v>227</v>
      </c>
    </row>
    <row r="211" spans="1:18" x14ac:dyDescent="0.35">
      <c r="A211" s="69">
        <v>24210103</v>
      </c>
      <c r="B211" s="69" t="s">
        <v>1138</v>
      </c>
      <c r="C211" s="69" t="s">
        <v>1139</v>
      </c>
      <c r="D211" s="69">
        <v>9371168469</v>
      </c>
      <c r="E211" s="69" t="s">
        <v>1140</v>
      </c>
      <c r="F211" s="69" t="s">
        <v>2101</v>
      </c>
      <c r="G211" s="26">
        <v>7</v>
      </c>
      <c r="H211" s="26"/>
      <c r="I211" s="26">
        <v>7</v>
      </c>
      <c r="J211" s="26">
        <v>21</v>
      </c>
      <c r="K211" s="26"/>
      <c r="L211" s="26"/>
      <c r="M211" s="26">
        <v>26</v>
      </c>
      <c r="N211" s="26">
        <v>7</v>
      </c>
      <c r="O211" s="26"/>
      <c r="P211" s="26">
        <v>10</v>
      </c>
      <c r="Q211" s="70">
        <v>0</v>
      </c>
      <c r="R211" s="26">
        <v>226</v>
      </c>
    </row>
    <row r="212" spans="1:18" x14ac:dyDescent="0.35">
      <c r="A212" s="69">
        <v>24210106</v>
      </c>
      <c r="B212" s="69" t="s">
        <v>1141</v>
      </c>
      <c r="C212" s="69" t="s">
        <v>1142</v>
      </c>
      <c r="D212" s="69">
        <v>9423890868</v>
      </c>
      <c r="E212" s="69" t="s">
        <v>1143</v>
      </c>
      <c r="F212" s="69" t="s">
        <v>2101</v>
      </c>
      <c r="G212" s="26">
        <v>7</v>
      </c>
      <c r="H212" s="26">
        <v>1</v>
      </c>
      <c r="I212" s="26"/>
      <c r="J212" s="26">
        <v>22</v>
      </c>
      <c r="K212" s="26">
        <v>5</v>
      </c>
      <c r="L212" s="26"/>
      <c r="M212" s="26">
        <v>2</v>
      </c>
      <c r="N212" s="26">
        <v>7</v>
      </c>
      <c r="O212" s="26">
        <v>1</v>
      </c>
      <c r="P212" s="26">
        <v>13</v>
      </c>
      <c r="Q212" s="70">
        <v>1</v>
      </c>
      <c r="R212" s="26">
        <v>226</v>
      </c>
    </row>
    <row r="213" spans="1:18" x14ac:dyDescent="0.35">
      <c r="A213" s="69">
        <v>25210002</v>
      </c>
      <c r="B213" s="69" t="s">
        <v>1144</v>
      </c>
      <c r="C213" s="69" t="s">
        <v>1145</v>
      </c>
      <c r="D213" s="69">
        <v>9850383281</v>
      </c>
      <c r="E213" s="69" t="s">
        <v>1146</v>
      </c>
      <c r="F213" s="69" t="s">
        <v>2101</v>
      </c>
      <c r="G213" s="26">
        <v>80</v>
      </c>
      <c r="H213" s="26"/>
      <c r="I213" s="26">
        <v>52</v>
      </c>
      <c r="J213" s="26">
        <v>344</v>
      </c>
      <c r="K213" s="26">
        <v>35</v>
      </c>
      <c r="L213" s="26"/>
      <c r="M213" s="26">
        <v>48</v>
      </c>
      <c r="N213" s="26">
        <v>34</v>
      </c>
      <c r="O213" s="26">
        <v>24</v>
      </c>
      <c r="P213" s="26">
        <v>58</v>
      </c>
      <c r="Q213" s="70">
        <v>14</v>
      </c>
      <c r="R213" s="26">
        <v>225</v>
      </c>
    </row>
    <row r="214" spans="1:18" x14ac:dyDescent="0.35">
      <c r="A214" s="69">
        <v>25210015</v>
      </c>
      <c r="B214" s="69" t="s">
        <v>1148</v>
      </c>
      <c r="C214" s="69" t="s">
        <v>1149</v>
      </c>
      <c r="D214" s="69">
        <v>9423141617</v>
      </c>
      <c r="E214" s="69" t="s">
        <v>1150</v>
      </c>
      <c r="F214" s="69" t="s">
        <v>2101</v>
      </c>
      <c r="G214" s="26">
        <v>41</v>
      </c>
      <c r="H214" s="26">
        <v>4</v>
      </c>
      <c r="I214" s="26"/>
      <c r="J214" s="26">
        <v>44</v>
      </c>
      <c r="K214" s="26">
        <v>12</v>
      </c>
      <c r="L214" s="26">
        <v>12</v>
      </c>
      <c r="M214" s="26">
        <v>18</v>
      </c>
      <c r="N214" s="26">
        <v>10</v>
      </c>
      <c r="O214" s="26">
        <v>3</v>
      </c>
      <c r="P214" s="26">
        <v>3</v>
      </c>
      <c r="Q214" s="70">
        <v>2</v>
      </c>
      <c r="R214" s="26">
        <v>225</v>
      </c>
    </row>
    <row r="215" spans="1:18" x14ac:dyDescent="0.35">
      <c r="A215" s="69">
        <v>26210001</v>
      </c>
      <c r="B215" s="69" t="s">
        <v>1151</v>
      </c>
      <c r="C215" s="69" t="s">
        <v>1152</v>
      </c>
      <c r="D215" s="69">
        <v>9326643275</v>
      </c>
      <c r="E215" s="69" t="s">
        <v>1153</v>
      </c>
      <c r="F215" s="69" t="s">
        <v>2101</v>
      </c>
      <c r="G215" s="26">
        <v>33</v>
      </c>
      <c r="H215" s="26"/>
      <c r="I215" s="26">
        <v>50</v>
      </c>
      <c r="J215" s="26">
        <v>26</v>
      </c>
      <c r="K215" s="26"/>
      <c r="L215" s="26">
        <v>16</v>
      </c>
      <c r="M215" s="26"/>
      <c r="N215" s="26">
        <v>13</v>
      </c>
      <c r="O215" s="26"/>
      <c r="P215" s="26">
        <v>19</v>
      </c>
      <c r="Q215" s="70">
        <v>5</v>
      </c>
      <c r="R215" s="26">
        <v>224</v>
      </c>
    </row>
    <row r="216" spans="1:18" x14ac:dyDescent="0.35">
      <c r="A216" s="69">
        <v>26210002</v>
      </c>
      <c r="B216" s="69" t="s">
        <v>831</v>
      </c>
      <c r="C216" s="69" t="s">
        <v>1154</v>
      </c>
      <c r="D216" s="69">
        <v>9860774336</v>
      </c>
      <c r="E216" s="69" t="s">
        <v>1155</v>
      </c>
      <c r="F216" s="69" t="s">
        <v>2101</v>
      </c>
      <c r="G216" s="26">
        <v>63</v>
      </c>
      <c r="H216" s="26">
        <v>26</v>
      </c>
      <c r="I216" s="26">
        <v>55</v>
      </c>
      <c r="J216" s="26">
        <v>134</v>
      </c>
      <c r="K216" s="26">
        <v>24</v>
      </c>
      <c r="L216" s="26">
        <v>15</v>
      </c>
      <c r="M216" s="26">
        <v>42</v>
      </c>
      <c r="N216" s="26">
        <v>20</v>
      </c>
      <c r="O216" s="26">
        <v>22</v>
      </c>
      <c r="P216" s="26">
        <v>16</v>
      </c>
      <c r="Q216" s="70">
        <v>13</v>
      </c>
      <c r="R216" s="26">
        <v>221</v>
      </c>
    </row>
    <row r="217" spans="1:18" x14ac:dyDescent="0.35">
      <c r="A217" s="69">
        <v>26210003</v>
      </c>
      <c r="B217" s="69" t="s">
        <v>1156</v>
      </c>
      <c r="C217" s="69" t="s">
        <v>1157</v>
      </c>
      <c r="D217" s="69">
        <v>9422218573</v>
      </c>
      <c r="E217" s="69" t="s">
        <v>1158</v>
      </c>
      <c r="F217" s="69" t="s">
        <v>2101</v>
      </c>
      <c r="G217" s="26"/>
      <c r="H217" s="26"/>
      <c r="I217" s="26">
        <v>8</v>
      </c>
      <c r="J217" s="26">
        <v>38</v>
      </c>
      <c r="K217" s="26">
        <v>5</v>
      </c>
      <c r="L217" s="26"/>
      <c r="M217" s="26">
        <v>18</v>
      </c>
      <c r="N217" s="26"/>
      <c r="O217" s="26">
        <v>10</v>
      </c>
      <c r="P217" s="26">
        <v>15</v>
      </c>
      <c r="Q217" s="70">
        <v>6</v>
      </c>
      <c r="R217" s="26">
        <v>220</v>
      </c>
    </row>
    <row r="218" spans="1:18" x14ac:dyDescent="0.35">
      <c r="A218" s="69">
        <v>26210025</v>
      </c>
      <c r="B218" s="69" t="s">
        <v>1159</v>
      </c>
      <c r="C218" s="69" t="s">
        <v>1160</v>
      </c>
      <c r="D218" s="69">
        <v>9423460426</v>
      </c>
      <c r="E218" s="69" t="s">
        <v>1161</v>
      </c>
      <c r="F218" s="69" t="s">
        <v>2101</v>
      </c>
      <c r="G218" s="26">
        <v>16</v>
      </c>
      <c r="H218" s="26"/>
      <c r="I218" s="26">
        <v>3</v>
      </c>
      <c r="J218" s="26">
        <v>45</v>
      </c>
      <c r="K218" s="26">
        <v>17</v>
      </c>
      <c r="L218" s="26"/>
      <c r="M218" s="26">
        <v>10</v>
      </c>
      <c r="N218" s="26"/>
      <c r="O218" s="26">
        <v>7</v>
      </c>
      <c r="P218" s="26">
        <v>0</v>
      </c>
      <c r="Q218" s="70">
        <v>0</v>
      </c>
      <c r="R218" s="26">
        <v>219</v>
      </c>
    </row>
    <row r="219" spans="1:18" x14ac:dyDescent="0.35">
      <c r="A219" s="69">
        <v>26210033</v>
      </c>
      <c r="B219" s="69" t="s">
        <v>1162</v>
      </c>
      <c r="C219" s="69" t="s">
        <v>1163</v>
      </c>
      <c r="D219" s="69">
        <v>9420220701</v>
      </c>
      <c r="E219" s="69" t="s">
        <v>1164</v>
      </c>
      <c r="F219" s="69" t="s">
        <v>2101</v>
      </c>
      <c r="G219" s="26">
        <v>20</v>
      </c>
      <c r="H219" s="26">
        <v>29</v>
      </c>
      <c r="I219" s="26"/>
      <c r="J219" s="26">
        <v>48</v>
      </c>
      <c r="K219" s="26">
        <v>12</v>
      </c>
      <c r="L219" s="26"/>
      <c r="M219" s="26">
        <v>35</v>
      </c>
      <c r="N219" s="26">
        <v>11</v>
      </c>
      <c r="O219" s="26">
        <v>0</v>
      </c>
      <c r="P219" s="26">
        <v>22</v>
      </c>
      <c r="Q219" s="70">
        <v>3</v>
      </c>
      <c r="R219" s="26">
        <v>217</v>
      </c>
    </row>
    <row r="220" spans="1:18" x14ac:dyDescent="0.35">
      <c r="A220" s="69">
        <v>26210041</v>
      </c>
      <c r="B220" s="69" t="s">
        <v>1165</v>
      </c>
      <c r="C220" s="69" t="s">
        <v>1166</v>
      </c>
      <c r="D220" s="69">
        <v>9423157955</v>
      </c>
      <c r="E220" s="69" t="s">
        <v>1167</v>
      </c>
      <c r="F220" s="69" t="s">
        <v>2101</v>
      </c>
      <c r="G220" s="26">
        <v>16</v>
      </c>
      <c r="H220" s="26"/>
      <c r="I220" s="26"/>
      <c r="J220" s="26">
        <v>49</v>
      </c>
      <c r="K220" s="26">
        <v>12</v>
      </c>
      <c r="L220" s="26"/>
      <c r="M220" s="26">
        <v>13</v>
      </c>
      <c r="N220" s="26">
        <v>0</v>
      </c>
      <c r="O220" s="26">
        <v>12</v>
      </c>
      <c r="P220" s="26">
        <v>3</v>
      </c>
      <c r="Q220" s="70">
        <v>0</v>
      </c>
      <c r="R220" s="26">
        <v>217</v>
      </c>
    </row>
    <row r="221" spans="1:18" x14ac:dyDescent="0.35">
      <c r="A221" s="69">
        <v>26210042</v>
      </c>
      <c r="B221" s="69" t="s">
        <v>1168</v>
      </c>
      <c r="C221" s="69" t="s">
        <v>1169</v>
      </c>
      <c r="D221" s="69">
        <v>9404513711</v>
      </c>
      <c r="E221" s="69" t="s">
        <v>1170</v>
      </c>
      <c r="F221" s="69" t="s">
        <v>1147</v>
      </c>
      <c r="G221" s="26">
        <v>28</v>
      </c>
      <c r="H221" s="26">
        <v>5</v>
      </c>
      <c r="I221" s="26"/>
      <c r="J221" s="26">
        <v>72</v>
      </c>
      <c r="K221" s="26">
        <v>10</v>
      </c>
      <c r="L221" s="26"/>
      <c r="M221" s="26">
        <v>22</v>
      </c>
      <c r="N221" s="26"/>
      <c r="O221" s="26">
        <v>14</v>
      </c>
      <c r="P221" s="26">
        <v>0</v>
      </c>
      <c r="Q221" s="70">
        <v>15</v>
      </c>
      <c r="R221" s="26">
        <v>217</v>
      </c>
    </row>
    <row r="222" spans="1:18" x14ac:dyDescent="0.35">
      <c r="A222" s="69">
        <v>26210047</v>
      </c>
      <c r="B222" s="69" t="s">
        <v>1171</v>
      </c>
      <c r="C222" s="69" t="s">
        <v>1172</v>
      </c>
      <c r="D222" s="69">
        <v>9404444888</v>
      </c>
      <c r="E222" s="69" t="s">
        <v>1173</v>
      </c>
      <c r="F222" s="69" t="s">
        <v>1147</v>
      </c>
      <c r="G222" s="26">
        <v>37</v>
      </c>
      <c r="H222" s="26"/>
      <c r="I222" s="26">
        <v>24</v>
      </c>
      <c r="J222" s="26">
        <v>21</v>
      </c>
      <c r="K222" s="26">
        <v>25</v>
      </c>
      <c r="L222" s="26"/>
      <c r="M222" s="26">
        <v>17</v>
      </c>
      <c r="N222" s="26">
        <v>7</v>
      </c>
      <c r="O222" s="26">
        <v>7</v>
      </c>
      <c r="P222" s="26">
        <v>8</v>
      </c>
      <c r="Q222" s="70">
        <v>3</v>
      </c>
      <c r="R222" s="26">
        <v>216</v>
      </c>
    </row>
    <row r="223" spans="1:18" x14ac:dyDescent="0.35">
      <c r="A223" s="69">
        <v>26210052</v>
      </c>
      <c r="B223" s="69" t="s">
        <v>1174</v>
      </c>
      <c r="C223" s="69" t="s">
        <v>1175</v>
      </c>
      <c r="D223" s="69">
        <v>9423458088</v>
      </c>
      <c r="E223" s="69" t="s">
        <v>1176</v>
      </c>
      <c r="F223" s="69" t="s">
        <v>526</v>
      </c>
      <c r="G223" s="26">
        <v>24</v>
      </c>
      <c r="H223" s="26"/>
      <c r="I223" s="26"/>
      <c r="J223" s="26">
        <v>77</v>
      </c>
      <c r="K223" s="26"/>
      <c r="L223" s="26">
        <v>7</v>
      </c>
      <c r="M223" s="26">
        <v>6</v>
      </c>
      <c r="N223" s="26">
        <v>0</v>
      </c>
      <c r="O223" s="26">
        <v>3</v>
      </c>
      <c r="P223" s="26">
        <v>2</v>
      </c>
      <c r="Q223" s="70">
        <v>4</v>
      </c>
      <c r="R223" s="26">
        <v>215</v>
      </c>
    </row>
    <row r="224" spans="1:18" x14ac:dyDescent="0.35">
      <c r="A224" s="69">
        <v>26210055</v>
      </c>
      <c r="B224" s="69" t="s">
        <v>1177</v>
      </c>
      <c r="C224" s="69" t="s">
        <v>1178</v>
      </c>
      <c r="D224" s="69">
        <v>9423459800</v>
      </c>
      <c r="E224" s="69" t="s">
        <v>1179</v>
      </c>
      <c r="F224" s="69" t="s">
        <v>526</v>
      </c>
      <c r="G224" s="26">
        <v>81</v>
      </c>
      <c r="H224" s="26"/>
      <c r="I224" s="26">
        <v>68</v>
      </c>
      <c r="J224" s="26">
        <v>92</v>
      </c>
      <c r="K224" s="26">
        <v>30</v>
      </c>
      <c r="L224" s="26">
        <v>19</v>
      </c>
      <c r="M224" s="26"/>
      <c r="N224" s="26">
        <v>50</v>
      </c>
      <c r="O224" s="26"/>
      <c r="P224" s="26">
        <v>26</v>
      </c>
      <c r="Q224" s="70">
        <v>7</v>
      </c>
      <c r="R224" s="26">
        <v>215</v>
      </c>
    </row>
    <row r="225" spans="1:18" x14ac:dyDescent="0.35">
      <c r="A225" s="69">
        <v>26210061</v>
      </c>
      <c r="B225" s="69" t="s">
        <v>1180</v>
      </c>
      <c r="C225" s="69" t="s">
        <v>1181</v>
      </c>
      <c r="D225" s="69">
        <v>9921096777</v>
      </c>
      <c r="E225" s="69" t="s">
        <v>1182</v>
      </c>
      <c r="F225" s="69" t="s">
        <v>526</v>
      </c>
      <c r="G225" s="26"/>
      <c r="H225" s="26">
        <v>12</v>
      </c>
      <c r="I225" s="26"/>
      <c r="J225" s="26">
        <v>57</v>
      </c>
      <c r="K225" s="26"/>
      <c r="L225" s="26">
        <v>0</v>
      </c>
      <c r="M225" s="26"/>
      <c r="N225" s="26">
        <v>19</v>
      </c>
      <c r="O225" s="26">
        <v>0</v>
      </c>
      <c r="P225" s="26">
        <v>11</v>
      </c>
      <c r="Q225" s="70">
        <v>0</v>
      </c>
      <c r="R225" s="26">
        <v>210</v>
      </c>
    </row>
    <row r="226" spans="1:18" x14ac:dyDescent="0.35">
      <c r="A226" s="69">
        <v>26210063</v>
      </c>
      <c r="B226" s="69" t="s">
        <v>1183</v>
      </c>
      <c r="C226" s="69" t="s">
        <v>1184</v>
      </c>
      <c r="D226" s="69">
        <v>9145523008</v>
      </c>
      <c r="E226" s="69" t="s">
        <v>1185</v>
      </c>
      <c r="F226" s="69" t="s">
        <v>526</v>
      </c>
      <c r="G226" s="26"/>
      <c r="H226" s="26"/>
      <c r="I226" s="26">
        <v>15</v>
      </c>
      <c r="J226" s="26">
        <v>61</v>
      </c>
      <c r="K226" s="26">
        <v>1</v>
      </c>
      <c r="L226" s="26"/>
      <c r="M226" s="26">
        <v>18</v>
      </c>
      <c r="N226" s="26">
        <v>10</v>
      </c>
      <c r="O226" s="26">
        <v>11</v>
      </c>
      <c r="P226" s="26">
        <v>5</v>
      </c>
      <c r="Q226" s="70">
        <v>9</v>
      </c>
      <c r="R226" s="26">
        <v>210</v>
      </c>
    </row>
    <row r="227" spans="1:18" x14ac:dyDescent="0.35">
      <c r="A227" s="69">
        <v>26210066</v>
      </c>
      <c r="B227" s="69" t="s">
        <v>1186</v>
      </c>
      <c r="C227" s="69" t="s">
        <v>1187</v>
      </c>
      <c r="D227" s="69">
        <v>9823324652</v>
      </c>
      <c r="E227" s="69" t="s">
        <v>1188</v>
      </c>
      <c r="F227" s="69" t="s">
        <v>526</v>
      </c>
      <c r="G227" s="26">
        <v>32</v>
      </c>
      <c r="H227" s="26"/>
      <c r="I227" s="26">
        <v>50</v>
      </c>
      <c r="J227" s="26">
        <v>30</v>
      </c>
      <c r="K227" s="26"/>
      <c r="L227" s="26"/>
      <c r="M227" s="26">
        <v>25</v>
      </c>
      <c r="N227" s="26">
        <v>10</v>
      </c>
      <c r="O227" s="26">
        <v>21</v>
      </c>
      <c r="P227" s="26">
        <v>8</v>
      </c>
      <c r="Q227" s="70">
        <v>14</v>
      </c>
      <c r="R227" s="26">
        <v>209</v>
      </c>
    </row>
    <row r="228" spans="1:18" x14ac:dyDescent="0.35">
      <c r="A228" s="69">
        <v>26210068</v>
      </c>
      <c r="B228" s="69" t="s">
        <v>1159</v>
      </c>
      <c r="C228" s="69" t="s">
        <v>1189</v>
      </c>
      <c r="D228" s="69">
        <v>9975890033</v>
      </c>
      <c r="E228" s="69" t="s">
        <v>1190</v>
      </c>
      <c r="F228" s="69" t="s">
        <v>526</v>
      </c>
      <c r="G228" s="26"/>
      <c r="H228" s="26">
        <v>3</v>
      </c>
      <c r="I228" s="26">
        <v>13</v>
      </c>
      <c r="J228" s="26">
        <v>18</v>
      </c>
      <c r="K228" s="26"/>
      <c r="L228" s="26"/>
      <c r="M228" s="26">
        <v>21</v>
      </c>
      <c r="N228" s="26"/>
      <c r="O228" s="26">
        <v>7</v>
      </c>
      <c r="P228" s="26">
        <v>11</v>
      </c>
      <c r="Q228" s="70">
        <v>6</v>
      </c>
      <c r="R228" s="26">
        <v>208</v>
      </c>
    </row>
    <row r="229" spans="1:18" x14ac:dyDescent="0.35">
      <c r="A229" s="69">
        <v>26210069</v>
      </c>
      <c r="B229" s="69" t="s">
        <v>1191</v>
      </c>
      <c r="C229" s="69" t="s">
        <v>1192</v>
      </c>
      <c r="D229" s="69">
        <v>9423658232</v>
      </c>
      <c r="E229" s="69" t="s">
        <v>1193</v>
      </c>
      <c r="F229" s="69" t="s">
        <v>232</v>
      </c>
      <c r="G229" s="26">
        <v>14</v>
      </c>
      <c r="H229" s="26"/>
      <c r="I229" s="26"/>
      <c r="J229" s="26">
        <v>63</v>
      </c>
      <c r="K229" s="26">
        <v>10</v>
      </c>
      <c r="L229" s="26">
        <v>1</v>
      </c>
      <c r="M229" s="26">
        <v>3</v>
      </c>
      <c r="N229" s="26">
        <v>0</v>
      </c>
      <c r="O229" s="26">
        <v>4</v>
      </c>
      <c r="P229" s="26">
        <v>0</v>
      </c>
      <c r="Q229" s="70">
        <v>0</v>
      </c>
      <c r="R229" s="26">
        <v>208</v>
      </c>
    </row>
    <row r="230" spans="1:18" x14ac:dyDescent="0.35">
      <c r="A230" s="69">
        <v>26210070</v>
      </c>
      <c r="B230" s="69" t="s">
        <v>1165</v>
      </c>
      <c r="C230" s="69" t="s">
        <v>1194</v>
      </c>
      <c r="D230" s="69">
        <v>9423157955</v>
      </c>
      <c r="E230" s="69" t="s">
        <v>1195</v>
      </c>
      <c r="F230" s="69" t="s">
        <v>232</v>
      </c>
      <c r="G230" s="26">
        <v>21</v>
      </c>
      <c r="H230" s="26">
        <v>1</v>
      </c>
      <c r="I230" s="26"/>
      <c r="J230" s="26">
        <v>36</v>
      </c>
      <c r="K230" s="26">
        <v>10</v>
      </c>
      <c r="L230" s="26"/>
      <c r="M230" s="26">
        <v>7</v>
      </c>
      <c r="N230" s="26">
        <v>1</v>
      </c>
      <c r="O230" s="26">
        <v>5</v>
      </c>
      <c r="P230" s="26">
        <v>2</v>
      </c>
      <c r="Q230" s="70">
        <v>0</v>
      </c>
      <c r="R230" s="26">
        <v>207</v>
      </c>
    </row>
    <row r="231" spans="1:18" x14ac:dyDescent="0.35">
      <c r="A231" s="69">
        <v>26210072</v>
      </c>
      <c r="B231" s="69" t="s">
        <v>1186</v>
      </c>
      <c r="C231" s="69" t="s">
        <v>1196</v>
      </c>
      <c r="D231" s="69">
        <v>9420220701</v>
      </c>
      <c r="E231" s="69" t="s">
        <v>1197</v>
      </c>
      <c r="F231" s="69" t="s">
        <v>232</v>
      </c>
      <c r="G231" s="26">
        <v>23</v>
      </c>
      <c r="H231" s="26">
        <v>13</v>
      </c>
      <c r="I231" s="26">
        <v>7</v>
      </c>
      <c r="J231" s="26">
        <v>40</v>
      </c>
      <c r="K231" s="26"/>
      <c r="L231" s="26"/>
      <c r="M231" s="26">
        <v>18</v>
      </c>
      <c r="N231" s="26">
        <v>9</v>
      </c>
      <c r="O231" s="26"/>
      <c r="P231" s="26">
        <v>12</v>
      </c>
      <c r="Q231" s="70">
        <v>6</v>
      </c>
      <c r="R231" s="26">
        <v>207</v>
      </c>
    </row>
    <row r="232" spans="1:18" x14ac:dyDescent="0.35">
      <c r="A232" s="69">
        <v>26210079</v>
      </c>
      <c r="B232" s="69" t="s">
        <v>1198</v>
      </c>
      <c r="C232" s="69" t="s">
        <v>1199</v>
      </c>
      <c r="D232" s="69">
        <v>9421421080</v>
      </c>
      <c r="E232" s="69" t="s">
        <v>1200</v>
      </c>
      <c r="F232" s="69" t="s">
        <v>232</v>
      </c>
      <c r="G232" s="26"/>
      <c r="H232" s="26"/>
      <c r="I232" s="26">
        <v>31</v>
      </c>
      <c r="J232" s="26">
        <v>27</v>
      </c>
      <c r="K232" s="26"/>
      <c r="L232" s="26">
        <v>15</v>
      </c>
      <c r="M232" s="26">
        <v>0</v>
      </c>
      <c r="N232" s="26">
        <v>2</v>
      </c>
      <c r="O232" s="26">
        <v>8</v>
      </c>
      <c r="P232" s="26">
        <v>0</v>
      </c>
      <c r="Q232" s="70">
        <v>6</v>
      </c>
      <c r="R232" s="26">
        <v>206</v>
      </c>
    </row>
    <row r="233" spans="1:18" x14ac:dyDescent="0.35">
      <c r="A233" s="69">
        <v>26210113</v>
      </c>
      <c r="B233" s="69" t="s">
        <v>1201</v>
      </c>
      <c r="C233" s="69" t="s">
        <v>1202</v>
      </c>
      <c r="D233" s="69">
        <v>9766259548</v>
      </c>
      <c r="E233" s="69" t="s">
        <v>1203</v>
      </c>
      <c r="F233" s="69" t="s">
        <v>232</v>
      </c>
      <c r="G233" s="26">
        <v>6</v>
      </c>
      <c r="H233" s="26"/>
      <c r="I233" s="26">
        <v>10</v>
      </c>
      <c r="J233" s="26">
        <v>7</v>
      </c>
      <c r="K233" s="26">
        <v>2</v>
      </c>
      <c r="L233" s="26">
        <v>1</v>
      </c>
      <c r="M233" s="26">
        <v>3</v>
      </c>
      <c r="N233" s="26">
        <v>5</v>
      </c>
      <c r="O233" s="26">
        <v>1</v>
      </c>
      <c r="P233" s="26">
        <v>6</v>
      </c>
      <c r="Q233" s="70">
        <v>0</v>
      </c>
      <c r="R233" s="26">
        <v>206</v>
      </c>
    </row>
    <row r="234" spans="1:18" x14ac:dyDescent="0.35">
      <c r="A234" s="69">
        <v>27210004</v>
      </c>
      <c r="B234" s="69" t="s">
        <v>1204</v>
      </c>
      <c r="C234" s="69" t="s">
        <v>1205</v>
      </c>
      <c r="D234" s="69">
        <v>9822058459</v>
      </c>
      <c r="E234" s="69" t="s">
        <v>1206</v>
      </c>
      <c r="F234" s="69" t="s">
        <v>232</v>
      </c>
      <c r="G234" s="26">
        <v>33</v>
      </c>
      <c r="H234" s="26">
        <v>6</v>
      </c>
      <c r="I234" s="26">
        <v>35</v>
      </c>
      <c r="J234" s="26">
        <v>49</v>
      </c>
      <c r="K234" s="26">
        <v>5</v>
      </c>
      <c r="L234" s="26"/>
      <c r="M234" s="26">
        <v>30</v>
      </c>
      <c r="N234" s="26">
        <v>2</v>
      </c>
      <c r="O234" s="26"/>
      <c r="P234" s="26">
        <v>10</v>
      </c>
      <c r="Q234" s="70">
        <v>2</v>
      </c>
      <c r="R234" s="26">
        <v>206</v>
      </c>
    </row>
    <row r="235" spans="1:18" x14ac:dyDescent="0.35">
      <c r="A235" s="69">
        <v>27210005</v>
      </c>
      <c r="B235" s="69" t="s">
        <v>1207</v>
      </c>
      <c r="C235" s="69" t="s">
        <v>1208</v>
      </c>
      <c r="D235" s="69">
        <v>9881084080</v>
      </c>
      <c r="E235" s="69" t="s">
        <v>1209</v>
      </c>
      <c r="F235" s="69" t="s">
        <v>232</v>
      </c>
      <c r="G235" s="26">
        <v>62</v>
      </c>
      <c r="H235" s="26">
        <v>17</v>
      </c>
      <c r="I235" s="26">
        <v>156</v>
      </c>
      <c r="J235" s="26">
        <v>117</v>
      </c>
      <c r="K235" s="26">
        <v>31</v>
      </c>
      <c r="L235" s="26">
        <v>28</v>
      </c>
      <c r="M235" s="26">
        <v>54</v>
      </c>
      <c r="N235" s="26">
        <v>31</v>
      </c>
      <c r="O235" s="26">
        <v>40</v>
      </c>
      <c r="P235" s="26">
        <v>11</v>
      </c>
      <c r="Q235" s="70">
        <v>10</v>
      </c>
      <c r="R235" s="26">
        <v>205</v>
      </c>
    </row>
    <row r="236" spans="1:18" x14ac:dyDescent="0.35">
      <c r="A236" s="69">
        <v>27210006</v>
      </c>
      <c r="B236" s="69" t="s">
        <v>1210</v>
      </c>
      <c r="C236" s="69" t="s">
        <v>1211</v>
      </c>
      <c r="D236" s="69">
        <v>8888228222</v>
      </c>
      <c r="E236" s="69" t="s">
        <v>1212</v>
      </c>
      <c r="F236" s="69" t="s">
        <v>232</v>
      </c>
      <c r="G236" s="26">
        <v>23</v>
      </c>
      <c r="H236" s="26"/>
      <c r="I236" s="26"/>
      <c r="J236" s="26">
        <v>74</v>
      </c>
      <c r="K236" s="26">
        <v>25</v>
      </c>
      <c r="L236" s="26">
        <v>39</v>
      </c>
      <c r="M236" s="26">
        <v>30</v>
      </c>
      <c r="N236" s="26">
        <v>4</v>
      </c>
      <c r="O236" s="26">
        <v>11</v>
      </c>
      <c r="P236" s="26">
        <v>19</v>
      </c>
      <c r="Q236" s="70">
        <v>10</v>
      </c>
      <c r="R236" s="26">
        <v>205</v>
      </c>
    </row>
    <row r="237" spans="1:18" x14ac:dyDescent="0.35">
      <c r="A237" s="69">
        <v>27210007</v>
      </c>
      <c r="B237" s="69" t="s">
        <v>1213</v>
      </c>
      <c r="C237" s="69" t="s">
        <v>1214</v>
      </c>
      <c r="D237" s="69">
        <v>9890024228</v>
      </c>
      <c r="E237" s="69" t="s">
        <v>1215</v>
      </c>
      <c r="F237" s="69" t="s">
        <v>232</v>
      </c>
      <c r="G237" s="26">
        <v>15</v>
      </c>
      <c r="H237" s="26"/>
      <c r="I237" s="26"/>
      <c r="J237" s="26">
        <v>58</v>
      </c>
      <c r="K237" s="26">
        <v>70</v>
      </c>
      <c r="L237" s="26">
        <v>27</v>
      </c>
      <c r="M237" s="26">
        <v>16</v>
      </c>
      <c r="N237" s="26">
        <v>8</v>
      </c>
      <c r="O237" s="26"/>
      <c r="P237" s="26">
        <v>11</v>
      </c>
      <c r="Q237" s="70">
        <v>2</v>
      </c>
      <c r="R237" s="26">
        <v>205</v>
      </c>
    </row>
    <row r="238" spans="1:18" x14ac:dyDescent="0.35">
      <c r="A238" s="69">
        <v>27210008</v>
      </c>
      <c r="B238" s="69" t="s">
        <v>1216</v>
      </c>
      <c r="C238" s="69" t="s">
        <v>1217</v>
      </c>
      <c r="D238" s="69">
        <v>9145646084</v>
      </c>
      <c r="E238" s="69" t="s">
        <v>1218</v>
      </c>
      <c r="F238" s="69" t="s">
        <v>232</v>
      </c>
      <c r="G238" s="26">
        <v>21</v>
      </c>
      <c r="H238" s="26">
        <v>2</v>
      </c>
      <c r="I238" s="26">
        <v>37</v>
      </c>
      <c r="J238" s="26">
        <v>51</v>
      </c>
      <c r="K238" s="26">
        <v>26</v>
      </c>
      <c r="L238" s="26">
        <v>7</v>
      </c>
      <c r="M238" s="26">
        <v>25</v>
      </c>
      <c r="N238" s="26">
        <v>12</v>
      </c>
      <c r="O238" s="26">
        <v>2</v>
      </c>
      <c r="P238" s="26">
        <v>7</v>
      </c>
      <c r="Q238" s="70">
        <v>4</v>
      </c>
      <c r="R238" s="26">
        <v>204</v>
      </c>
    </row>
    <row r="239" spans="1:18" x14ac:dyDescent="0.35">
      <c r="A239" s="69">
        <v>27210009</v>
      </c>
      <c r="B239" s="69" t="s">
        <v>1219</v>
      </c>
      <c r="C239" s="69" t="s">
        <v>1220</v>
      </c>
      <c r="D239" s="69">
        <v>9822846414</v>
      </c>
      <c r="E239" s="69" t="s">
        <v>1221</v>
      </c>
      <c r="F239" s="69" t="s">
        <v>232</v>
      </c>
      <c r="G239" s="26">
        <v>18</v>
      </c>
      <c r="H239" s="26">
        <v>6</v>
      </c>
      <c r="I239" s="26">
        <v>67</v>
      </c>
      <c r="J239" s="26">
        <v>51</v>
      </c>
      <c r="K239" s="26">
        <v>18</v>
      </c>
      <c r="L239" s="26">
        <v>14</v>
      </c>
      <c r="M239" s="26">
        <v>21</v>
      </c>
      <c r="N239" s="26">
        <v>13</v>
      </c>
      <c r="O239" s="26">
        <v>5</v>
      </c>
      <c r="P239" s="26">
        <v>9</v>
      </c>
      <c r="Q239" s="70">
        <v>10</v>
      </c>
      <c r="R239" s="26">
        <v>204</v>
      </c>
    </row>
    <row r="240" spans="1:18" x14ac:dyDescent="0.35">
      <c r="A240" s="69">
        <v>27210010</v>
      </c>
      <c r="B240" s="69" t="s">
        <v>1222</v>
      </c>
      <c r="C240" s="69" t="s">
        <v>1223</v>
      </c>
      <c r="D240" s="69">
        <v>9822592724</v>
      </c>
      <c r="E240" s="69" t="s">
        <v>1224</v>
      </c>
      <c r="F240" s="69" t="s">
        <v>232</v>
      </c>
      <c r="G240" s="26">
        <v>22</v>
      </c>
      <c r="H240" s="26">
        <v>9</v>
      </c>
      <c r="I240" s="26">
        <v>64</v>
      </c>
      <c r="J240" s="26">
        <v>45</v>
      </c>
      <c r="K240" s="26">
        <v>20</v>
      </c>
      <c r="L240" s="26">
        <v>6</v>
      </c>
      <c r="M240" s="26">
        <v>11</v>
      </c>
      <c r="N240" s="26">
        <v>7</v>
      </c>
      <c r="O240" s="26">
        <v>6</v>
      </c>
      <c r="P240" s="26">
        <v>8</v>
      </c>
      <c r="Q240" s="70">
        <v>6</v>
      </c>
      <c r="R240" s="26">
        <v>204</v>
      </c>
    </row>
    <row r="241" spans="1:18" x14ac:dyDescent="0.35">
      <c r="A241" s="69">
        <v>27210011</v>
      </c>
      <c r="B241" s="69" t="s">
        <v>1225</v>
      </c>
      <c r="C241" s="69" t="s">
        <v>1226</v>
      </c>
      <c r="D241" s="69">
        <v>9850659934</v>
      </c>
      <c r="E241" s="69" t="s">
        <v>1227</v>
      </c>
      <c r="F241" s="69" t="s">
        <v>232</v>
      </c>
      <c r="G241" s="26"/>
      <c r="H241" s="26">
        <v>5</v>
      </c>
      <c r="I241" s="26"/>
      <c r="J241" s="26">
        <v>14</v>
      </c>
      <c r="K241" s="26">
        <v>19</v>
      </c>
      <c r="L241" s="26"/>
      <c r="M241" s="26"/>
      <c r="N241" s="26"/>
      <c r="O241" s="26">
        <v>4</v>
      </c>
      <c r="P241" s="26">
        <v>0</v>
      </c>
      <c r="Q241" s="70">
        <v>0</v>
      </c>
      <c r="R241" s="26">
        <v>202</v>
      </c>
    </row>
    <row r="242" spans="1:18" x14ac:dyDescent="0.35">
      <c r="A242" s="69">
        <v>27210012</v>
      </c>
      <c r="B242" s="69" t="s">
        <v>1228</v>
      </c>
      <c r="C242" s="69" t="s">
        <v>1229</v>
      </c>
      <c r="D242" s="69">
        <v>9822001598</v>
      </c>
      <c r="E242" s="69" t="s">
        <v>1215</v>
      </c>
      <c r="F242" s="69" t="s">
        <v>232</v>
      </c>
      <c r="G242" s="26">
        <v>31</v>
      </c>
      <c r="H242" s="26">
        <v>7</v>
      </c>
      <c r="I242" s="26"/>
      <c r="J242" s="26">
        <v>67</v>
      </c>
      <c r="K242" s="26"/>
      <c r="L242" s="26"/>
      <c r="M242" s="26">
        <v>24</v>
      </c>
      <c r="N242" s="26">
        <v>11</v>
      </c>
      <c r="O242" s="26"/>
      <c r="P242" s="26">
        <v>27</v>
      </c>
      <c r="Q242" s="70">
        <v>7</v>
      </c>
      <c r="R242" s="26">
        <v>202</v>
      </c>
    </row>
    <row r="243" spans="1:18" x14ac:dyDescent="0.35">
      <c r="A243" s="69">
        <v>27210014</v>
      </c>
      <c r="B243" s="69" t="s">
        <v>1186</v>
      </c>
      <c r="C243" s="69" t="s">
        <v>1230</v>
      </c>
      <c r="D243" s="69">
        <v>9822868779</v>
      </c>
      <c r="E243" s="69" t="s">
        <v>1231</v>
      </c>
      <c r="F243" s="69" t="s">
        <v>232</v>
      </c>
      <c r="G243" s="26">
        <v>17</v>
      </c>
      <c r="H243" s="26"/>
      <c r="I243" s="26"/>
      <c r="J243" s="26">
        <v>94</v>
      </c>
      <c r="K243" s="26">
        <v>30</v>
      </c>
      <c r="L243" s="26">
        <v>20</v>
      </c>
      <c r="M243" s="26">
        <v>22</v>
      </c>
      <c r="N243" s="26">
        <v>6</v>
      </c>
      <c r="O243" s="26">
        <v>6</v>
      </c>
      <c r="P243" s="26">
        <v>13</v>
      </c>
      <c r="Q243" s="70">
        <v>0</v>
      </c>
      <c r="R243" s="26">
        <v>202</v>
      </c>
    </row>
    <row r="244" spans="1:18" x14ac:dyDescent="0.35">
      <c r="A244" s="69">
        <v>27210017</v>
      </c>
      <c r="B244" s="69" t="s">
        <v>1232</v>
      </c>
      <c r="C244" s="69" t="s">
        <v>1233</v>
      </c>
      <c r="D244" s="69">
        <v>9881444470</v>
      </c>
      <c r="E244" s="69" t="s">
        <v>1234</v>
      </c>
      <c r="F244" s="69" t="s">
        <v>232</v>
      </c>
      <c r="G244" s="26">
        <v>39</v>
      </c>
      <c r="H244" s="26">
        <v>19</v>
      </c>
      <c r="I244" s="26">
        <v>284</v>
      </c>
      <c r="J244" s="26">
        <v>95</v>
      </c>
      <c r="K244" s="26">
        <v>28</v>
      </c>
      <c r="L244" s="26"/>
      <c r="M244" s="26">
        <v>48</v>
      </c>
      <c r="N244" s="26">
        <v>24</v>
      </c>
      <c r="O244" s="26">
        <v>12</v>
      </c>
      <c r="P244" s="26">
        <v>28</v>
      </c>
      <c r="Q244" s="70">
        <v>10</v>
      </c>
      <c r="R244" s="26">
        <v>200</v>
      </c>
    </row>
    <row r="245" spans="1:18" x14ac:dyDescent="0.35">
      <c r="A245" s="69">
        <v>27210018</v>
      </c>
      <c r="B245" s="69" t="s">
        <v>1235</v>
      </c>
      <c r="C245" s="69" t="s">
        <v>1236</v>
      </c>
      <c r="D245" s="69">
        <v>9960003479</v>
      </c>
      <c r="E245" s="69" t="s">
        <v>1237</v>
      </c>
      <c r="F245" s="69" t="s">
        <v>232</v>
      </c>
      <c r="G245" s="26">
        <v>57</v>
      </c>
      <c r="H245" s="26">
        <v>10</v>
      </c>
      <c r="I245" s="26">
        <v>51</v>
      </c>
      <c r="J245" s="26">
        <v>539</v>
      </c>
      <c r="K245" s="26">
        <v>50</v>
      </c>
      <c r="L245" s="26"/>
      <c r="M245" s="26">
        <v>61</v>
      </c>
      <c r="N245" s="26">
        <v>27</v>
      </c>
      <c r="O245" s="26">
        <v>12</v>
      </c>
      <c r="P245" s="26">
        <v>48</v>
      </c>
      <c r="Q245" s="70">
        <v>12</v>
      </c>
      <c r="R245" s="26">
        <v>200</v>
      </c>
    </row>
    <row r="246" spans="1:18" x14ac:dyDescent="0.35">
      <c r="A246" s="69">
        <v>27210020</v>
      </c>
      <c r="B246" s="69" t="s">
        <v>1238</v>
      </c>
      <c r="C246" s="69" t="s">
        <v>1239</v>
      </c>
      <c r="D246" s="69">
        <v>9822977601</v>
      </c>
      <c r="E246" s="69" t="s">
        <v>1240</v>
      </c>
      <c r="F246" s="69" t="s">
        <v>232</v>
      </c>
      <c r="G246" s="26">
        <v>34</v>
      </c>
      <c r="H246" s="26">
        <v>16</v>
      </c>
      <c r="I246" s="26">
        <v>107</v>
      </c>
      <c r="J246" s="26">
        <v>132</v>
      </c>
      <c r="K246" s="26">
        <v>44</v>
      </c>
      <c r="L246" s="26">
        <v>23</v>
      </c>
      <c r="M246" s="26">
        <v>23</v>
      </c>
      <c r="N246" s="26">
        <v>20</v>
      </c>
      <c r="O246" s="26">
        <v>23</v>
      </c>
      <c r="P246" s="26">
        <v>9</v>
      </c>
      <c r="Q246" s="70">
        <v>12</v>
      </c>
      <c r="R246" s="26">
        <v>199</v>
      </c>
    </row>
    <row r="247" spans="1:18" x14ac:dyDescent="0.35">
      <c r="A247" s="69">
        <v>27210023</v>
      </c>
      <c r="B247" s="69" t="s">
        <v>1241</v>
      </c>
      <c r="C247" s="69" t="s">
        <v>1242</v>
      </c>
      <c r="D247" s="69">
        <v>8805983045</v>
      </c>
      <c r="E247" s="69" t="s">
        <v>1243</v>
      </c>
      <c r="F247" s="69" t="s">
        <v>232</v>
      </c>
      <c r="G247" s="26"/>
      <c r="H247" s="26">
        <v>43</v>
      </c>
      <c r="I247" s="26">
        <v>82</v>
      </c>
      <c r="J247" s="26">
        <v>100</v>
      </c>
      <c r="K247" s="26">
        <v>30</v>
      </c>
      <c r="L247" s="26">
        <v>34</v>
      </c>
      <c r="M247" s="26">
        <v>17</v>
      </c>
      <c r="N247" s="26">
        <v>16</v>
      </c>
      <c r="O247" s="26">
        <v>0</v>
      </c>
      <c r="P247" s="26">
        <v>22</v>
      </c>
      <c r="Q247" s="70">
        <v>7</v>
      </c>
      <c r="R247" s="26">
        <v>199</v>
      </c>
    </row>
    <row r="248" spans="1:18" x14ac:dyDescent="0.35">
      <c r="A248" s="69">
        <v>27210029</v>
      </c>
      <c r="B248" s="69" t="s">
        <v>1244</v>
      </c>
      <c r="C248" s="69" t="s">
        <v>1245</v>
      </c>
      <c r="D248" s="69">
        <v>9766876050</v>
      </c>
      <c r="E248" s="69" t="s">
        <v>1246</v>
      </c>
      <c r="F248" s="69" t="s">
        <v>1446</v>
      </c>
      <c r="G248" s="26">
        <v>26</v>
      </c>
      <c r="H248" s="26">
        <v>6</v>
      </c>
      <c r="I248" s="26">
        <v>52</v>
      </c>
      <c r="J248" s="26">
        <v>79</v>
      </c>
      <c r="K248" s="26">
        <v>52</v>
      </c>
      <c r="L248" s="26">
        <v>19</v>
      </c>
      <c r="M248" s="26">
        <v>18</v>
      </c>
      <c r="N248" s="26">
        <v>16</v>
      </c>
      <c r="O248" s="26">
        <v>22</v>
      </c>
      <c r="P248" s="26">
        <v>17</v>
      </c>
      <c r="Q248" s="70">
        <v>3</v>
      </c>
      <c r="R248" s="26">
        <v>199</v>
      </c>
    </row>
    <row r="249" spans="1:18" x14ac:dyDescent="0.35">
      <c r="A249" s="69">
        <v>27210030</v>
      </c>
      <c r="B249" s="69" t="s">
        <v>1247</v>
      </c>
      <c r="C249" s="69" t="s">
        <v>1248</v>
      </c>
      <c r="D249" s="69">
        <v>9226157973</v>
      </c>
      <c r="E249" s="69" t="s">
        <v>1249</v>
      </c>
      <c r="F249" s="69" t="s">
        <v>1446</v>
      </c>
      <c r="G249" s="26">
        <v>103</v>
      </c>
      <c r="H249" s="26"/>
      <c r="I249" s="26">
        <v>52</v>
      </c>
      <c r="J249" s="26">
        <v>473</v>
      </c>
      <c r="K249" s="26">
        <v>40</v>
      </c>
      <c r="L249" s="26">
        <v>30</v>
      </c>
      <c r="M249" s="26">
        <v>61</v>
      </c>
      <c r="N249" s="26">
        <v>44</v>
      </c>
      <c r="O249" s="26">
        <v>26</v>
      </c>
      <c r="P249" s="26">
        <v>57</v>
      </c>
      <c r="Q249" s="70">
        <v>26</v>
      </c>
      <c r="R249" s="26">
        <v>199</v>
      </c>
    </row>
    <row r="250" spans="1:18" x14ac:dyDescent="0.35">
      <c r="A250" s="69">
        <v>27210031</v>
      </c>
      <c r="B250" s="69" t="s">
        <v>1250</v>
      </c>
      <c r="C250" s="69" t="s">
        <v>1251</v>
      </c>
      <c r="D250" s="69">
        <v>9422543536</v>
      </c>
      <c r="E250" s="69" t="s">
        <v>1252</v>
      </c>
      <c r="F250" s="69" t="s">
        <v>1446</v>
      </c>
      <c r="G250" s="26"/>
      <c r="H250" s="26"/>
      <c r="I250" s="26">
        <v>24</v>
      </c>
      <c r="J250" s="26">
        <v>44</v>
      </c>
      <c r="K250" s="26"/>
      <c r="L250" s="26"/>
      <c r="M250" s="26">
        <v>25</v>
      </c>
      <c r="N250" s="26">
        <v>3</v>
      </c>
      <c r="O250" s="26"/>
      <c r="P250" s="26">
        <v>0</v>
      </c>
      <c r="Q250" s="70">
        <v>5</v>
      </c>
      <c r="R250" s="26">
        <v>198</v>
      </c>
    </row>
    <row r="251" spans="1:18" x14ac:dyDescent="0.35">
      <c r="A251" s="69">
        <v>27210032</v>
      </c>
      <c r="B251" s="69" t="s">
        <v>1253</v>
      </c>
      <c r="C251" s="69" t="s">
        <v>1254</v>
      </c>
      <c r="D251" s="69">
        <v>9922460840</v>
      </c>
      <c r="E251" s="69" t="s">
        <v>1255</v>
      </c>
      <c r="F251" s="69" t="s">
        <v>1446</v>
      </c>
      <c r="G251" s="26">
        <v>18</v>
      </c>
      <c r="H251" s="26">
        <v>4</v>
      </c>
      <c r="I251" s="26">
        <v>62</v>
      </c>
      <c r="J251" s="26">
        <v>119</v>
      </c>
      <c r="K251" s="26">
        <v>43</v>
      </c>
      <c r="L251" s="26">
        <v>22</v>
      </c>
      <c r="M251" s="26">
        <v>20</v>
      </c>
      <c r="N251" s="26">
        <v>21</v>
      </c>
      <c r="O251" s="26">
        <v>12</v>
      </c>
      <c r="P251" s="26">
        <v>6</v>
      </c>
      <c r="Q251" s="70">
        <v>0</v>
      </c>
      <c r="R251" s="26">
        <v>198</v>
      </c>
    </row>
    <row r="252" spans="1:18" x14ac:dyDescent="0.35">
      <c r="A252" s="69">
        <v>27210034</v>
      </c>
      <c r="B252" s="69" t="s">
        <v>1256</v>
      </c>
      <c r="C252" s="69" t="s">
        <v>1257</v>
      </c>
      <c r="D252" s="69">
        <v>9370313766</v>
      </c>
      <c r="E252" s="69" t="s">
        <v>1258</v>
      </c>
      <c r="F252" s="69" t="s">
        <v>1446</v>
      </c>
      <c r="G252" s="26">
        <v>72</v>
      </c>
      <c r="H252" s="26">
        <v>10</v>
      </c>
      <c r="I252" s="26"/>
      <c r="J252" s="26">
        <v>180</v>
      </c>
      <c r="K252" s="26"/>
      <c r="L252" s="26"/>
      <c r="M252" s="26">
        <v>45</v>
      </c>
      <c r="N252" s="26">
        <v>18</v>
      </c>
      <c r="O252" s="26">
        <v>0</v>
      </c>
      <c r="P252" s="26">
        <v>18</v>
      </c>
      <c r="Q252" s="70">
        <v>12</v>
      </c>
      <c r="R252" s="26">
        <v>198</v>
      </c>
    </row>
    <row r="253" spans="1:18" x14ac:dyDescent="0.35">
      <c r="A253" s="69">
        <v>27210035</v>
      </c>
      <c r="B253" s="69" t="s">
        <v>1259</v>
      </c>
      <c r="C253" s="69" t="s">
        <v>1260</v>
      </c>
      <c r="D253" s="69">
        <v>9881498006</v>
      </c>
      <c r="E253" s="69" t="s">
        <v>1261</v>
      </c>
      <c r="F253" s="69" t="s">
        <v>1446</v>
      </c>
      <c r="G253" s="26">
        <v>12</v>
      </c>
      <c r="H253" s="26">
        <v>5</v>
      </c>
      <c r="I253" s="26">
        <v>65</v>
      </c>
      <c r="J253" s="26">
        <v>203</v>
      </c>
      <c r="K253" s="26">
        <v>40</v>
      </c>
      <c r="L253" s="26">
        <v>8</v>
      </c>
      <c r="M253" s="26">
        <v>40</v>
      </c>
      <c r="N253" s="26">
        <v>3</v>
      </c>
      <c r="O253" s="26">
        <v>4</v>
      </c>
      <c r="P253" s="26">
        <v>10</v>
      </c>
      <c r="Q253" s="70">
        <v>1</v>
      </c>
      <c r="R253" s="26">
        <v>196</v>
      </c>
    </row>
    <row r="254" spans="1:18" x14ac:dyDescent="0.35">
      <c r="A254" s="69">
        <v>27210044</v>
      </c>
      <c r="B254" s="69" t="s">
        <v>1262</v>
      </c>
      <c r="C254" s="69" t="s">
        <v>1263</v>
      </c>
      <c r="D254" s="69">
        <v>9850083764</v>
      </c>
      <c r="E254" s="69" t="s">
        <v>1264</v>
      </c>
      <c r="F254" s="69" t="s">
        <v>1787</v>
      </c>
      <c r="G254" s="26">
        <v>39</v>
      </c>
      <c r="H254" s="26">
        <v>7</v>
      </c>
      <c r="I254" s="26"/>
      <c r="J254" s="26">
        <v>112</v>
      </c>
      <c r="K254" s="26">
        <v>18</v>
      </c>
      <c r="L254" s="26">
        <v>18</v>
      </c>
      <c r="M254" s="26">
        <v>18</v>
      </c>
      <c r="N254" s="26">
        <v>19</v>
      </c>
      <c r="O254" s="26">
        <v>9</v>
      </c>
      <c r="P254" s="26">
        <v>8</v>
      </c>
      <c r="Q254" s="70">
        <v>0</v>
      </c>
      <c r="R254" s="26">
        <v>196</v>
      </c>
    </row>
    <row r="255" spans="1:18" x14ac:dyDescent="0.35">
      <c r="A255" s="69">
        <v>27210049</v>
      </c>
      <c r="B255" s="69" t="s">
        <v>1265</v>
      </c>
      <c r="C255" s="69" t="s">
        <v>1266</v>
      </c>
      <c r="D255" s="69">
        <v>9850852030</v>
      </c>
      <c r="E255" s="69" t="s">
        <v>1267</v>
      </c>
      <c r="F255" s="69" t="s">
        <v>1787</v>
      </c>
      <c r="G255" s="26">
        <v>6</v>
      </c>
      <c r="H255" s="26">
        <v>7</v>
      </c>
      <c r="I255" s="26">
        <v>8</v>
      </c>
      <c r="J255" s="26">
        <v>57</v>
      </c>
      <c r="K255" s="26">
        <v>30</v>
      </c>
      <c r="L255" s="26">
        <v>19</v>
      </c>
      <c r="M255" s="26">
        <v>17</v>
      </c>
      <c r="N255" s="26">
        <v>8</v>
      </c>
      <c r="O255" s="26">
        <v>5</v>
      </c>
      <c r="P255" s="26">
        <v>6</v>
      </c>
      <c r="Q255" s="70">
        <v>4</v>
      </c>
      <c r="R255" s="26">
        <v>195</v>
      </c>
    </row>
    <row r="256" spans="1:18" x14ac:dyDescent="0.35">
      <c r="A256" s="69">
        <v>27210050</v>
      </c>
      <c r="B256" s="69" t="s">
        <v>1268</v>
      </c>
      <c r="C256" s="69" t="s">
        <v>1269</v>
      </c>
      <c r="D256" s="69">
        <v>9822245765</v>
      </c>
      <c r="E256" s="69" t="s">
        <v>1270</v>
      </c>
      <c r="F256" s="69" t="s">
        <v>1787</v>
      </c>
      <c r="G256" s="26">
        <v>29</v>
      </c>
      <c r="H256" s="26">
        <v>6</v>
      </c>
      <c r="I256" s="26">
        <v>75</v>
      </c>
      <c r="J256" s="26">
        <v>130</v>
      </c>
      <c r="K256" s="26">
        <v>45</v>
      </c>
      <c r="L256" s="26">
        <v>16</v>
      </c>
      <c r="M256" s="26">
        <v>36</v>
      </c>
      <c r="N256" s="26">
        <v>11</v>
      </c>
      <c r="O256" s="26">
        <v>11</v>
      </c>
      <c r="P256" s="26">
        <v>13</v>
      </c>
      <c r="Q256" s="70">
        <v>3</v>
      </c>
      <c r="R256" s="26">
        <v>195</v>
      </c>
    </row>
    <row r="257" spans="1:18" x14ac:dyDescent="0.35">
      <c r="A257" s="69">
        <v>27210110</v>
      </c>
      <c r="B257" s="69" t="s">
        <v>1271</v>
      </c>
      <c r="C257" s="69" t="s">
        <v>1272</v>
      </c>
      <c r="D257" s="69">
        <v>9822748684</v>
      </c>
      <c r="E257" s="69" t="s">
        <v>1273</v>
      </c>
      <c r="F257" s="69" t="s">
        <v>1787</v>
      </c>
      <c r="G257" s="26">
        <v>32</v>
      </c>
      <c r="H257" s="26">
        <v>5</v>
      </c>
      <c r="I257" s="26">
        <v>70</v>
      </c>
      <c r="J257" s="26">
        <v>100</v>
      </c>
      <c r="K257" s="26">
        <v>16</v>
      </c>
      <c r="L257" s="26">
        <v>16</v>
      </c>
      <c r="M257" s="26">
        <v>16</v>
      </c>
      <c r="N257" s="26">
        <v>10</v>
      </c>
      <c r="O257" s="26">
        <v>20</v>
      </c>
      <c r="P257" s="26">
        <v>22</v>
      </c>
      <c r="Q257" s="70">
        <v>35</v>
      </c>
      <c r="R257" s="26">
        <v>195</v>
      </c>
    </row>
    <row r="258" spans="1:18" x14ac:dyDescent="0.35">
      <c r="A258" s="69">
        <v>27210194</v>
      </c>
      <c r="B258" s="69" t="s">
        <v>1274</v>
      </c>
      <c r="C258" s="69" t="s">
        <v>1275</v>
      </c>
      <c r="D258" s="69">
        <v>9970087666</v>
      </c>
      <c r="E258" s="69" t="s">
        <v>1276</v>
      </c>
      <c r="F258" s="69" t="s">
        <v>1787</v>
      </c>
      <c r="G258" s="26"/>
      <c r="H258" s="26"/>
      <c r="I258" s="26">
        <v>32</v>
      </c>
      <c r="J258" s="26">
        <v>20</v>
      </c>
      <c r="K258" s="26">
        <v>9</v>
      </c>
      <c r="L258" s="26"/>
      <c r="M258" s="26">
        <v>4</v>
      </c>
      <c r="N258" s="26">
        <v>3</v>
      </c>
      <c r="O258" s="26">
        <v>14</v>
      </c>
      <c r="P258" s="26">
        <v>0</v>
      </c>
      <c r="Q258" s="70">
        <v>10</v>
      </c>
      <c r="R258" s="26">
        <v>194</v>
      </c>
    </row>
    <row r="259" spans="1:18" x14ac:dyDescent="0.35">
      <c r="A259" s="69">
        <v>27210200</v>
      </c>
      <c r="B259" s="69" t="s">
        <v>1268</v>
      </c>
      <c r="C259" s="69" t="s">
        <v>1277</v>
      </c>
      <c r="D259" s="69">
        <v>9881737826</v>
      </c>
      <c r="E259" s="69" t="s">
        <v>1278</v>
      </c>
      <c r="F259" s="69" t="s">
        <v>1787</v>
      </c>
      <c r="G259" s="26">
        <v>20</v>
      </c>
      <c r="H259" s="26"/>
      <c r="I259" s="26">
        <v>20</v>
      </c>
      <c r="J259" s="26">
        <v>38</v>
      </c>
      <c r="K259" s="26">
        <v>19</v>
      </c>
      <c r="L259" s="26">
        <v>14</v>
      </c>
      <c r="M259" s="26">
        <v>11</v>
      </c>
      <c r="N259" s="26">
        <v>10</v>
      </c>
      <c r="O259" s="26">
        <v>7</v>
      </c>
      <c r="P259" s="26">
        <v>8</v>
      </c>
      <c r="Q259" s="70">
        <v>2</v>
      </c>
      <c r="R259" s="26">
        <v>193</v>
      </c>
    </row>
    <row r="260" spans="1:18" x14ac:dyDescent="0.35">
      <c r="A260" s="69">
        <v>27210201</v>
      </c>
      <c r="B260" s="69" t="s">
        <v>1279</v>
      </c>
      <c r="C260" s="69" t="s">
        <v>1280</v>
      </c>
      <c r="D260" s="69">
        <v>9881146304</v>
      </c>
      <c r="E260" s="69" t="s">
        <v>1281</v>
      </c>
      <c r="F260" s="69" t="s">
        <v>1787</v>
      </c>
      <c r="G260" s="26">
        <v>7</v>
      </c>
      <c r="H260" s="26">
        <v>3</v>
      </c>
      <c r="I260" s="26"/>
      <c r="J260" s="26">
        <v>54</v>
      </c>
      <c r="K260" s="26">
        <v>14</v>
      </c>
      <c r="L260" s="26">
        <v>10</v>
      </c>
      <c r="M260" s="26">
        <v>16</v>
      </c>
      <c r="N260" s="26">
        <v>10</v>
      </c>
      <c r="O260" s="26">
        <v>4</v>
      </c>
      <c r="P260" s="26">
        <v>0</v>
      </c>
      <c r="Q260" s="70">
        <v>0</v>
      </c>
      <c r="R260" s="26">
        <v>193</v>
      </c>
    </row>
    <row r="261" spans="1:18" x14ac:dyDescent="0.35">
      <c r="A261" s="69">
        <v>27210204</v>
      </c>
      <c r="B261" s="69" t="s">
        <v>1282</v>
      </c>
      <c r="C261" s="69" t="s">
        <v>1283</v>
      </c>
      <c r="D261" s="69">
        <v>9860291323</v>
      </c>
      <c r="E261" s="69" t="s">
        <v>1284</v>
      </c>
      <c r="F261" s="69" t="s">
        <v>1787</v>
      </c>
      <c r="G261" s="26">
        <v>19</v>
      </c>
      <c r="H261" s="26">
        <v>6</v>
      </c>
      <c r="I261" s="26">
        <v>28</v>
      </c>
      <c r="J261" s="26">
        <v>41</v>
      </c>
      <c r="K261" s="26">
        <v>37</v>
      </c>
      <c r="L261" s="26">
        <v>21</v>
      </c>
      <c r="M261" s="26">
        <v>19</v>
      </c>
      <c r="N261" s="26">
        <v>9</v>
      </c>
      <c r="O261" s="26">
        <v>16</v>
      </c>
      <c r="P261" s="26">
        <v>4</v>
      </c>
      <c r="Q261" s="70">
        <v>2</v>
      </c>
      <c r="R261" s="26">
        <v>193</v>
      </c>
    </row>
    <row r="262" spans="1:18" x14ac:dyDescent="0.35">
      <c r="A262" s="69">
        <v>27210207</v>
      </c>
      <c r="B262" s="69" t="s">
        <v>1285</v>
      </c>
      <c r="C262" s="69" t="s">
        <v>1286</v>
      </c>
      <c r="D262" s="69">
        <v>9764407399</v>
      </c>
      <c r="E262" s="69" t="s">
        <v>1287</v>
      </c>
      <c r="F262" s="69" t="s">
        <v>203</v>
      </c>
      <c r="G262" s="26">
        <v>23</v>
      </c>
      <c r="H262" s="26"/>
      <c r="I262" s="26">
        <v>71</v>
      </c>
      <c r="J262" s="26">
        <v>63</v>
      </c>
      <c r="K262" s="26">
        <v>21</v>
      </c>
      <c r="L262" s="26">
        <v>15</v>
      </c>
      <c r="M262" s="26">
        <v>18</v>
      </c>
      <c r="N262" s="26">
        <v>19</v>
      </c>
      <c r="O262" s="26">
        <v>7</v>
      </c>
      <c r="P262" s="26">
        <v>15</v>
      </c>
      <c r="Q262" s="70">
        <v>4</v>
      </c>
      <c r="R262" s="26">
        <v>193</v>
      </c>
    </row>
    <row r="263" spans="1:18" x14ac:dyDescent="0.35">
      <c r="A263" s="69">
        <v>27210213</v>
      </c>
      <c r="B263" s="69" t="s">
        <v>1288</v>
      </c>
      <c r="C263" s="69" t="s">
        <v>1289</v>
      </c>
      <c r="D263" s="69">
        <v>9272717772</v>
      </c>
      <c r="E263" s="69" t="s">
        <v>1290</v>
      </c>
      <c r="F263" s="69" t="s">
        <v>203</v>
      </c>
      <c r="G263" s="26">
        <v>12</v>
      </c>
      <c r="H263" s="26">
        <v>8</v>
      </c>
      <c r="I263" s="26">
        <v>53</v>
      </c>
      <c r="J263" s="26">
        <v>32</v>
      </c>
      <c r="K263" s="26">
        <v>25</v>
      </c>
      <c r="L263" s="26">
        <v>4</v>
      </c>
      <c r="M263" s="26">
        <v>11</v>
      </c>
      <c r="N263" s="26">
        <v>5</v>
      </c>
      <c r="O263" s="26">
        <v>7</v>
      </c>
      <c r="P263" s="26">
        <v>9</v>
      </c>
      <c r="Q263" s="70">
        <v>0</v>
      </c>
      <c r="R263" s="26">
        <v>192</v>
      </c>
    </row>
    <row r="264" spans="1:18" x14ac:dyDescent="0.35">
      <c r="A264" s="69">
        <v>27210214</v>
      </c>
      <c r="B264" s="69" t="s">
        <v>1291</v>
      </c>
      <c r="C264" s="69" t="s">
        <v>1292</v>
      </c>
      <c r="D264" s="69">
        <v>9422005297</v>
      </c>
      <c r="E264" s="69" t="s">
        <v>1293</v>
      </c>
      <c r="F264" s="69" t="s">
        <v>203</v>
      </c>
      <c r="G264" s="26">
        <v>17</v>
      </c>
      <c r="H264" s="26">
        <v>5</v>
      </c>
      <c r="I264" s="26">
        <v>44</v>
      </c>
      <c r="J264" s="26">
        <v>28</v>
      </c>
      <c r="K264" s="26">
        <v>27</v>
      </c>
      <c r="L264" s="26">
        <v>15</v>
      </c>
      <c r="M264" s="26">
        <v>14</v>
      </c>
      <c r="N264" s="26">
        <v>9</v>
      </c>
      <c r="O264" s="26">
        <v>8</v>
      </c>
      <c r="P264" s="26">
        <v>7</v>
      </c>
      <c r="Q264" s="70">
        <v>3</v>
      </c>
      <c r="R264" s="26">
        <v>191</v>
      </c>
    </row>
    <row r="265" spans="1:18" x14ac:dyDescent="0.35">
      <c r="A265" s="69">
        <v>27210272</v>
      </c>
      <c r="B265" s="69" t="s">
        <v>1294</v>
      </c>
      <c r="C265" s="69" t="s">
        <v>1295</v>
      </c>
      <c r="D265" s="69">
        <v>9028591981</v>
      </c>
      <c r="E265" s="69" t="s">
        <v>1296</v>
      </c>
      <c r="F265" s="69" t="s">
        <v>203</v>
      </c>
      <c r="G265" s="26"/>
      <c r="H265" s="26"/>
      <c r="I265" s="26"/>
      <c r="J265" s="26">
        <v>10</v>
      </c>
      <c r="K265" s="26">
        <v>13</v>
      </c>
      <c r="L265" s="26"/>
      <c r="M265" s="26">
        <v>2</v>
      </c>
      <c r="N265" s="26"/>
      <c r="O265" s="26">
        <v>2</v>
      </c>
      <c r="P265" s="26">
        <v>0</v>
      </c>
      <c r="Q265" s="70">
        <v>1</v>
      </c>
      <c r="R265" s="26">
        <v>191</v>
      </c>
    </row>
    <row r="266" spans="1:18" x14ac:dyDescent="0.35">
      <c r="A266" s="69">
        <v>27210273</v>
      </c>
      <c r="B266" s="69" t="s">
        <v>1297</v>
      </c>
      <c r="C266" s="69" t="s">
        <v>1298</v>
      </c>
      <c r="D266" s="69">
        <v>9850552477</v>
      </c>
      <c r="E266" s="69" t="s">
        <v>1299</v>
      </c>
      <c r="F266" s="69" t="s">
        <v>203</v>
      </c>
      <c r="G266" s="26">
        <v>2</v>
      </c>
      <c r="H266" s="26"/>
      <c r="I266" s="26">
        <v>33</v>
      </c>
      <c r="J266" s="26">
        <v>31</v>
      </c>
      <c r="K266" s="26"/>
      <c r="L266" s="26"/>
      <c r="M266" s="26">
        <v>17</v>
      </c>
      <c r="N266" s="26">
        <v>8</v>
      </c>
      <c r="O266" s="26">
        <v>1</v>
      </c>
      <c r="P266" s="26">
        <v>0</v>
      </c>
      <c r="Q266" s="70">
        <v>7</v>
      </c>
      <c r="R266" s="26">
        <v>190</v>
      </c>
    </row>
    <row r="267" spans="1:18" x14ac:dyDescent="0.35">
      <c r="A267" s="69">
        <v>27210285</v>
      </c>
      <c r="B267" s="69" t="s">
        <v>1300</v>
      </c>
      <c r="C267" s="69" t="s">
        <v>1301</v>
      </c>
      <c r="D267" s="69">
        <v>9922843946</v>
      </c>
      <c r="E267" s="69" t="s">
        <v>1302</v>
      </c>
      <c r="F267" s="69" t="s">
        <v>203</v>
      </c>
      <c r="G267" s="26">
        <v>5</v>
      </c>
      <c r="H267" s="26">
        <v>2</v>
      </c>
      <c r="I267" s="26">
        <v>50</v>
      </c>
      <c r="J267" s="26">
        <v>38</v>
      </c>
      <c r="K267" s="26">
        <v>15</v>
      </c>
      <c r="L267" s="26"/>
      <c r="M267" s="26">
        <v>1</v>
      </c>
      <c r="N267" s="26">
        <v>5</v>
      </c>
      <c r="O267" s="26"/>
      <c r="P267" s="26">
        <v>2</v>
      </c>
      <c r="Q267" s="70">
        <v>1</v>
      </c>
      <c r="R267" s="26">
        <v>190</v>
      </c>
    </row>
    <row r="268" spans="1:18" x14ac:dyDescent="0.35">
      <c r="A268" s="69">
        <v>27210288</v>
      </c>
      <c r="B268" s="69" t="s">
        <v>1303</v>
      </c>
      <c r="C268" s="69" t="s">
        <v>1304</v>
      </c>
      <c r="D268" s="69">
        <v>9689675343</v>
      </c>
      <c r="E268" s="69" t="s">
        <v>1305</v>
      </c>
      <c r="F268" s="69" t="s">
        <v>203</v>
      </c>
      <c r="G268" s="26">
        <v>22</v>
      </c>
      <c r="H268" s="26"/>
      <c r="I268" s="26"/>
      <c r="J268" s="26">
        <v>70</v>
      </c>
      <c r="K268" s="26">
        <v>11</v>
      </c>
      <c r="L268" s="26"/>
      <c r="M268" s="26">
        <v>6</v>
      </c>
      <c r="N268" s="26">
        <v>9</v>
      </c>
      <c r="O268" s="26">
        <v>0</v>
      </c>
      <c r="P268" s="26">
        <v>25</v>
      </c>
      <c r="Q268" s="70">
        <v>0</v>
      </c>
      <c r="R268" s="26">
        <v>190</v>
      </c>
    </row>
    <row r="269" spans="1:18" x14ac:dyDescent="0.35">
      <c r="A269" s="69">
        <v>27210305</v>
      </c>
      <c r="B269" s="69" t="s">
        <v>1306</v>
      </c>
      <c r="C269" s="69" t="s">
        <v>1307</v>
      </c>
      <c r="D269" s="69">
        <v>9764165325</v>
      </c>
      <c r="E269" s="69" t="s">
        <v>1308</v>
      </c>
      <c r="F269" s="69" t="s">
        <v>203</v>
      </c>
      <c r="G269" s="26">
        <v>9</v>
      </c>
      <c r="H269" s="26">
        <v>8</v>
      </c>
      <c r="I269" s="26">
        <v>17</v>
      </c>
      <c r="J269" s="26">
        <v>24</v>
      </c>
      <c r="K269" s="26">
        <v>16</v>
      </c>
      <c r="L269" s="26">
        <v>6</v>
      </c>
      <c r="M269" s="26">
        <v>10</v>
      </c>
      <c r="N269" s="26">
        <v>6</v>
      </c>
      <c r="O269" s="26">
        <v>1</v>
      </c>
      <c r="P269" s="26">
        <v>3</v>
      </c>
      <c r="Q269" s="70">
        <v>1</v>
      </c>
      <c r="R269" s="26">
        <v>190</v>
      </c>
    </row>
    <row r="270" spans="1:18" x14ac:dyDescent="0.35">
      <c r="A270" s="69">
        <v>27210319</v>
      </c>
      <c r="B270" s="69" t="s">
        <v>1309</v>
      </c>
      <c r="C270" s="69" t="s">
        <v>1310</v>
      </c>
      <c r="D270" s="69">
        <v>9881161363</v>
      </c>
      <c r="E270" s="69" t="s">
        <v>1311</v>
      </c>
      <c r="F270" s="69" t="s">
        <v>203</v>
      </c>
      <c r="G270" s="26">
        <v>86</v>
      </c>
      <c r="H270" s="26">
        <v>6</v>
      </c>
      <c r="I270" s="26"/>
      <c r="J270" s="26">
        <v>80</v>
      </c>
      <c r="K270" s="26">
        <v>16</v>
      </c>
      <c r="L270" s="26">
        <v>20</v>
      </c>
      <c r="M270" s="26">
        <v>18</v>
      </c>
      <c r="N270" s="26">
        <v>8</v>
      </c>
      <c r="O270" s="26"/>
      <c r="P270" s="26">
        <v>16</v>
      </c>
      <c r="Q270" s="70">
        <v>1</v>
      </c>
      <c r="R270" s="26">
        <v>190</v>
      </c>
    </row>
    <row r="271" spans="1:18" x14ac:dyDescent="0.35">
      <c r="A271" s="69">
        <v>27210323</v>
      </c>
      <c r="B271" s="69" t="s">
        <v>1312</v>
      </c>
      <c r="C271" s="69" t="s">
        <v>1313</v>
      </c>
      <c r="D271" s="69">
        <v>9923795356</v>
      </c>
      <c r="E271" s="69" t="s">
        <v>1314</v>
      </c>
      <c r="F271" s="69" t="s">
        <v>203</v>
      </c>
      <c r="G271" s="26">
        <v>36</v>
      </c>
      <c r="H271" s="26"/>
      <c r="I271" s="26"/>
      <c r="J271" s="26">
        <v>227</v>
      </c>
      <c r="K271" s="26">
        <v>43</v>
      </c>
      <c r="L271" s="26">
        <v>28</v>
      </c>
      <c r="M271" s="26">
        <v>0</v>
      </c>
      <c r="N271" s="26">
        <v>35</v>
      </c>
      <c r="O271" s="26">
        <v>10</v>
      </c>
      <c r="P271" s="26">
        <v>15</v>
      </c>
      <c r="Q271" s="70">
        <v>0</v>
      </c>
      <c r="R271" s="26">
        <v>190</v>
      </c>
    </row>
    <row r="272" spans="1:18" x14ac:dyDescent="0.35">
      <c r="A272" s="69">
        <v>27210327</v>
      </c>
      <c r="B272" s="69" t="s">
        <v>1315</v>
      </c>
      <c r="C272" s="69" t="s">
        <v>1316</v>
      </c>
      <c r="D272" s="69">
        <v>9822428171</v>
      </c>
      <c r="E272" s="69" t="s">
        <v>1317</v>
      </c>
      <c r="F272" s="69" t="s">
        <v>203</v>
      </c>
      <c r="G272" s="26"/>
      <c r="H272" s="26"/>
      <c r="I272" s="26"/>
      <c r="J272" s="26">
        <v>50</v>
      </c>
      <c r="K272" s="26">
        <v>55</v>
      </c>
      <c r="L272" s="26">
        <v>7</v>
      </c>
      <c r="M272" s="26"/>
      <c r="N272" s="26">
        <v>4</v>
      </c>
      <c r="O272" s="26"/>
      <c r="P272" s="26">
        <v>0</v>
      </c>
      <c r="Q272" s="70">
        <v>6</v>
      </c>
      <c r="R272" s="26">
        <v>190</v>
      </c>
    </row>
    <row r="273" spans="1:18" x14ac:dyDescent="0.35">
      <c r="A273" s="69">
        <v>27210330</v>
      </c>
      <c r="B273" s="69" t="s">
        <v>1318</v>
      </c>
      <c r="C273" s="69" t="s">
        <v>1319</v>
      </c>
      <c r="D273" s="69">
        <v>9762211515</v>
      </c>
      <c r="E273" s="69" t="s">
        <v>1320</v>
      </c>
      <c r="F273" s="69" t="s">
        <v>203</v>
      </c>
      <c r="G273" s="26">
        <v>12</v>
      </c>
      <c r="H273" s="26">
        <v>1</v>
      </c>
      <c r="I273" s="26">
        <v>15</v>
      </c>
      <c r="J273" s="26">
        <v>38</v>
      </c>
      <c r="K273" s="26">
        <v>2</v>
      </c>
      <c r="L273" s="26">
        <v>2</v>
      </c>
      <c r="M273" s="26">
        <v>11</v>
      </c>
      <c r="N273" s="26">
        <v>5</v>
      </c>
      <c r="O273" s="26">
        <v>3</v>
      </c>
      <c r="P273" s="26">
        <v>1</v>
      </c>
      <c r="Q273" s="70">
        <v>0</v>
      </c>
      <c r="R273" s="26">
        <v>188</v>
      </c>
    </row>
    <row r="274" spans="1:18" x14ac:dyDescent="0.35">
      <c r="A274" s="69">
        <v>27210331</v>
      </c>
      <c r="B274" s="69" t="s">
        <v>1321</v>
      </c>
      <c r="C274" s="69" t="s">
        <v>1322</v>
      </c>
      <c r="D274" s="69">
        <v>9881172491</v>
      </c>
      <c r="E274" s="69" t="s">
        <v>1323</v>
      </c>
      <c r="F274" s="69" t="s">
        <v>203</v>
      </c>
      <c r="G274" s="26">
        <v>10</v>
      </c>
      <c r="H274" s="26">
        <v>3</v>
      </c>
      <c r="I274" s="26">
        <v>4</v>
      </c>
      <c r="J274" s="26">
        <v>105</v>
      </c>
      <c r="K274" s="26">
        <v>21</v>
      </c>
      <c r="L274" s="26">
        <v>6</v>
      </c>
      <c r="M274" s="26">
        <v>7</v>
      </c>
      <c r="N274" s="26">
        <v>24</v>
      </c>
      <c r="O274" s="26">
        <v>7</v>
      </c>
      <c r="P274" s="26">
        <v>7</v>
      </c>
      <c r="Q274" s="70">
        <v>1</v>
      </c>
      <c r="R274" s="26">
        <v>187</v>
      </c>
    </row>
    <row r="275" spans="1:18" x14ac:dyDescent="0.35">
      <c r="A275" s="69">
        <v>27210332</v>
      </c>
      <c r="B275" s="69" t="s">
        <v>1324</v>
      </c>
      <c r="C275" s="69" t="s">
        <v>1325</v>
      </c>
      <c r="D275" s="69">
        <v>9762201624</v>
      </c>
      <c r="E275" s="69" t="s">
        <v>1326</v>
      </c>
      <c r="F275" s="69" t="s">
        <v>203</v>
      </c>
      <c r="G275" s="26"/>
      <c r="H275" s="26"/>
      <c r="I275" s="26"/>
      <c r="J275" s="26">
        <v>34</v>
      </c>
      <c r="K275" s="26">
        <v>24</v>
      </c>
      <c r="L275" s="26">
        <v>4</v>
      </c>
      <c r="M275" s="26"/>
      <c r="N275" s="26">
        <v>15</v>
      </c>
      <c r="O275" s="26">
        <v>11</v>
      </c>
      <c r="P275" s="26">
        <v>9</v>
      </c>
      <c r="Q275" s="70">
        <v>0</v>
      </c>
      <c r="R275" s="26">
        <v>186</v>
      </c>
    </row>
    <row r="276" spans="1:18" x14ac:dyDescent="0.35">
      <c r="A276" s="69">
        <v>27210346</v>
      </c>
      <c r="B276" s="69" t="s">
        <v>1327</v>
      </c>
      <c r="C276" s="69" t="s">
        <v>1328</v>
      </c>
      <c r="D276" s="69">
        <v>9922025163</v>
      </c>
      <c r="E276" s="69" t="s">
        <v>1329</v>
      </c>
      <c r="F276" s="69" t="s">
        <v>203</v>
      </c>
      <c r="G276" s="26"/>
      <c r="H276" s="26"/>
      <c r="I276" s="26">
        <v>2</v>
      </c>
      <c r="J276" s="26">
        <v>55</v>
      </c>
      <c r="K276" s="26">
        <v>2</v>
      </c>
      <c r="L276" s="26"/>
      <c r="M276" s="26">
        <v>6</v>
      </c>
      <c r="N276" s="26"/>
      <c r="O276" s="26"/>
      <c r="P276" s="26">
        <v>0</v>
      </c>
      <c r="Q276" s="70">
        <v>0</v>
      </c>
      <c r="R276" s="26">
        <v>186</v>
      </c>
    </row>
    <row r="277" spans="1:18" x14ac:dyDescent="0.35">
      <c r="A277" s="69">
        <v>27210348</v>
      </c>
      <c r="B277" s="69" t="s">
        <v>1330</v>
      </c>
      <c r="C277" s="69" t="s">
        <v>1331</v>
      </c>
      <c r="D277" s="69">
        <v>9579607039</v>
      </c>
      <c r="E277" s="69" t="s">
        <v>1332</v>
      </c>
      <c r="F277" s="69" t="s">
        <v>203</v>
      </c>
      <c r="G277" s="26"/>
      <c r="H277" s="26"/>
      <c r="I277" s="26">
        <v>63</v>
      </c>
      <c r="J277" s="26">
        <v>36</v>
      </c>
      <c r="K277" s="26">
        <v>7</v>
      </c>
      <c r="L277" s="26">
        <v>4</v>
      </c>
      <c r="M277" s="26">
        <v>3</v>
      </c>
      <c r="N277" s="26">
        <v>6</v>
      </c>
      <c r="O277" s="26">
        <v>8</v>
      </c>
      <c r="P277" s="26">
        <v>1</v>
      </c>
      <c r="Q277" s="70">
        <v>3</v>
      </c>
      <c r="R277" s="26">
        <v>185</v>
      </c>
    </row>
    <row r="278" spans="1:18" x14ac:dyDescent="0.35">
      <c r="A278" s="69">
        <v>27210352</v>
      </c>
      <c r="B278" s="69" t="s">
        <v>1333</v>
      </c>
      <c r="C278" s="69" t="s">
        <v>1334</v>
      </c>
      <c r="D278" s="69">
        <v>9767820980</v>
      </c>
      <c r="E278" s="69" t="s">
        <v>1335</v>
      </c>
      <c r="F278" s="69" t="s">
        <v>203</v>
      </c>
      <c r="G278" s="26">
        <v>27</v>
      </c>
      <c r="H278" s="26">
        <v>4</v>
      </c>
      <c r="I278" s="26"/>
      <c r="J278" s="26">
        <v>45</v>
      </c>
      <c r="K278" s="26">
        <v>14</v>
      </c>
      <c r="L278" s="26">
        <v>4</v>
      </c>
      <c r="M278" s="26">
        <v>24</v>
      </c>
      <c r="N278" s="26">
        <v>18</v>
      </c>
      <c r="O278" s="26">
        <v>14</v>
      </c>
      <c r="P278" s="26">
        <v>25</v>
      </c>
      <c r="Q278" s="70">
        <v>4</v>
      </c>
      <c r="R278" s="26">
        <v>183</v>
      </c>
    </row>
    <row r="279" spans="1:18" x14ac:dyDescent="0.35">
      <c r="A279" s="69">
        <v>27210354</v>
      </c>
      <c r="B279" s="69" t="s">
        <v>1336</v>
      </c>
      <c r="C279" s="69" t="s">
        <v>1337</v>
      </c>
      <c r="D279" s="69">
        <v>9657718100</v>
      </c>
      <c r="E279" s="69" t="s">
        <v>1338</v>
      </c>
      <c r="F279" s="69" t="s">
        <v>203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>
        <v>0</v>
      </c>
      <c r="Q279" s="70">
        <v>0</v>
      </c>
      <c r="R279" s="26">
        <v>183</v>
      </c>
    </row>
    <row r="280" spans="1:18" x14ac:dyDescent="0.35">
      <c r="A280" s="69">
        <v>27210356</v>
      </c>
      <c r="B280" s="69" t="s">
        <v>1339</v>
      </c>
      <c r="C280" s="69" t="s">
        <v>1340</v>
      </c>
      <c r="D280" s="69">
        <v>9890470097</v>
      </c>
      <c r="E280" s="69" t="s">
        <v>1341</v>
      </c>
      <c r="F280" s="69" t="s">
        <v>1629</v>
      </c>
      <c r="G280" s="26">
        <v>13</v>
      </c>
      <c r="H280" s="26">
        <v>2</v>
      </c>
      <c r="I280" s="26">
        <v>1</v>
      </c>
      <c r="J280" s="26"/>
      <c r="K280" s="26"/>
      <c r="L280" s="26"/>
      <c r="M280" s="26"/>
      <c r="N280" s="26"/>
      <c r="O280" s="26">
        <v>0</v>
      </c>
      <c r="P280" s="26">
        <v>0</v>
      </c>
      <c r="Q280" s="70">
        <v>0</v>
      </c>
      <c r="R280" s="26">
        <v>183</v>
      </c>
    </row>
    <row r="281" spans="1:18" x14ac:dyDescent="0.35">
      <c r="A281" s="69">
        <v>27210366</v>
      </c>
      <c r="B281" s="69" t="s">
        <v>1342</v>
      </c>
      <c r="C281" s="69" t="s">
        <v>1343</v>
      </c>
      <c r="D281" s="69">
        <v>8600051435</v>
      </c>
      <c r="E281" s="69" t="s">
        <v>1344</v>
      </c>
      <c r="F281" s="69" t="s">
        <v>1629</v>
      </c>
      <c r="G281" s="26">
        <v>12</v>
      </c>
      <c r="H281" s="26"/>
      <c r="I281" s="26"/>
      <c r="J281" s="26">
        <v>37</v>
      </c>
      <c r="K281" s="26"/>
      <c r="L281" s="26"/>
      <c r="M281" s="26"/>
      <c r="N281" s="26">
        <v>5</v>
      </c>
      <c r="O281" s="26"/>
      <c r="P281" s="26">
        <v>0</v>
      </c>
      <c r="Q281" s="70">
        <v>3</v>
      </c>
      <c r="R281" s="26">
        <v>183</v>
      </c>
    </row>
    <row r="282" spans="1:18" x14ac:dyDescent="0.35">
      <c r="A282" s="69">
        <v>27210372</v>
      </c>
      <c r="B282" s="69" t="s">
        <v>1345</v>
      </c>
      <c r="C282" s="69" t="s">
        <v>1346</v>
      </c>
      <c r="D282" s="69">
        <v>9766998165</v>
      </c>
      <c r="E282" s="69" t="s">
        <v>1347</v>
      </c>
      <c r="F282" s="69" t="s">
        <v>1629</v>
      </c>
      <c r="G282" s="26"/>
      <c r="H282" s="26">
        <v>2</v>
      </c>
      <c r="I282" s="26">
        <v>10</v>
      </c>
      <c r="J282" s="26">
        <v>15</v>
      </c>
      <c r="K282" s="26">
        <v>10</v>
      </c>
      <c r="L282" s="26">
        <v>2</v>
      </c>
      <c r="M282" s="26"/>
      <c r="N282" s="26"/>
      <c r="O282" s="26"/>
      <c r="P282" s="26">
        <v>0</v>
      </c>
      <c r="Q282" s="70">
        <v>0</v>
      </c>
      <c r="R282" s="26">
        <v>183</v>
      </c>
    </row>
    <row r="283" spans="1:18" x14ac:dyDescent="0.35">
      <c r="A283" s="69">
        <v>28210001</v>
      </c>
      <c r="B283" s="69" t="s">
        <v>1348</v>
      </c>
      <c r="C283" s="69" t="s">
        <v>1349</v>
      </c>
      <c r="D283" s="69">
        <v>9869628779</v>
      </c>
      <c r="E283" s="69" t="s">
        <v>1350</v>
      </c>
      <c r="F283" s="69" t="s">
        <v>1629</v>
      </c>
      <c r="G283" s="26">
        <v>48</v>
      </c>
      <c r="H283" s="26">
        <v>12</v>
      </c>
      <c r="I283" s="26">
        <v>63</v>
      </c>
      <c r="J283" s="26">
        <v>64</v>
      </c>
      <c r="K283" s="26">
        <v>51</v>
      </c>
      <c r="L283" s="26">
        <v>2</v>
      </c>
      <c r="M283" s="26">
        <v>66</v>
      </c>
      <c r="N283" s="26">
        <v>26</v>
      </c>
      <c r="O283" s="26">
        <v>13</v>
      </c>
      <c r="P283" s="26">
        <v>53</v>
      </c>
      <c r="Q283" s="70">
        <v>20</v>
      </c>
      <c r="R283" s="26">
        <v>183</v>
      </c>
    </row>
    <row r="284" spans="1:18" x14ac:dyDescent="0.35">
      <c r="A284" s="69">
        <v>28210006</v>
      </c>
      <c r="B284" s="69" t="s">
        <v>1177</v>
      </c>
      <c r="C284" s="69" t="s">
        <v>1351</v>
      </c>
      <c r="D284" s="69">
        <v>9869966788</v>
      </c>
      <c r="E284" s="69" t="s">
        <v>1352</v>
      </c>
      <c r="F284" s="69" t="s">
        <v>1629</v>
      </c>
      <c r="G284" s="26">
        <v>5</v>
      </c>
      <c r="H284" s="26"/>
      <c r="I284" s="26">
        <v>18</v>
      </c>
      <c r="J284" s="26">
        <v>30</v>
      </c>
      <c r="K284" s="26"/>
      <c r="L284" s="26">
        <v>5</v>
      </c>
      <c r="M284" s="26">
        <v>1</v>
      </c>
      <c r="N284" s="26"/>
      <c r="O284" s="26"/>
      <c r="P284" s="26">
        <v>4</v>
      </c>
      <c r="Q284" s="70">
        <v>0</v>
      </c>
      <c r="R284" s="26">
        <v>182</v>
      </c>
    </row>
    <row r="285" spans="1:18" x14ac:dyDescent="0.35">
      <c r="A285" s="69">
        <v>28210007</v>
      </c>
      <c r="B285" s="69" t="s">
        <v>935</v>
      </c>
      <c r="C285" s="69" t="s">
        <v>1353</v>
      </c>
      <c r="D285" s="69">
        <v>9819803579</v>
      </c>
      <c r="E285" s="69" t="s">
        <v>1354</v>
      </c>
      <c r="F285" s="69" t="s">
        <v>1629</v>
      </c>
      <c r="G285" s="26">
        <v>30</v>
      </c>
      <c r="H285" s="26">
        <v>7</v>
      </c>
      <c r="I285" s="26">
        <v>51</v>
      </c>
      <c r="J285" s="26">
        <v>37</v>
      </c>
      <c r="K285" s="26">
        <v>17</v>
      </c>
      <c r="L285" s="26">
        <v>13</v>
      </c>
      <c r="M285" s="26">
        <v>20</v>
      </c>
      <c r="N285" s="26">
        <v>10</v>
      </c>
      <c r="O285" s="26">
        <v>11</v>
      </c>
      <c r="P285" s="26">
        <v>10</v>
      </c>
      <c r="Q285" s="70">
        <v>0</v>
      </c>
      <c r="R285" s="26">
        <v>180</v>
      </c>
    </row>
    <row r="286" spans="1:18" x14ac:dyDescent="0.35">
      <c r="A286" s="69">
        <v>28210008</v>
      </c>
      <c r="B286" s="69" t="s">
        <v>935</v>
      </c>
      <c r="C286" s="69" t="s">
        <v>1355</v>
      </c>
      <c r="D286" s="69">
        <v>9869214286</v>
      </c>
      <c r="E286" s="69" t="s">
        <v>1356</v>
      </c>
      <c r="F286" s="69" t="s">
        <v>1629</v>
      </c>
      <c r="G286" s="26">
        <v>57</v>
      </c>
      <c r="H286" s="26"/>
      <c r="I286" s="26">
        <v>53</v>
      </c>
      <c r="J286" s="26">
        <v>62</v>
      </c>
      <c r="K286" s="26">
        <v>25</v>
      </c>
      <c r="L286" s="26">
        <v>41</v>
      </c>
      <c r="M286" s="26">
        <v>24</v>
      </c>
      <c r="N286" s="26">
        <v>20</v>
      </c>
      <c r="O286" s="26">
        <v>10</v>
      </c>
      <c r="P286" s="26">
        <v>25</v>
      </c>
      <c r="Q286" s="70">
        <v>12</v>
      </c>
      <c r="R286" s="26">
        <v>180</v>
      </c>
    </row>
    <row r="287" spans="1:18" x14ac:dyDescent="0.35">
      <c r="A287" s="69">
        <v>28210021</v>
      </c>
      <c r="B287" s="69" t="s">
        <v>935</v>
      </c>
      <c r="C287" s="69" t="s">
        <v>1357</v>
      </c>
      <c r="D287" s="69">
        <v>9702177187</v>
      </c>
      <c r="E287" s="69" t="s">
        <v>1358</v>
      </c>
      <c r="F287" s="69" t="s">
        <v>1629</v>
      </c>
      <c r="G287" s="26">
        <v>93</v>
      </c>
      <c r="H287" s="26"/>
      <c r="I287" s="26">
        <v>50</v>
      </c>
      <c r="J287" s="26">
        <v>190</v>
      </c>
      <c r="K287" s="26">
        <v>168</v>
      </c>
      <c r="L287" s="26">
        <v>65</v>
      </c>
      <c r="M287" s="26"/>
      <c r="N287" s="26">
        <v>189</v>
      </c>
      <c r="O287" s="26">
        <v>65</v>
      </c>
      <c r="P287" s="26">
        <v>83</v>
      </c>
      <c r="Q287" s="70">
        <v>31</v>
      </c>
      <c r="R287" s="26">
        <v>180</v>
      </c>
    </row>
    <row r="288" spans="1:18" x14ac:dyDescent="0.35">
      <c r="A288" s="69">
        <v>28210082</v>
      </c>
      <c r="B288" s="69" t="s">
        <v>935</v>
      </c>
      <c r="C288" s="69" t="s">
        <v>1359</v>
      </c>
      <c r="D288" s="69">
        <v>9987334056</v>
      </c>
      <c r="E288" s="69" t="s">
        <v>1360</v>
      </c>
      <c r="F288" s="69" t="s">
        <v>1629</v>
      </c>
      <c r="G288" s="26">
        <v>30</v>
      </c>
      <c r="H288" s="26"/>
      <c r="I288" s="26">
        <v>50</v>
      </c>
      <c r="J288" s="26"/>
      <c r="K288" s="26">
        <v>124</v>
      </c>
      <c r="L288" s="26"/>
      <c r="M288" s="26">
        <v>94</v>
      </c>
      <c r="N288" s="26">
        <v>27</v>
      </c>
      <c r="O288" s="26"/>
      <c r="P288" s="26">
        <v>26</v>
      </c>
      <c r="Q288" s="70">
        <v>7</v>
      </c>
      <c r="R288" s="26">
        <v>179</v>
      </c>
    </row>
    <row r="289" spans="1:18" x14ac:dyDescent="0.35">
      <c r="A289" s="69">
        <v>28210083</v>
      </c>
      <c r="B289" s="69" t="s">
        <v>935</v>
      </c>
      <c r="C289" s="69" t="s">
        <v>1361</v>
      </c>
      <c r="D289" s="69">
        <v>9322219070</v>
      </c>
      <c r="E289" s="69" t="s">
        <v>1362</v>
      </c>
      <c r="F289" s="69" t="s">
        <v>1629</v>
      </c>
      <c r="G289" s="26">
        <v>48</v>
      </c>
      <c r="H289" s="26"/>
      <c r="I289" s="26">
        <v>50</v>
      </c>
      <c r="J289" s="26">
        <v>135</v>
      </c>
      <c r="K289" s="26">
        <v>83</v>
      </c>
      <c r="L289" s="26">
        <v>51</v>
      </c>
      <c r="M289" s="26">
        <v>43</v>
      </c>
      <c r="N289" s="26">
        <v>36</v>
      </c>
      <c r="O289" s="26">
        <v>36</v>
      </c>
      <c r="P289" s="26">
        <v>34</v>
      </c>
      <c r="Q289" s="70">
        <v>34</v>
      </c>
      <c r="R289" s="26">
        <v>179</v>
      </c>
    </row>
    <row r="290" spans="1:18" x14ac:dyDescent="0.35">
      <c r="A290" s="69">
        <v>28210096</v>
      </c>
      <c r="B290" s="69" t="s">
        <v>935</v>
      </c>
      <c r="C290" s="69" t="s">
        <v>1363</v>
      </c>
      <c r="D290" s="69">
        <v>9702676637</v>
      </c>
      <c r="E290" s="69" t="s">
        <v>1364</v>
      </c>
      <c r="F290" s="69" t="s">
        <v>1629</v>
      </c>
      <c r="G290" s="26">
        <v>18</v>
      </c>
      <c r="H290" s="26"/>
      <c r="I290" s="26">
        <v>39</v>
      </c>
      <c r="J290" s="26">
        <v>32</v>
      </c>
      <c r="K290" s="26">
        <v>22</v>
      </c>
      <c r="L290" s="26">
        <v>24</v>
      </c>
      <c r="M290" s="26">
        <v>24</v>
      </c>
      <c r="N290" s="26">
        <v>13</v>
      </c>
      <c r="O290" s="26">
        <v>10</v>
      </c>
      <c r="P290" s="26">
        <v>14</v>
      </c>
      <c r="Q290" s="70">
        <v>9</v>
      </c>
      <c r="R290" s="26">
        <v>179</v>
      </c>
    </row>
    <row r="291" spans="1:18" x14ac:dyDescent="0.35">
      <c r="A291" s="69">
        <v>28210104</v>
      </c>
      <c r="B291" s="69" t="s">
        <v>935</v>
      </c>
      <c r="C291" s="69" t="s">
        <v>1365</v>
      </c>
      <c r="D291" s="69">
        <v>9820994920</v>
      </c>
      <c r="E291" s="69" t="s">
        <v>1366</v>
      </c>
      <c r="F291" s="69" t="s">
        <v>1629</v>
      </c>
      <c r="G291" s="26">
        <v>15</v>
      </c>
      <c r="H291" s="26"/>
      <c r="I291" s="26"/>
      <c r="J291" s="26">
        <v>50</v>
      </c>
      <c r="K291" s="26">
        <v>7</v>
      </c>
      <c r="L291" s="26"/>
      <c r="M291" s="26">
        <v>21</v>
      </c>
      <c r="N291" s="26"/>
      <c r="O291" s="26"/>
      <c r="P291" s="26">
        <v>17</v>
      </c>
      <c r="Q291" s="70">
        <v>0</v>
      </c>
      <c r="R291" s="26">
        <v>179</v>
      </c>
    </row>
    <row r="292" spans="1:18" x14ac:dyDescent="0.35">
      <c r="A292" s="69">
        <v>29210090</v>
      </c>
      <c r="B292" s="69" t="s">
        <v>1367</v>
      </c>
      <c r="C292" s="69" t="s">
        <v>1368</v>
      </c>
      <c r="D292" s="69">
        <v>9422570088</v>
      </c>
      <c r="E292" s="69" t="s">
        <v>1369</v>
      </c>
      <c r="F292" s="69" t="s">
        <v>1629</v>
      </c>
      <c r="G292" s="26">
        <v>22</v>
      </c>
      <c r="H292" s="26">
        <v>11</v>
      </c>
      <c r="I292" s="26">
        <v>141</v>
      </c>
      <c r="J292" s="26">
        <v>78</v>
      </c>
      <c r="K292" s="26">
        <v>18</v>
      </c>
      <c r="L292" s="26">
        <v>16</v>
      </c>
      <c r="M292" s="26">
        <v>23</v>
      </c>
      <c r="N292" s="26">
        <v>30</v>
      </c>
      <c r="O292" s="26">
        <v>12</v>
      </c>
      <c r="P292" s="26">
        <v>32</v>
      </c>
      <c r="Q292" s="70">
        <v>27</v>
      </c>
      <c r="R292" s="26">
        <v>178</v>
      </c>
    </row>
    <row r="293" spans="1:18" x14ac:dyDescent="0.35">
      <c r="A293" s="69">
        <v>31210002</v>
      </c>
      <c r="B293" s="69" t="s">
        <v>1371</v>
      </c>
      <c r="C293" s="69" t="s">
        <v>1372</v>
      </c>
      <c r="D293" s="69">
        <v>9423493101</v>
      </c>
      <c r="E293" s="69" t="s">
        <v>1373</v>
      </c>
      <c r="F293" s="69" t="s">
        <v>1629</v>
      </c>
      <c r="G293" s="26">
        <v>63</v>
      </c>
      <c r="H293" s="26"/>
      <c r="I293" s="26"/>
      <c r="J293" s="26">
        <v>53</v>
      </c>
      <c r="K293" s="26"/>
      <c r="L293" s="26"/>
      <c r="M293" s="26">
        <v>3</v>
      </c>
      <c r="N293" s="26">
        <v>6</v>
      </c>
      <c r="O293" s="26"/>
      <c r="P293" s="26">
        <v>9</v>
      </c>
      <c r="Q293" s="70">
        <v>0</v>
      </c>
      <c r="R293" s="26">
        <v>177</v>
      </c>
    </row>
    <row r="294" spans="1:18" x14ac:dyDescent="0.35">
      <c r="A294" s="69">
        <v>31210046</v>
      </c>
      <c r="B294" s="69" t="s">
        <v>1375</v>
      </c>
      <c r="C294" s="69" t="s">
        <v>1376</v>
      </c>
      <c r="D294" s="69">
        <v>9422260700</v>
      </c>
      <c r="E294" s="69" t="s">
        <v>1377</v>
      </c>
      <c r="F294" s="69" t="s">
        <v>1629</v>
      </c>
      <c r="G294" s="26">
        <v>73</v>
      </c>
      <c r="H294" s="26">
        <v>16</v>
      </c>
      <c r="I294" s="26"/>
      <c r="J294" s="26">
        <v>56</v>
      </c>
      <c r="K294" s="26">
        <v>28</v>
      </c>
      <c r="L294" s="26">
        <v>10</v>
      </c>
      <c r="M294" s="26">
        <v>7</v>
      </c>
      <c r="N294" s="26">
        <v>12</v>
      </c>
      <c r="O294" s="26">
        <v>13</v>
      </c>
      <c r="P294" s="26">
        <v>5</v>
      </c>
      <c r="Q294" s="70">
        <v>5</v>
      </c>
      <c r="R294" s="26">
        <v>177</v>
      </c>
    </row>
    <row r="295" spans="1:18" x14ac:dyDescent="0.35">
      <c r="A295" s="69">
        <v>31210049</v>
      </c>
      <c r="B295" s="69" t="s">
        <v>1378</v>
      </c>
      <c r="C295" s="69" t="s">
        <v>1379</v>
      </c>
      <c r="D295" s="69">
        <v>9423497141</v>
      </c>
      <c r="E295" s="69" t="s">
        <v>1380</v>
      </c>
      <c r="F295" s="69" t="s">
        <v>1629</v>
      </c>
      <c r="G295" s="26">
        <v>6</v>
      </c>
      <c r="H295" s="26"/>
      <c r="I295" s="26"/>
      <c r="J295" s="26">
        <v>7</v>
      </c>
      <c r="K295" s="26"/>
      <c r="L295" s="26">
        <v>0</v>
      </c>
      <c r="M295" s="26">
        <v>7</v>
      </c>
      <c r="N295" s="26">
        <v>2</v>
      </c>
      <c r="O295" s="26"/>
      <c r="P295" s="26">
        <v>1</v>
      </c>
      <c r="Q295" s="70">
        <v>1</v>
      </c>
      <c r="R295" s="26">
        <v>177</v>
      </c>
    </row>
    <row r="296" spans="1:18" x14ac:dyDescent="0.35">
      <c r="A296" s="69">
        <v>31210050</v>
      </c>
      <c r="B296" s="69" t="s">
        <v>790</v>
      </c>
      <c r="C296" s="69" t="s">
        <v>1381</v>
      </c>
      <c r="D296" s="69">
        <v>9923252575</v>
      </c>
      <c r="E296" s="69" t="s">
        <v>1382</v>
      </c>
      <c r="F296" s="69" t="s">
        <v>1629</v>
      </c>
      <c r="G296" s="26">
        <v>31</v>
      </c>
      <c r="H296" s="26">
        <v>11</v>
      </c>
      <c r="I296" s="26"/>
      <c r="J296" s="26">
        <v>63</v>
      </c>
      <c r="K296" s="26">
        <v>33</v>
      </c>
      <c r="L296" s="26"/>
      <c r="M296" s="26">
        <v>10</v>
      </c>
      <c r="N296" s="26">
        <v>12</v>
      </c>
      <c r="O296" s="26">
        <v>11</v>
      </c>
      <c r="P296" s="26">
        <v>12</v>
      </c>
      <c r="Q296" s="70">
        <v>7</v>
      </c>
      <c r="R296" s="26">
        <v>177</v>
      </c>
    </row>
    <row r="297" spans="1:18" x14ac:dyDescent="0.35">
      <c r="A297" s="69">
        <v>32210002</v>
      </c>
      <c r="B297" s="69" t="s">
        <v>1383</v>
      </c>
      <c r="C297" s="69" t="s">
        <v>1384</v>
      </c>
      <c r="D297" s="69">
        <v>9423565685</v>
      </c>
      <c r="E297" s="69" t="s">
        <v>1385</v>
      </c>
      <c r="F297" s="69" t="s">
        <v>1629</v>
      </c>
      <c r="G297" s="26">
        <v>20</v>
      </c>
      <c r="H297" s="26">
        <v>5</v>
      </c>
      <c r="I297" s="26"/>
      <c r="J297" s="26">
        <v>140</v>
      </c>
      <c r="K297" s="26">
        <v>68</v>
      </c>
      <c r="L297" s="26">
        <v>24</v>
      </c>
      <c r="M297" s="26">
        <v>15</v>
      </c>
      <c r="N297" s="26">
        <v>17</v>
      </c>
      <c r="O297" s="26">
        <v>15</v>
      </c>
      <c r="P297" s="26">
        <v>13</v>
      </c>
      <c r="Q297" s="70">
        <v>7</v>
      </c>
      <c r="R297" s="26">
        <v>175</v>
      </c>
    </row>
    <row r="298" spans="1:18" x14ac:dyDescent="0.35">
      <c r="A298" s="69">
        <v>32210003</v>
      </c>
      <c r="B298" s="69" t="s">
        <v>1387</v>
      </c>
      <c r="C298" s="69" t="s">
        <v>1388</v>
      </c>
      <c r="D298" s="69">
        <v>9890943474</v>
      </c>
      <c r="E298" s="69" t="s">
        <v>1389</v>
      </c>
      <c r="F298" s="69" t="s">
        <v>1629</v>
      </c>
      <c r="G298" s="26">
        <v>31</v>
      </c>
      <c r="H298" s="26">
        <v>13</v>
      </c>
      <c r="I298" s="26">
        <v>71</v>
      </c>
      <c r="J298" s="26">
        <v>86</v>
      </c>
      <c r="K298" s="26">
        <v>26</v>
      </c>
      <c r="L298" s="26">
        <v>23</v>
      </c>
      <c r="M298" s="26">
        <v>16</v>
      </c>
      <c r="N298" s="26">
        <v>14</v>
      </c>
      <c r="O298" s="26">
        <v>13</v>
      </c>
      <c r="P298" s="26">
        <v>9</v>
      </c>
      <c r="Q298" s="70">
        <v>9</v>
      </c>
      <c r="R298" s="26">
        <v>175</v>
      </c>
    </row>
    <row r="299" spans="1:18" x14ac:dyDescent="0.35">
      <c r="A299" s="69">
        <v>32210004</v>
      </c>
      <c r="B299" s="69" t="s">
        <v>1390</v>
      </c>
      <c r="C299" s="69" t="s">
        <v>1391</v>
      </c>
      <c r="D299" s="69">
        <v>9730124101</v>
      </c>
      <c r="E299" s="69" t="s">
        <v>1392</v>
      </c>
      <c r="F299" s="69" t="s">
        <v>1629</v>
      </c>
      <c r="G299" s="26">
        <v>31</v>
      </c>
      <c r="H299" s="26">
        <v>2</v>
      </c>
      <c r="I299" s="26"/>
      <c r="J299" s="26">
        <v>133</v>
      </c>
      <c r="K299" s="26">
        <v>10</v>
      </c>
      <c r="L299" s="26"/>
      <c r="M299" s="26">
        <v>20</v>
      </c>
      <c r="N299" s="26">
        <v>24</v>
      </c>
      <c r="O299" s="26">
        <v>1</v>
      </c>
      <c r="P299" s="26">
        <v>26</v>
      </c>
      <c r="Q299" s="70">
        <v>4</v>
      </c>
      <c r="R299" s="26">
        <v>174</v>
      </c>
    </row>
    <row r="300" spans="1:18" x14ac:dyDescent="0.35">
      <c r="A300" s="69">
        <v>32210057</v>
      </c>
      <c r="B300" s="69" t="s">
        <v>1393</v>
      </c>
      <c r="C300" s="69" t="s">
        <v>1394</v>
      </c>
      <c r="D300" s="69">
        <v>9421493560</v>
      </c>
      <c r="E300" s="69" t="s">
        <v>1395</v>
      </c>
      <c r="F300" s="69" t="s">
        <v>1629</v>
      </c>
      <c r="G300" s="26">
        <v>12</v>
      </c>
      <c r="H300" s="26">
        <v>4</v>
      </c>
      <c r="I300" s="26">
        <v>14</v>
      </c>
      <c r="J300" s="26">
        <v>9</v>
      </c>
      <c r="K300" s="26"/>
      <c r="L300" s="26">
        <v>7</v>
      </c>
      <c r="M300" s="26">
        <v>2</v>
      </c>
      <c r="N300" s="26">
        <v>3</v>
      </c>
      <c r="O300" s="26">
        <v>2</v>
      </c>
      <c r="P300" s="26">
        <v>2</v>
      </c>
      <c r="Q300" s="70">
        <v>3</v>
      </c>
      <c r="R300" s="26">
        <v>174</v>
      </c>
    </row>
    <row r="301" spans="1:18" x14ac:dyDescent="0.35">
      <c r="A301" s="69">
        <v>32210062</v>
      </c>
      <c r="B301" s="69" t="s">
        <v>1396</v>
      </c>
      <c r="C301" s="69" t="s">
        <v>1397</v>
      </c>
      <c r="D301" s="69">
        <v>9922865679</v>
      </c>
      <c r="E301" s="69" t="s">
        <v>1398</v>
      </c>
      <c r="F301" s="69" t="s">
        <v>1629</v>
      </c>
      <c r="G301" s="26"/>
      <c r="H301" s="26">
        <v>39</v>
      </c>
      <c r="I301" s="26">
        <v>51</v>
      </c>
      <c r="J301" s="26"/>
      <c r="K301" s="26">
        <v>46</v>
      </c>
      <c r="L301" s="26"/>
      <c r="M301" s="26">
        <v>13</v>
      </c>
      <c r="N301" s="26">
        <v>10</v>
      </c>
      <c r="O301" s="26"/>
      <c r="P301" s="26">
        <v>8</v>
      </c>
      <c r="Q301" s="70">
        <v>4</v>
      </c>
      <c r="R301" s="26">
        <v>173</v>
      </c>
    </row>
    <row r="302" spans="1:18" x14ac:dyDescent="0.35">
      <c r="A302" s="69">
        <v>32210095</v>
      </c>
      <c r="B302" s="69" t="s">
        <v>1399</v>
      </c>
      <c r="C302" s="69" t="s">
        <v>1400</v>
      </c>
      <c r="D302" s="69">
        <v>9767607478</v>
      </c>
      <c r="E302" s="69" t="s">
        <v>1401</v>
      </c>
      <c r="F302" s="69" t="s">
        <v>1629</v>
      </c>
      <c r="G302" s="26">
        <v>10</v>
      </c>
      <c r="H302" s="26">
        <v>3</v>
      </c>
      <c r="I302" s="26"/>
      <c r="J302" s="26">
        <v>55</v>
      </c>
      <c r="K302" s="26">
        <v>5</v>
      </c>
      <c r="L302" s="26"/>
      <c r="M302" s="26">
        <v>3</v>
      </c>
      <c r="N302" s="26">
        <v>1</v>
      </c>
      <c r="O302" s="26">
        <v>1</v>
      </c>
      <c r="P302" s="26">
        <v>4</v>
      </c>
      <c r="Q302" s="70">
        <v>5</v>
      </c>
      <c r="R302" s="26">
        <v>173</v>
      </c>
    </row>
    <row r="303" spans="1:18" x14ac:dyDescent="0.35">
      <c r="A303" s="69">
        <v>32210100</v>
      </c>
      <c r="B303" s="69" t="s">
        <v>1402</v>
      </c>
      <c r="C303" s="69" t="s">
        <v>1403</v>
      </c>
      <c r="D303" s="69">
        <v>9970414311</v>
      </c>
      <c r="E303" s="69" t="s">
        <v>1404</v>
      </c>
      <c r="F303" s="69" t="s">
        <v>1629</v>
      </c>
      <c r="G303" s="26"/>
      <c r="H303" s="26"/>
      <c r="I303" s="26"/>
      <c r="J303" s="26"/>
      <c r="K303" s="26">
        <v>17</v>
      </c>
      <c r="L303" s="26"/>
      <c r="M303" s="26"/>
      <c r="N303" s="26">
        <v>3</v>
      </c>
      <c r="O303" s="26">
        <v>3</v>
      </c>
      <c r="P303" s="26">
        <v>16</v>
      </c>
      <c r="Q303" s="70">
        <v>3</v>
      </c>
      <c r="R303" s="26">
        <v>172</v>
      </c>
    </row>
    <row r="304" spans="1:18" x14ac:dyDescent="0.35">
      <c r="A304" s="69">
        <v>32210103</v>
      </c>
      <c r="B304" s="69" t="s">
        <v>1405</v>
      </c>
      <c r="C304" s="69" t="s">
        <v>1406</v>
      </c>
      <c r="D304" s="69">
        <v>9420562237</v>
      </c>
      <c r="E304" s="69" t="s">
        <v>1407</v>
      </c>
      <c r="F304" s="69" t="s">
        <v>1629</v>
      </c>
      <c r="G304" s="26">
        <v>30</v>
      </c>
      <c r="H304" s="26"/>
      <c r="I304" s="26">
        <v>39</v>
      </c>
      <c r="J304" s="26">
        <v>12</v>
      </c>
      <c r="K304" s="26">
        <v>18</v>
      </c>
      <c r="L304" s="26">
        <v>6</v>
      </c>
      <c r="M304" s="26"/>
      <c r="N304" s="26">
        <v>13</v>
      </c>
      <c r="O304" s="26">
        <v>0</v>
      </c>
      <c r="P304" s="26">
        <v>10</v>
      </c>
      <c r="Q304" s="70">
        <v>0</v>
      </c>
      <c r="R304" s="26">
        <v>172</v>
      </c>
    </row>
    <row r="305" spans="1:18" x14ac:dyDescent="0.35">
      <c r="A305" s="69">
        <v>32210106</v>
      </c>
      <c r="B305" s="69" t="s">
        <v>1408</v>
      </c>
      <c r="C305" s="69" t="s">
        <v>1409</v>
      </c>
      <c r="D305" s="69">
        <v>9689339450</v>
      </c>
      <c r="E305" s="69" t="s">
        <v>1410</v>
      </c>
      <c r="F305" s="69" t="s">
        <v>1629</v>
      </c>
      <c r="G305" s="26"/>
      <c r="H305" s="26"/>
      <c r="I305" s="26">
        <v>3</v>
      </c>
      <c r="J305" s="26">
        <v>66</v>
      </c>
      <c r="K305" s="26">
        <v>14</v>
      </c>
      <c r="L305" s="26"/>
      <c r="M305" s="26">
        <v>11</v>
      </c>
      <c r="N305" s="26"/>
      <c r="O305" s="26">
        <v>6</v>
      </c>
      <c r="P305" s="26">
        <v>0</v>
      </c>
      <c r="Q305" s="70">
        <v>0</v>
      </c>
      <c r="R305" s="26">
        <v>172</v>
      </c>
    </row>
    <row r="306" spans="1:18" x14ac:dyDescent="0.35">
      <c r="A306" s="69">
        <v>32210107</v>
      </c>
      <c r="B306" s="69" t="s">
        <v>1411</v>
      </c>
      <c r="C306" s="69" t="s">
        <v>1412</v>
      </c>
      <c r="D306" s="69">
        <v>9422725642</v>
      </c>
      <c r="E306" s="69" t="s">
        <v>1413</v>
      </c>
      <c r="F306" s="69" t="s">
        <v>1629</v>
      </c>
      <c r="G306" s="26"/>
      <c r="H306" s="26">
        <v>26</v>
      </c>
      <c r="I306" s="26"/>
      <c r="J306" s="26">
        <v>63</v>
      </c>
      <c r="K306" s="26">
        <v>11</v>
      </c>
      <c r="L306" s="26"/>
      <c r="M306" s="26">
        <v>13</v>
      </c>
      <c r="N306" s="26">
        <v>0</v>
      </c>
      <c r="O306" s="26"/>
      <c r="P306" s="26">
        <v>0</v>
      </c>
      <c r="Q306" s="70">
        <v>27</v>
      </c>
      <c r="R306" s="26">
        <v>171</v>
      </c>
    </row>
    <row r="307" spans="1:18" x14ac:dyDescent="0.35">
      <c r="A307" s="69">
        <v>32210109</v>
      </c>
      <c r="B307" s="69" t="s">
        <v>565</v>
      </c>
      <c r="C307" s="69" t="s">
        <v>1414</v>
      </c>
      <c r="D307" s="69">
        <v>9881193513</v>
      </c>
      <c r="E307" s="69" t="s">
        <v>1415</v>
      </c>
      <c r="F307" s="69" t="s">
        <v>1629</v>
      </c>
      <c r="G307" s="26"/>
      <c r="H307" s="26">
        <v>10</v>
      </c>
      <c r="I307" s="26">
        <v>21</v>
      </c>
      <c r="J307" s="26">
        <v>32</v>
      </c>
      <c r="K307" s="26">
        <v>31</v>
      </c>
      <c r="L307" s="26"/>
      <c r="M307" s="26">
        <v>4</v>
      </c>
      <c r="N307" s="26">
        <v>0</v>
      </c>
      <c r="O307" s="26">
        <v>11</v>
      </c>
      <c r="P307" s="26">
        <v>0</v>
      </c>
      <c r="Q307" s="70">
        <v>0</v>
      </c>
      <c r="R307" s="26">
        <v>171</v>
      </c>
    </row>
    <row r="308" spans="1:18" x14ac:dyDescent="0.35">
      <c r="A308" s="69">
        <v>32210114</v>
      </c>
      <c r="B308" s="69" t="s">
        <v>1416</v>
      </c>
      <c r="C308" s="69" t="s">
        <v>1417</v>
      </c>
      <c r="D308" s="69">
        <v>9881790679</v>
      </c>
      <c r="E308" s="69" t="s">
        <v>1418</v>
      </c>
      <c r="F308" s="69" t="s">
        <v>1629</v>
      </c>
      <c r="G308" s="26">
        <v>44</v>
      </c>
      <c r="H308" s="26">
        <v>4</v>
      </c>
      <c r="I308" s="26">
        <v>23</v>
      </c>
      <c r="J308" s="26">
        <v>14</v>
      </c>
      <c r="K308" s="26">
        <v>51</v>
      </c>
      <c r="L308" s="26">
        <v>5</v>
      </c>
      <c r="M308" s="26">
        <v>4</v>
      </c>
      <c r="N308" s="26"/>
      <c r="O308" s="26">
        <v>9</v>
      </c>
      <c r="P308" s="26">
        <v>2</v>
      </c>
      <c r="Q308" s="70">
        <v>6</v>
      </c>
      <c r="R308" s="26">
        <v>171</v>
      </c>
    </row>
    <row r="309" spans="1:18" x14ac:dyDescent="0.35">
      <c r="A309" s="69">
        <v>32210122</v>
      </c>
      <c r="B309" s="69" t="s">
        <v>1419</v>
      </c>
      <c r="C309" s="69" t="s">
        <v>1420</v>
      </c>
      <c r="D309" s="69">
        <v>9921126284</v>
      </c>
      <c r="E309" s="69" t="s">
        <v>1421</v>
      </c>
      <c r="F309" s="69" t="s">
        <v>1629</v>
      </c>
      <c r="G309" s="26"/>
      <c r="H309" s="26"/>
      <c r="I309" s="26"/>
      <c r="J309" s="26">
        <v>51</v>
      </c>
      <c r="K309" s="26">
        <v>20</v>
      </c>
      <c r="L309" s="26"/>
      <c r="M309" s="26">
        <v>3</v>
      </c>
      <c r="N309" s="26">
        <v>0</v>
      </c>
      <c r="O309" s="26"/>
      <c r="P309" s="26">
        <v>7</v>
      </c>
      <c r="Q309" s="70">
        <v>0</v>
      </c>
      <c r="R309" s="26">
        <v>171</v>
      </c>
    </row>
    <row r="310" spans="1:18" x14ac:dyDescent="0.35">
      <c r="A310" s="69">
        <v>32210125</v>
      </c>
      <c r="B310" s="69" t="s">
        <v>1422</v>
      </c>
      <c r="C310" s="69" t="s">
        <v>1423</v>
      </c>
      <c r="D310" s="69">
        <v>9422725642</v>
      </c>
      <c r="E310" s="69" t="s">
        <v>1424</v>
      </c>
      <c r="F310" s="69" t="s">
        <v>589</v>
      </c>
      <c r="G310" s="26"/>
      <c r="H310" s="26">
        <v>18</v>
      </c>
      <c r="I310" s="26"/>
      <c r="J310" s="26">
        <v>32</v>
      </c>
      <c r="K310" s="26">
        <v>14</v>
      </c>
      <c r="L310" s="26">
        <v>6</v>
      </c>
      <c r="M310" s="26"/>
      <c r="N310" s="26">
        <v>4</v>
      </c>
      <c r="O310" s="26">
        <v>0</v>
      </c>
      <c r="P310" s="26">
        <v>11</v>
      </c>
      <c r="Q310" s="70">
        <v>0</v>
      </c>
      <c r="R310" s="26">
        <v>170</v>
      </c>
    </row>
    <row r="311" spans="1:18" x14ac:dyDescent="0.35">
      <c r="A311" s="69">
        <v>32210148</v>
      </c>
      <c r="B311" s="69" t="s">
        <v>1425</v>
      </c>
      <c r="C311" s="69" t="s">
        <v>1426</v>
      </c>
      <c r="D311" s="69">
        <v>9421464593</v>
      </c>
      <c r="E311" s="69" t="s">
        <v>1427</v>
      </c>
      <c r="F311" s="69" t="s">
        <v>589</v>
      </c>
      <c r="G311" s="26">
        <v>2</v>
      </c>
      <c r="H311" s="26"/>
      <c r="I311" s="26">
        <v>28</v>
      </c>
      <c r="J311" s="26">
        <v>10</v>
      </c>
      <c r="K311" s="26"/>
      <c r="L311" s="26">
        <v>2</v>
      </c>
      <c r="M311" s="26">
        <v>6</v>
      </c>
      <c r="N311" s="26"/>
      <c r="O311" s="26"/>
      <c r="P311" s="26">
        <v>0</v>
      </c>
      <c r="Q311" s="70">
        <v>4</v>
      </c>
      <c r="R311" s="26">
        <v>170</v>
      </c>
    </row>
    <row r="312" spans="1:18" x14ac:dyDescent="0.35">
      <c r="A312" s="69">
        <v>32210172</v>
      </c>
      <c r="B312" s="69" t="s">
        <v>1428</v>
      </c>
      <c r="C312" s="69" t="s">
        <v>1429</v>
      </c>
      <c r="D312" s="69">
        <v>9850312521</v>
      </c>
      <c r="E312" s="69" t="s">
        <v>1430</v>
      </c>
      <c r="F312" s="69" t="s">
        <v>589</v>
      </c>
      <c r="G312" s="26">
        <v>2</v>
      </c>
      <c r="H312" s="26"/>
      <c r="I312" s="26"/>
      <c r="J312" s="26">
        <v>6</v>
      </c>
      <c r="K312" s="26"/>
      <c r="L312" s="26">
        <v>4</v>
      </c>
      <c r="M312" s="26"/>
      <c r="N312" s="26"/>
      <c r="O312" s="26"/>
      <c r="P312" s="26">
        <v>0</v>
      </c>
      <c r="Q312" s="70">
        <v>0</v>
      </c>
      <c r="R312" s="26">
        <v>170</v>
      </c>
    </row>
    <row r="313" spans="1:18" x14ac:dyDescent="0.35">
      <c r="A313" s="69">
        <v>32210174</v>
      </c>
      <c r="B313" s="69" t="s">
        <v>1431</v>
      </c>
      <c r="C313" s="69" t="s">
        <v>1432</v>
      </c>
      <c r="D313" s="69">
        <v>9923362526</v>
      </c>
      <c r="E313" s="69" t="s">
        <v>1433</v>
      </c>
      <c r="F313" s="69" t="s">
        <v>589</v>
      </c>
      <c r="G313" s="26"/>
      <c r="H313" s="26">
        <v>8</v>
      </c>
      <c r="I313" s="26"/>
      <c r="J313" s="26">
        <v>20</v>
      </c>
      <c r="K313" s="26">
        <v>3</v>
      </c>
      <c r="L313" s="26">
        <v>0</v>
      </c>
      <c r="M313" s="26">
        <v>1</v>
      </c>
      <c r="N313" s="26">
        <v>1</v>
      </c>
      <c r="O313" s="26">
        <v>6</v>
      </c>
      <c r="P313" s="26">
        <v>2</v>
      </c>
      <c r="Q313" s="70">
        <v>1</v>
      </c>
      <c r="R313" s="26">
        <v>170</v>
      </c>
    </row>
    <row r="314" spans="1:18" x14ac:dyDescent="0.35">
      <c r="A314" s="69">
        <v>32210179</v>
      </c>
      <c r="B314" s="69" t="s">
        <v>1434</v>
      </c>
      <c r="C314" s="69" t="s">
        <v>1435</v>
      </c>
      <c r="D314" s="69">
        <v>9422880649</v>
      </c>
      <c r="E314" s="69" t="s">
        <v>1436</v>
      </c>
      <c r="F314" s="69" t="s">
        <v>589</v>
      </c>
      <c r="G314" s="26"/>
      <c r="H314" s="26"/>
      <c r="I314" s="26">
        <v>6</v>
      </c>
      <c r="J314" s="26"/>
      <c r="K314" s="26">
        <v>14</v>
      </c>
      <c r="L314" s="26">
        <v>2</v>
      </c>
      <c r="M314" s="26"/>
      <c r="N314" s="26"/>
      <c r="O314" s="26">
        <v>4</v>
      </c>
      <c r="P314" s="26">
        <v>1</v>
      </c>
      <c r="Q314" s="70">
        <v>0</v>
      </c>
      <c r="R314" s="26">
        <v>170</v>
      </c>
    </row>
    <row r="315" spans="1:18" x14ac:dyDescent="0.35">
      <c r="A315" s="69">
        <v>32210186</v>
      </c>
      <c r="B315" s="69" t="s">
        <v>1437</v>
      </c>
      <c r="C315" s="69" t="s">
        <v>1438</v>
      </c>
      <c r="D315" s="69">
        <v>9158788585</v>
      </c>
      <c r="E315" s="69" t="s">
        <v>1439</v>
      </c>
      <c r="F315" s="69" t="s">
        <v>589</v>
      </c>
      <c r="G315" s="26">
        <v>24</v>
      </c>
      <c r="H315" s="26">
        <v>24</v>
      </c>
      <c r="I315" s="26">
        <v>34</v>
      </c>
      <c r="J315" s="26">
        <v>29</v>
      </c>
      <c r="K315" s="26">
        <v>21</v>
      </c>
      <c r="L315" s="26">
        <v>12</v>
      </c>
      <c r="M315" s="26">
        <v>10</v>
      </c>
      <c r="N315" s="26">
        <v>16</v>
      </c>
      <c r="O315" s="26">
        <v>9</v>
      </c>
      <c r="P315" s="26">
        <v>27</v>
      </c>
      <c r="Q315" s="70">
        <v>9</v>
      </c>
      <c r="R315" s="26">
        <v>169</v>
      </c>
    </row>
    <row r="316" spans="1:18" x14ac:dyDescent="0.35">
      <c r="A316" s="69">
        <v>32210194</v>
      </c>
      <c r="B316" s="69" t="s">
        <v>1440</v>
      </c>
      <c r="C316" s="69" t="s">
        <v>1441</v>
      </c>
      <c r="D316" s="69">
        <v>9960800872</v>
      </c>
      <c r="E316" s="69" t="s">
        <v>1442</v>
      </c>
      <c r="F316" s="69" t="s">
        <v>589</v>
      </c>
      <c r="G316" s="26">
        <v>12</v>
      </c>
      <c r="H316" s="26"/>
      <c r="I316" s="26"/>
      <c r="J316" s="26">
        <v>20</v>
      </c>
      <c r="K316" s="26">
        <v>15</v>
      </c>
      <c r="L316" s="26"/>
      <c r="M316" s="26">
        <v>3</v>
      </c>
      <c r="N316" s="26">
        <v>0</v>
      </c>
      <c r="O316" s="26">
        <v>0</v>
      </c>
      <c r="P316" s="26">
        <v>6</v>
      </c>
      <c r="Q316" s="70">
        <v>1</v>
      </c>
      <c r="R316" s="26">
        <v>169</v>
      </c>
    </row>
    <row r="317" spans="1:18" x14ac:dyDescent="0.35">
      <c r="A317" s="69">
        <v>33210005</v>
      </c>
      <c r="B317" s="69" t="s">
        <v>1443</v>
      </c>
      <c r="C317" s="69" t="s">
        <v>1444</v>
      </c>
      <c r="D317" s="69">
        <v>9422582737</v>
      </c>
      <c r="E317" s="69" t="s">
        <v>1445</v>
      </c>
      <c r="F317" s="69" t="s">
        <v>589</v>
      </c>
      <c r="G317" s="26">
        <v>33</v>
      </c>
      <c r="H317" s="26">
        <v>12</v>
      </c>
      <c r="I317" s="26">
        <v>76</v>
      </c>
      <c r="J317" s="26">
        <v>64</v>
      </c>
      <c r="K317" s="26">
        <v>6</v>
      </c>
      <c r="L317" s="26">
        <v>4</v>
      </c>
      <c r="M317" s="26">
        <v>28</v>
      </c>
      <c r="N317" s="26">
        <v>25</v>
      </c>
      <c r="O317" s="26">
        <v>9</v>
      </c>
      <c r="P317" s="26">
        <v>19</v>
      </c>
      <c r="Q317" s="70">
        <v>6</v>
      </c>
      <c r="R317" s="26">
        <v>169</v>
      </c>
    </row>
    <row r="318" spans="1:18" x14ac:dyDescent="0.35">
      <c r="A318" s="69">
        <v>33210144</v>
      </c>
      <c r="B318" s="69" t="s">
        <v>1447</v>
      </c>
      <c r="C318" s="69" t="s">
        <v>1448</v>
      </c>
      <c r="D318" s="69">
        <v>9850060779</v>
      </c>
      <c r="E318" s="69" t="s">
        <v>1449</v>
      </c>
      <c r="F318" s="69" t="s">
        <v>589</v>
      </c>
      <c r="G318" s="26">
        <v>10</v>
      </c>
      <c r="H318" s="26"/>
      <c r="I318" s="26">
        <v>1</v>
      </c>
      <c r="J318" s="26">
        <v>54</v>
      </c>
      <c r="K318" s="26">
        <v>7</v>
      </c>
      <c r="L318" s="26">
        <v>5</v>
      </c>
      <c r="M318" s="26"/>
      <c r="N318" s="26">
        <v>9</v>
      </c>
      <c r="O318" s="26"/>
      <c r="P318" s="26">
        <v>9</v>
      </c>
      <c r="Q318" s="70">
        <v>4</v>
      </c>
      <c r="R318" s="26">
        <v>168</v>
      </c>
    </row>
    <row r="319" spans="1:18" x14ac:dyDescent="0.35">
      <c r="A319" s="69">
        <v>33210222</v>
      </c>
      <c r="B319" s="69" t="s">
        <v>1222</v>
      </c>
      <c r="C319" s="69" t="s">
        <v>1450</v>
      </c>
      <c r="D319" s="69">
        <v>9326396762</v>
      </c>
      <c r="E319" s="69" t="s">
        <v>1451</v>
      </c>
      <c r="F319" s="69" t="s">
        <v>589</v>
      </c>
      <c r="G319" s="26">
        <v>17</v>
      </c>
      <c r="H319" s="26">
        <v>6</v>
      </c>
      <c r="I319" s="26">
        <v>52</v>
      </c>
      <c r="J319" s="26">
        <v>70</v>
      </c>
      <c r="K319" s="26">
        <v>17</v>
      </c>
      <c r="L319" s="26">
        <v>8</v>
      </c>
      <c r="M319" s="26">
        <v>7</v>
      </c>
      <c r="N319" s="26">
        <v>3</v>
      </c>
      <c r="O319" s="26">
        <v>1</v>
      </c>
      <c r="P319" s="26">
        <v>2</v>
      </c>
      <c r="Q319" s="70">
        <v>0</v>
      </c>
      <c r="R319" s="26">
        <v>167</v>
      </c>
    </row>
    <row r="320" spans="1:18" x14ac:dyDescent="0.35">
      <c r="A320" s="69">
        <v>33210273</v>
      </c>
      <c r="B320" s="69" t="s">
        <v>1452</v>
      </c>
      <c r="C320" s="69" t="s">
        <v>1453</v>
      </c>
      <c r="D320" s="69">
        <v>9028788249</v>
      </c>
      <c r="E320" s="69" t="s">
        <v>1454</v>
      </c>
      <c r="F320" s="69" t="s">
        <v>589</v>
      </c>
      <c r="G320" s="26">
        <v>5</v>
      </c>
      <c r="H320" s="26">
        <v>5</v>
      </c>
      <c r="I320" s="26"/>
      <c r="J320" s="26">
        <v>63</v>
      </c>
      <c r="K320" s="26">
        <v>20</v>
      </c>
      <c r="L320" s="26">
        <v>12</v>
      </c>
      <c r="M320" s="26">
        <v>6</v>
      </c>
      <c r="N320" s="26">
        <v>0</v>
      </c>
      <c r="O320" s="26">
        <v>0</v>
      </c>
      <c r="P320" s="26">
        <v>10</v>
      </c>
      <c r="Q320" s="70">
        <v>1</v>
      </c>
      <c r="R320" s="26">
        <v>167</v>
      </c>
    </row>
    <row r="321" spans="1:18" x14ac:dyDescent="0.35">
      <c r="A321" s="69">
        <v>33210283</v>
      </c>
      <c r="B321" s="69" t="s">
        <v>1455</v>
      </c>
      <c r="C321" s="69" t="s">
        <v>1456</v>
      </c>
      <c r="D321" s="69">
        <v>9923587918</v>
      </c>
      <c r="E321" s="69" t="s">
        <v>1457</v>
      </c>
      <c r="F321" s="69" t="s">
        <v>589</v>
      </c>
      <c r="G321" s="26">
        <v>18</v>
      </c>
      <c r="H321" s="26"/>
      <c r="I321" s="26"/>
      <c r="J321" s="26"/>
      <c r="K321" s="26"/>
      <c r="L321" s="26"/>
      <c r="M321" s="26"/>
      <c r="N321" s="26"/>
      <c r="O321" s="26"/>
      <c r="P321" s="26">
        <v>0</v>
      </c>
      <c r="Q321" s="70">
        <v>0</v>
      </c>
      <c r="R321" s="26">
        <v>167</v>
      </c>
    </row>
    <row r="322" spans="1:18" x14ac:dyDescent="0.35">
      <c r="A322" s="69">
        <v>33210289</v>
      </c>
      <c r="B322" s="69" t="s">
        <v>1458</v>
      </c>
      <c r="C322" s="69" t="s">
        <v>1459</v>
      </c>
      <c r="D322" s="69">
        <v>9422413535</v>
      </c>
      <c r="E322" s="69" t="s">
        <v>1460</v>
      </c>
      <c r="F322" s="69" t="s">
        <v>589</v>
      </c>
      <c r="G322" s="26"/>
      <c r="H322" s="26">
        <v>11</v>
      </c>
      <c r="I322" s="26"/>
      <c r="J322" s="26">
        <v>8</v>
      </c>
      <c r="K322" s="26"/>
      <c r="L322" s="26"/>
      <c r="M322" s="26"/>
      <c r="N322" s="26"/>
      <c r="O322" s="26">
        <v>1</v>
      </c>
      <c r="P322" s="26">
        <v>5</v>
      </c>
      <c r="Q322" s="70">
        <v>0</v>
      </c>
      <c r="R322" s="26">
        <v>167</v>
      </c>
    </row>
    <row r="323" spans="1:18" x14ac:dyDescent="0.35">
      <c r="A323" s="69">
        <v>34210002</v>
      </c>
      <c r="B323" s="69" t="s">
        <v>1461</v>
      </c>
      <c r="C323" s="69" t="s">
        <v>1462</v>
      </c>
      <c r="D323" s="69">
        <v>9822706916</v>
      </c>
      <c r="E323" s="69" t="s">
        <v>1463</v>
      </c>
      <c r="F323" s="69" t="s">
        <v>589</v>
      </c>
      <c r="G323" s="26">
        <v>51</v>
      </c>
      <c r="H323" s="26">
        <v>4</v>
      </c>
      <c r="I323" s="26"/>
      <c r="J323" s="26">
        <v>150</v>
      </c>
      <c r="K323" s="26">
        <v>9</v>
      </c>
      <c r="L323" s="26">
        <v>1</v>
      </c>
      <c r="M323" s="26">
        <v>30</v>
      </c>
      <c r="N323" s="26">
        <v>14</v>
      </c>
      <c r="O323" s="26">
        <v>9</v>
      </c>
      <c r="P323" s="26">
        <v>7</v>
      </c>
      <c r="Q323" s="70">
        <v>0</v>
      </c>
      <c r="R323" s="26">
        <v>167</v>
      </c>
    </row>
    <row r="324" spans="1:18" x14ac:dyDescent="0.35">
      <c r="A324" s="69">
        <v>34210004</v>
      </c>
      <c r="B324" s="69" t="s">
        <v>1464</v>
      </c>
      <c r="C324" s="69" t="s">
        <v>1465</v>
      </c>
      <c r="D324" s="69">
        <v>9822472807</v>
      </c>
      <c r="E324" s="69" t="s">
        <v>1466</v>
      </c>
      <c r="F324" s="69" t="s">
        <v>589</v>
      </c>
      <c r="G324" s="26">
        <v>72</v>
      </c>
      <c r="H324" s="26">
        <v>59</v>
      </c>
      <c r="I324" s="26">
        <v>84</v>
      </c>
      <c r="J324" s="26">
        <v>132</v>
      </c>
      <c r="K324" s="26">
        <v>32</v>
      </c>
      <c r="L324" s="26">
        <v>29</v>
      </c>
      <c r="M324" s="26">
        <v>46</v>
      </c>
      <c r="N324" s="26">
        <v>23</v>
      </c>
      <c r="O324" s="26">
        <v>17</v>
      </c>
      <c r="P324" s="26">
        <v>18</v>
      </c>
      <c r="Q324" s="70">
        <v>6</v>
      </c>
      <c r="R324" s="26">
        <v>166</v>
      </c>
    </row>
    <row r="325" spans="1:18" x14ac:dyDescent="0.35">
      <c r="A325" s="69">
        <v>34210006</v>
      </c>
      <c r="B325" s="69" t="s">
        <v>1467</v>
      </c>
      <c r="C325" s="69" t="s">
        <v>1468</v>
      </c>
      <c r="D325" s="69">
        <v>9420139130</v>
      </c>
      <c r="E325" s="69" t="s">
        <v>1469</v>
      </c>
      <c r="F325" s="69" t="s">
        <v>589</v>
      </c>
      <c r="G325" s="26">
        <v>78</v>
      </c>
      <c r="H325" s="26">
        <v>77</v>
      </c>
      <c r="I325" s="26">
        <v>60</v>
      </c>
      <c r="J325" s="26">
        <v>201</v>
      </c>
      <c r="K325" s="26">
        <v>39</v>
      </c>
      <c r="L325" s="26">
        <v>26</v>
      </c>
      <c r="M325" s="26">
        <v>26</v>
      </c>
      <c r="N325" s="26">
        <v>17</v>
      </c>
      <c r="O325" s="26">
        <v>21</v>
      </c>
      <c r="P325" s="26">
        <v>27</v>
      </c>
      <c r="Q325" s="70">
        <v>9</v>
      </c>
      <c r="R325" s="26">
        <v>166</v>
      </c>
    </row>
    <row r="326" spans="1:18" x14ac:dyDescent="0.35">
      <c r="A326" s="69">
        <v>34210007</v>
      </c>
      <c r="B326" s="69" t="s">
        <v>1470</v>
      </c>
      <c r="C326" s="69" t="s">
        <v>1471</v>
      </c>
      <c r="D326" s="69">
        <v>9890303045</v>
      </c>
      <c r="E326" s="69" t="s">
        <v>1472</v>
      </c>
      <c r="F326" s="69" t="s">
        <v>589</v>
      </c>
      <c r="G326" s="26">
        <v>11</v>
      </c>
      <c r="H326" s="26">
        <v>4</v>
      </c>
      <c r="I326" s="26">
        <v>4</v>
      </c>
      <c r="J326" s="26">
        <v>70</v>
      </c>
      <c r="K326" s="26"/>
      <c r="L326" s="26">
        <v>18</v>
      </c>
      <c r="M326" s="26">
        <v>7</v>
      </c>
      <c r="N326" s="26">
        <v>0</v>
      </c>
      <c r="O326" s="26">
        <v>5</v>
      </c>
      <c r="P326" s="26">
        <v>4</v>
      </c>
      <c r="Q326" s="70">
        <v>1</v>
      </c>
      <c r="R326" s="26">
        <v>166</v>
      </c>
    </row>
    <row r="327" spans="1:18" x14ac:dyDescent="0.35">
      <c r="A327" s="69">
        <v>34210009</v>
      </c>
      <c r="B327" s="69" t="s">
        <v>1473</v>
      </c>
      <c r="C327" s="69" t="s">
        <v>1474</v>
      </c>
      <c r="D327" s="69">
        <v>9860928015</v>
      </c>
      <c r="E327" s="69" t="s">
        <v>1475</v>
      </c>
      <c r="F327" s="69" t="s">
        <v>589</v>
      </c>
      <c r="G327" s="26">
        <v>23</v>
      </c>
      <c r="H327" s="26">
        <v>10</v>
      </c>
      <c r="I327" s="26">
        <v>12</v>
      </c>
      <c r="J327" s="26">
        <v>39</v>
      </c>
      <c r="K327" s="26">
        <v>5</v>
      </c>
      <c r="L327" s="26">
        <v>8</v>
      </c>
      <c r="M327" s="26">
        <v>21</v>
      </c>
      <c r="N327" s="26"/>
      <c r="O327" s="26">
        <v>6</v>
      </c>
      <c r="P327" s="26">
        <v>4</v>
      </c>
      <c r="Q327" s="70">
        <v>1</v>
      </c>
      <c r="R327" s="26">
        <v>166</v>
      </c>
    </row>
    <row r="328" spans="1:18" x14ac:dyDescent="0.35">
      <c r="A328" s="69">
        <v>34210010</v>
      </c>
      <c r="B328" s="69" t="s">
        <v>1476</v>
      </c>
      <c r="C328" s="69" t="s">
        <v>1477</v>
      </c>
      <c r="D328" s="69">
        <v>9822113937</v>
      </c>
      <c r="E328" s="69" t="s">
        <v>1478</v>
      </c>
      <c r="F328" s="69" t="s">
        <v>589</v>
      </c>
      <c r="G328" s="26">
        <v>8</v>
      </c>
      <c r="H328" s="26">
        <v>107</v>
      </c>
      <c r="I328" s="26">
        <v>1</v>
      </c>
      <c r="J328" s="26">
        <v>60</v>
      </c>
      <c r="K328" s="26">
        <v>19</v>
      </c>
      <c r="L328" s="26">
        <v>5</v>
      </c>
      <c r="M328" s="26">
        <v>21</v>
      </c>
      <c r="N328" s="26">
        <v>5</v>
      </c>
      <c r="O328" s="26">
        <v>21</v>
      </c>
      <c r="P328" s="26">
        <v>29</v>
      </c>
      <c r="Q328" s="70">
        <v>0</v>
      </c>
      <c r="R328" s="26">
        <v>166</v>
      </c>
    </row>
    <row r="329" spans="1:18" x14ac:dyDescent="0.35">
      <c r="A329" s="69">
        <v>34210015</v>
      </c>
      <c r="B329" s="69" t="s">
        <v>1479</v>
      </c>
      <c r="C329" s="69" t="s">
        <v>1480</v>
      </c>
      <c r="D329" s="69">
        <v>9423632918</v>
      </c>
      <c r="E329" s="69" t="s">
        <v>1481</v>
      </c>
      <c r="F329" s="69" t="s">
        <v>589</v>
      </c>
      <c r="G329" s="26">
        <v>55</v>
      </c>
      <c r="H329" s="26">
        <v>37</v>
      </c>
      <c r="I329" s="26">
        <v>73</v>
      </c>
      <c r="J329" s="26">
        <v>124</v>
      </c>
      <c r="K329" s="26">
        <v>35</v>
      </c>
      <c r="L329" s="26"/>
      <c r="M329" s="26">
        <v>15</v>
      </c>
      <c r="N329" s="26">
        <v>4</v>
      </c>
      <c r="O329" s="26"/>
      <c r="P329" s="26">
        <v>65</v>
      </c>
      <c r="Q329" s="70">
        <v>12</v>
      </c>
      <c r="R329" s="26">
        <v>165</v>
      </c>
    </row>
    <row r="330" spans="1:18" x14ac:dyDescent="0.35">
      <c r="A330" s="69">
        <v>34210054</v>
      </c>
      <c r="B330" s="69" t="s">
        <v>905</v>
      </c>
      <c r="C330" s="69" t="s">
        <v>1482</v>
      </c>
      <c r="D330" s="69">
        <v>9922992428</v>
      </c>
      <c r="E330" s="69" t="s">
        <v>1483</v>
      </c>
      <c r="F330" s="69" t="s">
        <v>589</v>
      </c>
      <c r="G330" s="26">
        <v>26</v>
      </c>
      <c r="H330" s="26">
        <v>10</v>
      </c>
      <c r="I330" s="26">
        <v>42</v>
      </c>
      <c r="J330" s="26">
        <v>77</v>
      </c>
      <c r="K330" s="26">
        <v>25</v>
      </c>
      <c r="L330" s="26">
        <v>43</v>
      </c>
      <c r="M330" s="26">
        <v>12</v>
      </c>
      <c r="N330" s="26">
        <v>7</v>
      </c>
      <c r="O330" s="26">
        <v>12</v>
      </c>
      <c r="P330" s="26">
        <v>24</v>
      </c>
      <c r="Q330" s="70">
        <v>0</v>
      </c>
      <c r="R330" s="26">
        <v>164</v>
      </c>
    </row>
    <row r="331" spans="1:18" x14ac:dyDescent="0.35">
      <c r="A331" s="69">
        <v>34210055</v>
      </c>
      <c r="B331" s="69" t="s">
        <v>586</v>
      </c>
      <c r="C331" s="69" t="s">
        <v>1484</v>
      </c>
      <c r="D331" s="69">
        <v>9422139774</v>
      </c>
      <c r="E331" s="69" t="s">
        <v>1485</v>
      </c>
      <c r="F331" s="69" t="s">
        <v>589</v>
      </c>
      <c r="G331" s="26">
        <v>5</v>
      </c>
      <c r="H331" s="26">
        <v>2</v>
      </c>
      <c r="I331" s="26">
        <v>13</v>
      </c>
      <c r="J331" s="26">
        <v>67</v>
      </c>
      <c r="K331" s="26">
        <v>14</v>
      </c>
      <c r="L331" s="26">
        <v>3</v>
      </c>
      <c r="M331" s="26">
        <v>7</v>
      </c>
      <c r="N331" s="26"/>
      <c r="O331" s="26">
        <v>9</v>
      </c>
      <c r="P331" s="26">
        <v>7</v>
      </c>
      <c r="Q331" s="70">
        <v>0</v>
      </c>
      <c r="R331" s="26">
        <v>164</v>
      </c>
    </row>
    <row r="332" spans="1:18" x14ac:dyDescent="0.35">
      <c r="A332" s="69">
        <v>34210062</v>
      </c>
      <c r="B332" s="69" t="s">
        <v>1486</v>
      </c>
      <c r="C332" s="69" t="s">
        <v>1487</v>
      </c>
      <c r="D332" s="69">
        <v>9422912990</v>
      </c>
      <c r="E332" s="69" t="s">
        <v>1488</v>
      </c>
      <c r="F332" s="69" t="s">
        <v>589</v>
      </c>
      <c r="G332" s="26">
        <v>24</v>
      </c>
      <c r="H332" s="26"/>
      <c r="I332" s="26">
        <v>13</v>
      </c>
      <c r="J332" s="26">
        <v>86</v>
      </c>
      <c r="K332" s="26">
        <v>17</v>
      </c>
      <c r="L332" s="26"/>
      <c r="M332" s="26">
        <v>10</v>
      </c>
      <c r="N332" s="26">
        <v>8</v>
      </c>
      <c r="O332" s="26">
        <v>4</v>
      </c>
      <c r="P332" s="26">
        <v>6</v>
      </c>
      <c r="Q332" s="70">
        <v>0</v>
      </c>
      <c r="R332" s="26">
        <v>164</v>
      </c>
    </row>
    <row r="333" spans="1:18" x14ac:dyDescent="0.35">
      <c r="A333" s="69">
        <v>34210069</v>
      </c>
      <c r="B333" s="69" t="s">
        <v>1489</v>
      </c>
      <c r="C333" s="69" t="s">
        <v>1490</v>
      </c>
      <c r="D333" s="69">
        <v>9422909070</v>
      </c>
      <c r="E333" s="69" t="s">
        <v>1491</v>
      </c>
      <c r="F333" s="69" t="s">
        <v>589</v>
      </c>
      <c r="G333" s="26"/>
      <c r="H333" s="26">
        <v>7</v>
      </c>
      <c r="I333" s="26">
        <v>12</v>
      </c>
      <c r="J333" s="26">
        <v>94</v>
      </c>
      <c r="K333" s="26">
        <v>21</v>
      </c>
      <c r="L333" s="26"/>
      <c r="M333" s="26">
        <v>7</v>
      </c>
      <c r="N333" s="26">
        <v>5</v>
      </c>
      <c r="O333" s="26">
        <v>1</v>
      </c>
      <c r="P333" s="26">
        <v>0</v>
      </c>
      <c r="Q333" s="70">
        <v>3</v>
      </c>
      <c r="R333" s="26">
        <v>164</v>
      </c>
    </row>
    <row r="334" spans="1:18" x14ac:dyDescent="0.35">
      <c r="A334" s="69">
        <v>34210072</v>
      </c>
      <c r="B334" s="69" t="s">
        <v>1492</v>
      </c>
      <c r="C334" s="69" t="s">
        <v>1493</v>
      </c>
      <c r="D334" s="69">
        <v>9850329574</v>
      </c>
      <c r="E334" s="69" t="s">
        <v>1494</v>
      </c>
      <c r="F334" s="69" t="s">
        <v>589</v>
      </c>
      <c r="G334" s="26">
        <v>1</v>
      </c>
      <c r="H334" s="26"/>
      <c r="I334" s="26">
        <v>4</v>
      </c>
      <c r="J334" s="26">
        <v>47</v>
      </c>
      <c r="K334" s="26">
        <v>10</v>
      </c>
      <c r="L334" s="26"/>
      <c r="M334" s="26">
        <v>7</v>
      </c>
      <c r="N334" s="26">
        <v>5</v>
      </c>
      <c r="O334" s="26">
        <v>5</v>
      </c>
      <c r="P334" s="26">
        <v>0</v>
      </c>
      <c r="Q334" s="70">
        <v>3</v>
      </c>
      <c r="R334" s="26">
        <v>164</v>
      </c>
    </row>
    <row r="335" spans="1:18" x14ac:dyDescent="0.35">
      <c r="A335" s="69">
        <v>34210090</v>
      </c>
      <c r="B335" s="69" t="s">
        <v>1495</v>
      </c>
      <c r="C335" s="69" t="s">
        <v>1496</v>
      </c>
      <c r="D335" s="69">
        <v>9637663200</v>
      </c>
      <c r="E335" s="69" t="s">
        <v>1497</v>
      </c>
      <c r="F335" s="69" t="s">
        <v>589</v>
      </c>
      <c r="G335" s="26"/>
      <c r="H335" s="26">
        <v>67</v>
      </c>
      <c r="I335" s="26">
        <v>18</v>
      </c>
      <c r="J335" s="26">
        <v>14</v>
      </c>
      <c r="K335" s="26">
        <v>15</v>
      </c>
      <c r="L335" s="26"/>
      <c r="M335" s="26">
        <v>5</v>
      </c>
      <c r="N335" s="26">
        <v>5</v>
      </c>
      <c r="O335" s="26">
        <v>4</v>
      </c>
      <c r="P335" s="26">
        <v>3</v>
      </c>
      <c r="Q335" s="70">
        <v>4</v>
      </c>
      <c r="R335" s="26">
        <v>163</v>
      </c>
    </row>
    <row r="336" spans="1:18" x14ac:dyDescent="0.35">
      <c r="A336" s="69">
        <v>34210092</v>
      </c>
      <c r="B336" s="69" t="s">
        <v>1498</v>
      </c>
      <c r="C336" s="69" t="s">
        <v>1499</v>
      </c>
      <c r="D336" s="69">
        <v>9422139547</v>
      </c>
      <c r="E336" s="69" t="s">
        <v>1500</v>
      </c>
      <c r="F336" s="69" t="s">
        <v>589</v>
      </c>
      <c r="G336" s="26">
        <v>35</v>
      </c>
      <c r="H336" s="26"/>
      <c r="I336" s="26">
        <v>52</v>
      </c>
      <c r="J336" s="26">
        <v>49</v>
      </c>
      <c r="K336" s="26">
        <v>13</v>
      </c>
      <c r="L336" s="26">
        <v>9</v>
      </c>
      <c r="M336" s="26">
        <v>16</v>
      </c>
      <c r="N336" s="26">
        <v>18</v>
      </c>
      <c r="O336" s="26">
        <v>6</v>
      </c>
      <c r="P336" s="26">
        <v>0</v>
      </c>
      <c r="Q336" s="70">
        <v>4</v>
      </c>
      <c r="R336" s="26">
        <v>163</v>
      </c>
    </row>
    <row r="337" spans="1:18" x14ac:dyDescent="0.35">
      <c r="A337" s="69">
        <v>34210095</v>
      </c>
      <c r="B337" s="69" t="s">
        <v>1501</v>
      </c>
      <c r="C337" s="69" t="s">
        <v>1502</v>
      </c>
      <c r="D337" s="69">
        <v>9890072255</v>
      </c>
      <c r="E337" s="69" t="s">
        <v>1503</v>
      </c>
      <c r="F337" s="69" t="s">
        <v>589</v>
      </c>
      <c r="G337" s="26">
        <v>36</v>
      </c>
      <c r="H337" s="26">
        <v>53</v>
      </c>
      <c r="I337" s="26">
        <v>50</v>
      </c>
      <c r="J337" s="26">
        <v>72</v>
      </c>
      <c r="K337" s="26">
        <v>9</v>
      </c>
      <c r="L337" s="26"/>
      <c r="M337" s="26">
        <v>58</v>
      </c>
      <c r="N337" s="26">
        <v>52</v>
      </c>
      <c r="O337" s="26"/>
      <c r="P337" s="26">
        <v>64</v>
      </c>
      <c r="Q337" s="70">
        <v>12</v>
      </c>
      <c r="R337" s="26">
        <v>162</v>
      </c>
    </row>
    <row r="338" spans="1:18" x14ac:dyDescent="0.35">
      <c r="A338" s="69">
        <v>34210096</v>
      </c>
      <c r="B338" s="69" t="s">
        <v>1504</v>
      </c>
      <c r="C338" s="69" t="s">
        <v>1505</v>
      </c>
      <c r="D338" s="69">
        <v>9922922477</v>
      </c>
      <c r="E338" s="69" t="s">
        <v>1506</v>
      </c>
      <c r="F338" s="69" t="s">
        <v>589</v>
      </c>
      <c r="G338" s="26">
        <v>12</v>
      </c>
      <c r="H338" s="26"/>
      <c r="I338" s="26"/>
      <c r="J338" s="26">
        <v>17</v>
      </c>
      <c r="K338" s="26">
        <v>3</v>
      </c>
      <c r="L338" s="26">
        <v>1</v>
      </c>
      <c r="M338" s="26">
        <v>1</v>
      </c>
      <c r="N338" s="26"/>
      <c r="O338" s="26"/>
      <c r="P338" s="26">
        <v>1</v>
      </c>
      <c r="Q338" s="70">
        <v>0</v>
      </c>
      <c r="R338" s="26">
        <v>162</v>
      </c>
    </row>
    <row r="339" spans="1:18" x14ac:dyDescent="0.35">
      <c r="A339" s="69">
        <v>34210098</v>
      </c>
      <c r="B339" s="69" t="s">
        <v>1507</v>
      </c>
      <c r="C339" s="69" t="s">
        <v>1508</v>
      </c>
      <c r="D339" s="69">
        <v>9766332315</v>
      </c>
      <c r="E339" s="69" t="s">
        <v>1509</v>
      </c>
      <c r="F339" s="69" t="s">
        <v>589</v>
      </c>
      <c r="G339" s="26">
        <v>15</v>
      </c>
      <c r="H339" s="26">
        <v>16</v>
      </c>
      <c r="I339" s="26">
        <v>19</v>
      </c>
      <c r="J339" s="26">
        <v>37</v>
      </c>
      <c r="K339" s="26">
        <v>35</v>
      </c>
      <c r="L339" s="26"/>
      <c r="M339" s="26">
        <v>24</v>
      </c>
      <c r="N339" s="26">
        <v>0</v>
      </c>
      <c r="O339" s="26">
        <v>15</v>
      </c>
      <c r="P339" s="26">
        <v>3</v>
      </c>
      <c r="Q339" s="70">
        <v>2</v>
      </c>
      <c r="R339" s="26">
        <v>162</v>
      </c>
    </row>
    <row r="340" spans="1:18" x14ac:dyDescent="0.35">
      <c r="A340" s="69">
        <v>34210127</v>
      </c>
      <c r="B340" s="69" t="s">
        <v>1510</v>
      </c>
      <c r="C340" s="69" t="s">
        <v>1511</v>
      </c>
      <c r="D340" s="69">
        <v>9422138318</v>
      </c>
      <c r="E340" s="69" t="s">
        <v>1512</v>
      </c>
      <c r="F340" s="69" t="s">
        <v>589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>
        <v>0</v>
      </c>
      <c r="Q340" s="70">
        <v>0</v>
      </c>
      <c r="R340" s="26">
        <v>162</v>
      </c>
    </row>
    <row r="341" spans="1:18" x14ac:dyDescent="0.35">
      <c r="A341" s="69">
        <v>34210132</v>
      </c>
      <c r="B341" s="69" t="s">
        <v>1513</v>
      </c>
      <c r="C341" s="69" t="s">
        <v>1514</v>
      </c>
      <c r="D341" s="69">
        <v>9822690712</v>
      </c>
      <c r="E341" s="69" t="s">
        <v>1515</v>
      </c>
      <c r="F341" s="69" t="s">
        <v>589</v>
      </c>
      <c r="G341" s="26">
        <v>28</v>
      </c>
      <c r="H341" s="26"/>
      <c r="I341" s="26">
        <v>3</v>
      </c>
      <c r="J341" s="26">
        <v>124</v>
      </c>
      <c r="K341" s="26">
        <v>20</v>
      </c>
      <c r="L341" s="26">
        <v>9</v>
      </c>
      <c r="M341" s="26">
        <v>7</v>
      </c>
      <c r="N341" s="26">
        <v>9</v>
      </c>
      <c r="O341" s="26">
        <v>0</v>
      </c>
      <c r="P341" s="26">
        <v>9</v>
      </c>
      <c r="Q341" s="70">
        <v>1</v>
      </c>
      <c r="R341" s="26">
        <v>162</v>
      </c>
    </row>
    <row r="342" spans="1:18" x14ac:dyDescent="0.35">
      <c r="A342" s="69">
        <v>34210136</v>
      </c>
      <c r="B342" s="69" t="s">
        <v>1516</v>
      </c>
      <c r="C342" s="69" t="s">
        <v>1517</v>
      </c>
      <c r="D342" s="69">
        <v>9881818179</v>
      </c>
      <c r="E342" s="69" t="s">
        <v>1518</v>
      </c>
      <c r="F342" s="69" t="s">
        <v>589</v>
      </c>
      <c r="G342" s="26">
        <v>24</v>
      </c>
      <c r="H342" s="26">
        <v>30</v>
      </c>
      <c r="I342" s="26">
        <v>47</v>
      </c>
      <c r="J342" s="26">
        <v>53</v>
      </c>
      <c r="K342" s="26">
        <v>10</v>
      </c>
      <c r="L342" s="26">
        <v>14</v>
      </c>
      <c r="M342" s="26">
        <v>20</v>
      </c>
      <c r="N342" s="26">
        <v>5</v>
      </c>
      <c r="O342" s="26">
        <v>23</v>
      </c>
      <c r="P342" s="26">
        <v>7</v>
      </c>
      <c r="Q342" s="70">
        <v>5</v>
      </c>
      <c r="R342" s="26">
        <v>162</v>
      </c>
    </row>
    <row r="343" spans="1:18" x14ac:dyDescent="0.35">
      <c r="A343" s="69">
        <v>35210011</v>
      </c>
      <c r="B343" s="69" t="s">
        <v>1519</v>
      </c>
      <c r="C343" s="69" t="s">
        <v>1520</v>
      </c>
      <c r="D343" s="69">
        <v>9970169216</v>
      </c>
      <c r="E343" s="69" t="s">
        <v>1521</v>
      </c>
      <c r="F343" s="69" t="s">
        <v>589</v>
      </c>
      <c r="G343" s="26"/>
      <c r="H343" s="26"/>
      <c r="I343" s="26">
        <v>17</v>
      </c>
      <c r="J343" s="26">
        <v>12</v>
      </c>
      <c r="K343" s="26"/>
      <c r="L343" s="26">
        <v>60</v>
      </c>
      <c r="M343" s="26"/>
      <c r="N343" s="26">
        <v>16</v>
      </c>
      <c r="O343" s="26">
        <v>3</v>
      </c>
      <c r="P343" s="26">
        <v>0</v>
      </c>
      <c r="Q343" s="70">
        <v>0</v>
      </c>
      <c r="R343" s="26">
        <v>161</v>
      </c>
    </row>
    <row r="344" spans="1:18" x14ac:dyDescent="0.35">
      <c r="A344" s="69">
        <v>35210012</v>
      </c>
      <c r="B344" s="69" t="s">
        <v>1523</v>
      </c>
      <c r="C344" s="69" t="s">
        <v>1524</v>
      </c>
      <c r="D344" s="69">
        <v>9423437110</v>
      </c>
      <c r="E344" s="69" t="s">
        <v>1525</v>
      </c>
      <c r="F344" s="69" t="s">
        <v>589</v>
      </c>
      <c r="G344" s="26">
        <v>40</v>
      </c>
      <c r="H344" s="26"/>
      <c r="I344" s="26"/>
      <c r="J344" s="26">
        <v>115</v>
      </c>
      <c r="K344" s="26"/>
      <c r="L344" s="26"/>
      <c r="M344" s="26"/>
      <c r="N344" s="26">
        <v>37</v>
      </c>
      <c r="O344" s="26">
        <v>0</v>
      </c>
      <c r="P344" s="26">
        <v>35</v>
      </c>
      <c r="Q344" s="70">
        <v>0</v>
      </c>
      <c r="R344" s="26">
        <v>161</v>
      </c>
    </row>
    <row r="345" spans="1:18" x14ac:dyDescent="0.35">
      <c r="A345" s="69">
        <v>35210014</v>
      </c>
      <c r="B345" s="69" t="s">
        <v>1526</v>
      </c>
      <c r="C345" s="69" t="s">
        <v>1527</v>
      </c>
      <c r="D345" s="69">
        <v>9422150553</v>
      </c>
      <c r="E345" s="69" t="s">
        <v>1528</v>
      </c>
      <c r="F345" s="69" t="s">
        <v>589</v>
      </c>
      <c r="G345" s="26">
        <v>12</v>
      </c>
      <c r="H345" s="26"/>
      <c r="I345" s="26"/>
      <c r="J345" s="26">
        <v>90</v>
      </c>
      <c r="K345" s="26"/>
      <c r="L345" s="26"/>
      <c r="M345" s="26"/>
      <c r="N345" s="26">
        <v>8</v>
      </c>
      <c r="O345" s="26">
        <v>3</v>
      </c>
      <c r="P345" s="26">
        <v>26</v>
      </c>
      <c r="Q345" s="70">
        <v>1</v>
      </c>
      <c r="R345" s="26">
        <v>160</v>
      </c>
    </row>
    <row r="346" spans="1:18" x14ac:dyDescent="0.35">
      <c r="A346" s="69">
        <v>35210015</v>
      </c>
      <c r="B346" s="69" t="s">
        <v>1529</v>
      </c>
      <c r="C346" s="69" t="s">
        <v>1530</v>
      </c>
      <c r="D346" s="69">
        <v>9767549555</v>
      </c>
      <c r="E346" s="69" t="s">
        <v>1531</v>
      </c>
      <c r="F346" s="69" t="s">
        <v>589</v>
      </c>
      <c r="G346" s="26">
        <v>78</v>
      </c>
      <c r="H346" s="26">
        <v>29</v>
      </c>
      <c r="I346" s="26">
        <v>52</v>
      </c>
      <c r="J346" s="26">
        <v>216</v>
      </c>
      <c r="K346" s="26"/>
      <c r="L346" s="26"/>
      <c r="M346" s="26">
        <v>39</v>
      </c>
      <c r="N346" s="26">
        <v>47</v>
      </c>
      <c r="O346" s="26">
        <v>0</v>
      </c>
      <c r="P346" s="26">
        <v>42</v>
      </c>
      <c r="Q346" s="70">
        <v>0</v>
      </c>
      <c r="R346" s="26">
        <v>160</v>
      </c>
    </row>
    <row r="347" spans="1:18" x14ac:dyDescent="0.35">
      <c r="A347" s="69">
        <v>35210077</v>
      </c>
      <c r="B347" s="69" t="s">
        <v>1532</v>
      </c>
      <c r="C347" s="69" t="s">
        <v>1533</v>
      </c>
      <c r="D347" s="69">
        <v>9422419414</v>
      </c>
      <c r="E347" s="69" t="s">
        <v>1534</v>
      </c>
      <c r="F347" s="69" t="s">
        <v>589</v>
      </c>
      <c r="G347" s="26">
        <v>6</v>
      </c>
      <c r="H347" s="26">
        <v>7</v>
      </c>
      <c r="I347" s="26">
        <v>8</v>
      </c>
      <c r="J347" s="26">
        <v>23</v>
      </c>
      <c r="K347" s="26">
        <v>4</v>
      </c>
      <c r="L347" s="26"/>
      <c r="M347" s="26"/>
      <c r="N347" s="26"/>
      <c r="O347" s="26"/>
      <c r="P347" s="26">
        <v>0</v>
      </c>
      <c r="Q347" s="70">
        <v>0</v>
      </c>
      <c r="R347" s="26">
        <v>160</v>
      </c>
    </row>
    <row r="348" spans="1:18" x14ac:dyDescent="0.35">
      <c r="A348" s="69">
        <v>35210090</v>
      </c>
      <c r="B348" s="69" t="s">
        <v>1535</v>
      </c>
      <c r="C348" s="69" t="s">
        <v>1536</v>
      </c>
      <c r="D348" s="69">
        <v>9423439016</v>
      </c>
      <c r="E348" s="69" t="s">
        <v>1537</v>
      </c>
      <c r="F348" s="69" t="s">
        <v>589</v>
      </c>
      <c r="G348" s="26">
        <v>52</v>
      </c>
      <c r="H348" s="26">
        <v>27</v>
      </c>
      <c r="I348" s="26">
        <v>54</v>
      </c>
      <c r="J348" s="26">
        <v>178</v>
      </c>
      <c r="K348" s="26">
        <v>16</v>
      </c>
      <c r="L348" s="26"/>
      <c r="M348" s="26">
        <v>51</v>
      </c>
      <c r="N348" s="26">
        <v>57</v>
      </c>
      <c r="O348" s="26">
        <v>19</v>
      </c>
      <c r="P348" s="26">
        <v>20</v>
      </c>
      <c r="Q348" s="70">
        <v>9</v>
      </c>
      <c r="R348" s="26">
        <v>160</v>
      </c>
    </row>
    <row r="349" spans="1:18" x14ac:dyDescent="0.35">
      <c r="A349" s="69">
        <v>35210196</v>
      </c>
      <c r="B349" s="69" t="s">
        <v>1538</v>
      </c>
      <c r="C349" s="69" t="s">
        <v>1539</v>
      </c>
      <c r="D349" s="69">
        <v>9595794735</v>
      </c>
      <c r="E349" s="69" t="s">
        <v>1540</v>
      </c>
      <c r="F349" s="69" t="s">
        <v>589</v>
      </c>
      <c r="G349" s="26">
        <v>17</v>
      </c>
      <c r="H349" s="26">
        <v>11</v>
      </c>
      <c r="I349" s="26">
        <v>14</v>
      </c>
      <c r="J349" s="26">
        <v>27</v>
      </c>
      <c r="K349" s="26">
        <v>10</v>
      </c>
      <c r="L349" s="26"/>
      <c r="M349" s="26">
        <v>1</v>
      </c>
      <c r="N349" s="26">
        <v>13</v>
      </c>
      <c r="O349" s="26">
        <v>3</v>
      </c>
      <c r="P349" s="26">
        <v>4</v>
      </c>
      <c r="Q349" s="70">
        <v>0</v>
      </c>
      <c r="R349" s="26">
        <v>159</v>
      </c>
    </row>
    <row r="350" spans="1:18" x14ac:dyDescent="0.35">
      <c r="A350" s="69">
        <v>35210216</v>
      </c>
      <c r="B350" s="69" t="s">
        <v>1541</v>
      </c>
      <c r="C350" s="69" t="s">
        <v>1542</v>
      </c>
      <c r="D350" s="69">
        <v>9975324488</v>
      </c>
      <c r="E350" s="69" t="s">
        <v>1543</v>
      </c>
      <c r="F350" s="69" t="s">
        <v>589</v>
      </c>
      <c r="G350" s="26">
        <v>56</v>
      </c>
      <c r="H350" s="26">
        <v>7</v>
      </c>
      <c r="I350" s="26">
        <v>17</v>
      </c>
      <c r="J350" s="26">
        <v>84</v>
      </c>
      <c r="K350" s="26">
        <v>19</v>
      </c>
      <c r="L350" s="26">
        <v>19</v>
      </c>
      <c r="M350" s="26">
        <v>5</v>
      </c>
      <c r="N350" s="26">
        <v>5</v>
      </c>
      <c r="O350" s="26">
        <v>13</v>
      </c>
      <c r="P350" s="26">
        <v>27</v>
      </c>
      <c r="Q350" s="70">
        <v>6</v>
      </c>
      <c r="R350" s="26">
        <v>158</v>
      </c>
    </row>
    <row r="351" spans="1:18" x14ac:dyDescent="0.35">
      <c r="A351" s="69">
        <v>36210013</v>
      </c>
      <c r="B351" s="69" t="s">
        <v>1544</v>
      </c>
      <c r="C351" s="69" t="s">
        <v>1545</v>
      </c>
      <c r="D351" s="69">
        <v>9960636798</v>
      </c>
      <c r="E351" s="69" t="s">
        <v>1546</v>
      </c>
      <c r="F351" s="69" t="s">
        <v>589</v>
      </c>
      <c r="G351" s="26">
        <v>3</v>
      </c>
      <c r="H351" s="26">
        <v>6</v>
      </c>
      <c r="I351" s="26">
        <v>21</v>
      </c>
      <c r="J351" s="26">
        <v>59</v>
      </c>
      <c r="K351" s="26">
        <v>5</v>
      </c>
      <c r="L351" s="26"/>
      <c r="M351" s="26">
        <v>13</v>
      </c>
      <c r="N351" s="26">
        <v>3</v>
      </c>
      <c r="O351" s="26">
        <v>9</v>
      </c>
      <c r="P351" s="26">
        <v>0</v>
      </c>
      <c r="Q351" s="70">
        <v>0</v>
      </c>
      <c r="R351" s="26">
        <v>158</v>
      </c>
    </row>
    <row r="352" spans="1:18" x14ac:dyDescent="0.35">
      <c r="A352" s="69">
        <v>36210038</v>
      </c>
      <c r="B352" s="69" t="s">
        <v>1548</v>
      </c>
      <c r="C352" s="69" t="s">
        <v>1549</v>
      </c>
      <c r="D352" s="69">
        <v>9860831111</v>
      </c>
      <c r="E352" s="69" t="s">
        <v>1550</v>
      </c>
      <c r="F352" s="69" t="s">
        <v>589</v>
      </c>
      <c r="G352" s="26">
        <v>59</v>
      </c>
      <c r="H352" s="26">
        <v>25</v>
      </c>
      <c r="I352" s="26">
        <v>242</v>
      </c>
      <c r="J352" s="26">
        <v>159</v>
      </c>
      <c r="K352" s="26">
        <v>13</v>
      </c>
      <c r="L352" s="26">
        <v>7</v>
      </c>
      <c r="M352" s="26">
        <v>25</v>
      </c>
      <c r="N352" s="26">
        <v>18</v>
      </c>
      <c r="O352" s="26">
        <v>16</v>
      </c>
      <c r="P352" s="26">
        <v>18</v>
      </c>
      <c r="Q352" s="70">
        <v>15</v>
      </c>
      <c r="R352" s="26">
        <v>158</v>
      </c>
    </row>
    <row r="353" spans="1:18" x14ac:dyDescent="0.35">
      <c r="A353" s="69">
        <v>36210108</v>
      </c>
      <c r="B353" s="69" t="s">
        <v>1551</v>
      </c>
      <c r="C353" s="69" t="s">
        <v>1552</v>
      </c>
      <c r="D353" s="69">
        <v>9960646540</v>
      </c>
      <c r="E353" s="69" t="s">
        <v>1553</v>
      </c>
      <c r="F353" s="69" t="s">
        <v>589</v>
      </c>
      <c r="G353" s="26">
        <v>10</v>
      </c>
      <c r="H353" s="26"/>
      <c r="I353" s="26">
        <v>23</v>
      </c>
      <c r="J353" s="26">
        <v>49</v>
      </c>
      <c r="K353" s="26">
        <v>3</v>
      </c>
      <c r="L353" s="26">
        <v>4</v>
      </c>
      <c r="M353" s="26">
        <v>9</v>
      </c>
      <c r="N353" s="26">
        <v>15</v>
      </c>
      <c r="O353" s="26">
        <v>8</v>
      </c>
      <c r="P353" s="26">
        <v>0</v>
      </c>
      <c r="Q353" s="70">
        <v>7</v>
      </c>
      <c r="R353" s="26">
        <v>157</v>
      </c>
    </row>
    <row r="354" spans="1:18" x14ac:dyDescent="0.35">
      <c r="A354" s="69">
        <v>36210120</v>
      </c>
      <c r="B354" s="69" t="s">
        <v>1554</v>
      </c>
      <c r="C354" s="69" t="s">
        <v>1555</v>
      </c>
      <c r="D354" s="69">
        <v>9881666343</v>
      </c>
      <c r="E354" s="69" t="s">
        <v>1556</v>
      </c>
      <c r="F354" s="69" t="s">
        <v>589</v>
      </c>
      <c r="G354" s="26">
        <v>8</v>
      </c>
      <c r="H354" s="26">
        <v>2</v>
      </c>
      <c r="I354" s="26">
        <v>36</v>
      </c>
      <c r="J354" s="26">
        <v>20</v>
      </c>
      <c r="K354" s="26">
        <v>10</v>
      </c>
      <c r="L354" s="26"/>
      <c r="M354" s="26">
        <v>3</v>
      </c>
      <c r="N354" s="26"/>
      <c r="O354" s="26">
        <v>0</v>
      </c>
      <c r="P354" s="26">
        <v>2</v>
      </c>
      <c r="Q354" s="70">
        <v>0</v>
      </c>
      <c r="R354" s="26">
        <v>156</v>
      </c>
    </row>
    <row r="355" spans="1:18" x14ac:dyDescent="0.35">
      <c r="A355" s="69">
        <v>36210133</v>
      </c>
      <c r="B355" s="69" t="s">
        <v>1557</v>
      </c>
      <c r="C355" s="69" t="s">
        <v>1558</v>
      </c>
      <c r="D355" s="69">
        <v>9763681143</v>
      </c>
      <c r="E355" s="69" t="s">
        <v>1559</v>
      </c>
      <c r="F355" s="69" t="s">
        <v>589</v>
      </c>
      <c r="G355" s="26">
        <v>8</v>
      </c>
      <c r="H355" s="26"/>
      <c r="I355" s="26">
        <v>19</v>
      </c>
      <c r="J355" s="26">
        <v>81</v>
      </c>
      <c r="K355" s="26">
        <v>10</v>
      </c>
      <c r="L355" s="26">
        <v>4</v>
      </c>
      <c r="M355" s="26">
        <v>1</v>
      </c>
      <c r="N355" s="26"/>
      <c r="O355" s="26">
        <v>6</v>
      </c>
      <c r="P355" s="26">
        <v>4</v>
      </c>
      <c r="Q355" s="70">
        <v>2</v>
      </c>
      <c r="R355" s="26">
        <v>155</v>
      </c>
    </row>
    <row r="356" spans="1:18" x14ac:dyDescent="0.35">
      <c r="A356" s="69">
        <v>36210134</v>
      </c>
      <c r="B356" s="69" t="s">
        <v>1560</v>
      </c>
      <c r="C356" s="69" t="s">
        <v>1561</v>
      </c>
      <c r="D356" s="69">
        <v>9604465476</v>
      </c>
      <c r="E356" s="69" t="s">
        <v>1562</v>
      </c>
      <c r="F356" s="69" t="s">
        <v>589</v>
      </c>
      <c r="G356" s="26"/>
      <c r="H356" s="26"/>
      <c r="I356" s="26">
        <v>37</v>
      </c>
      <c r="J356" s="26">
        <v>17</v>
      </c>
      <c r="K356" s="26">
        <v>3</v>
      </c>
      <c r="L356" s="26"/>
      <c r="M356" s="26">
        <v>3</v>
      </c>
      <c r="N356" s="26"/>
      <c r="O356" s="26"/>
      <c r="P356" s="26">
        <v>3</v>
      </c>
      <c r="Q356" s="70">
        <v>4</v>
      </c>
      <c r="R356" s="26">
        <v>155</v>
      </c>
    </row>
    <row r="357" spans="1:18" x14ac:dyDescent="0.35">
      <c r="A357" s="69">
        <v>36210135</v>
      </c>
      <c r="B357" s="69" t="s">
        <v>1342</v>
      </c>
      <c r="C357" s="69" t="s">
        <v>1563</v>
      </c>
      <c r="D357" s="69">
        <v>9766464822</v>
      </c>
      <c r="E357" s="69" t="s">
        <v>1564</v>
      </c>
      <c r="F357" s="69" t="s">
        <v>589</v>
      </c>
      <c r="G357" s="26">
        <v>12</v>
      </c>
      <c r="H357" s="26"/>
      <c r="I357" s="26">
        <v>26</v>
      </c>
      <c r="J357" s="26">
        <v>60</v>
      </c>
      <c r="K357" s="26">
        <v>2</v>
      </c>
      <c r="L357" s="26">
        <v>7</v>
      </c>
      <c r="M357" s="26">
        <v>11</v>
      </c>
      <c r="N357" s="26">
        <v>2</v>
      </c>
      <c r="O357" s="26">
        <v>5</v>
      </c>
      <c r="P357" s="26">
        <v>13</v>
      </c>
      <c r="Q357" s="70">
        <v>2</v>
      </c>
      <c r="R357" s="26">
        <v>154</v>
      </c>
    </row>
    <row r="358" spans="1:18" x14ac:dyDescent="0.35">
      <c r="A358" s="69">
        <v>36210136</v>
      </c>
      <c r="B358" s="69" t="s">
        <v>1565</v>
      </c>
      <c r="C358" s="69" t="s">
        <v>1566</v>
      </c>
      <c r="D358" s="69">
        <v>9960464761</v>
      </c>
      <c r="E358" s="69" t="s">
        <v>1567</v>
      </c>
      <c r="F358" s="69" t="s">
        <v>589</v>
      </c>
      <c r="G358" s="26">
        <v>9</v>
      </c>
      <c r="H358" s="26"/>
      <c r="I358" s="26"/>
      <c r="J358" s="26">
        <v>20</v>
      </c>
      <c r="K358" s="26">
        <v>3</v>
      </c>
      <c r="L358" s="26"/>
      <c r="M358" s="26"/>
      <c r="N358" s="26"/>
      <c r="O358" s="26">
        <v>11</v>
      </c>
      <c r="P358" s="26">
        <v>0</v>
      </c>
      <c r="Q358" s="70">
        <v>0</v>
      </c>
      <c r="R358" s="26">
        <v>153</v>
      </c>
    </row>
    <row r="359" spans="1:18" x14ac:dyDescent="0.35">
      <c r="A359" s="69">
        <v>36210139</v>
      </c>
      <c r="B359" s="69" t="s">
        <v>1568</v>
      </c>
      <c r="C359" s="69" t="s">
        <v>1569</v>
      </c>
      <c r="D359" s="69">
        <v>9822428502</v>
      </c>
      <c r="E359" s="69" t="s">
        <v>1570</v>
      </c>
      <c r="F359" s="69" t="s">
        <v>589</v>
      </c>
      <c r="G359" s="26">
        <v>12</v>
      </c>
      <c r="H359" s="26"/>
      <c r="I359" s="26"/>
      <c r="J359" s="26">
        <v>53</v>
      </c>
      <c r="K359" s="26"/>
      <c r="L359" s="26"/>
      <c r="M359" s="26">
        <v>5</v>
      </c>
      <c r="N359" s="26">
        <v>14</v>
      </c>
      <c r="O359" s="26"/>
      <c r="P359" s="26">
        <v>5</v>
      </c>
      <c r="Q359" s="70">
        <v>0</v>
      </c>
      <c r="R359" s="26">
        <v>153</v>
      </c>
    </row>
    <row r="360" spans="1:18" x14ac:dyDescent="0.35">
      <c r="A360" s="69">
        <v>36210140</v>
      </c>
      <c r="B360" s="69" t="s">
        <v>1571</v>
      </c>
      <c r="C360" s="69" t="s">
        <v>1572</v>
      </c>
      <c r="D360" s="69">
        <v>9890104092</v>
      </c>
      <c r="E360" s="69" t="s">
        <v>1573</v>
      </c>
      <c r="F360" s="69" t="s">
        <v>1522</v>
      </c>
      <c r="G360" s="26"/>
      <c r="H360" s="26"/>
      <c r="I360" s="26"/>
      <c r="J360" s="26">
        <v>18</v>
      </c>
      <c r="K360" s="26"/>
      <c r="L360" s="26"/>
      <c r="M360" s="26"/>
      <c r="N360" s="26">
        <v>6</v>
      </c>
      <c r="O360" s="26"/>
      <c r="P360" s="26">
        <v>0</v>
      </c>
      <c r="Q360" s="70">
        <v>0</v>
      </c>
      <c r="R360" s="26">
        <v>152</v>
      </c>
    </row>
    <row r="361" spans="1:18" x14ac:dyDescent="0.35">
      <c r="A361" s="69">
        <v>36210141</v>
      </c>
      <c r="B361" s="69" t="s">
        <v>1574</v>
      </c>
      <c r="C361" s="69" t="s">
        <v>1575</v>
      </c>
      <c r="D361" s="69">
        <v>9527296212</v>
      </c>
      <c r="E361" s="69" t="s">
        <v>1576</v>
      </c>
      <c r="F361" s="69" t="s">
        <v>1522</v>
      </c>
      <c r="G361" s="26">
        <v>10</v>
      </c>
      <c r="H361" s="26"/>
      <c r="I361" s="26"/>
      <c r="J361" s="26">
        <v>46</v>
      </c>
      <c r="K361" s="26"/>
      <c r="L361" s="26"/>
      <c r="M361" s="26">
        <v>16</v>
      </c>
      <c r="N361" s="26">
        <v>4</v>
      </c>
      <c r="O361" s="26">
        <v>0</v>
      </c>
      <c r="P361" s="26">
        <v>12</v>
      </c>
      <c r="Q361" s="70">
        <v>4</v>
      </c>
      <c r="R361" s="26">
        <v>152</v>
      </c>
    </row>
    <row r="362" spans="1:18" x14ac:dyDescent="0.35">
      <c r="A362" s="69">
        <v>36210142</v>
      </c>
      <c r="B362" s="69" t="s">
        <v>1577</v>
      </c>
      <c r="C362" s="69" t="s">
        <v>1578</v>
      </c>
      <c r="D362" s="69">
        <v>9860888020</v>
      </c>
      <c r="E362" s="69" t="s">
        <v>1579</v>
      </c>
      <c r="F362" s="69" t="s">
        <v>1522</v>
      </c>
      <c r="G362" s="26">
        <v>11</v>
      </c>
      <c r="H362" s="26"/>
      <c r="I362" s="26"/>
      <c r="J362" s="26">
        <v>32</v>
      </c>
      <c r="K362" s="26"/>
      <c r="L362" s="26"/>
      <c r="M362" s="26">
        <v>9</v>
      </c>
      <c r="N362" s="26">
        <v>3</v>
      </c>
      <c r="O362" s="26">
        <v>2</v>
      </c>
      <c r="P362" s="26">
        <v>5</v>
      </c>
      <c r="Q362" s="70">
        <v>1</v>
      </c>
      <c r="R362" s="26">
        <v>151</v>
      </c>
    </row>
    <row r="363" spans="1:18" x14ac:dyDescent="0.35">
      <c r="A363" s="69">
        <v>36210143</v>
      </c>
      <c r="B363" s="69" t="s">
        <v>1580</v>
      </c>
      <c r="C363" s="69" t="s">
        <v>1581</v>
      </c>
      <c r="D363" s="69">
        <v>9763313232</v>
      </c>
      <c r="E363" s="69" t="s">
        <v>1582</v>
      </c>
      <c r="F363" s="69" t="s">
        <v>1522</v>
      </c>
      <c r="G363" s="26">
        <v>6</v>
      </c>
      <c r="H363" s="26"/>
      <c r="I363" s="26"/>
      <c r="J363" s="26"/>
      <c r="K363" s="26"/>
      <c r="L363" s="26"/>
      <c r="M363" s="26"/>
      <c r="N363" s="26"/>
      <c r="O363" s="26"/>
      <c r="P363" s="26">
        <v>0</v>
      </c>
      <c r="Q363" s="70">
        <v>0</v>
      </c>
      <c r="R363" s="26">
        <v>151</v>
      </c>
    </row>
    <row r="364" spans="1:18" x14ac:dyDescent="0.35">
      <c r="A364" s="69">
        <v>36210144</v>
      </c>
      <c r="B364" s="69" t="s">
        <v>1583</v>
      </c>
      <c r="C364" s="69" t="s">
        <v>1584</v>
      </c>
      <c r="D364" s="69">
        <v>9527873358</v>
      </c>
      <c r="E364" s="69" t="s">
        <v>1585</v>
      </c>
      <c r="F364" s="69" t="s">
        <v>1522</v>
      </c>
      <c r="G364" s="26">
        <v>4</v>
      </c>
      <c r="H364" s="26"/>
      <c r="I364" s="26"/>
      <c r="J364" s="26">
        <v>45</v>
      </c>
      <c r="K364" s="26"/>
      <c r="L364" s="26"/>
      <c r="M364" s="26">
        <v>0</v>
      </c>
      <c r="N364" s="26"/>
      <c r="O364" s="26">
        <v>8</v>
      </c>
      <c r="P364" s="26">
        <v>0</v>
      </c>
      <c r="Q364" s="70">
        <v>21</v>
      </c>
      <c r="R364" s="26">
        <v>150</v>
      </c>
    </row>
    <row r="365" spans="1:18" x14ac:dyDescent="0.35">
      <c r="A365" s="69">
        <v>37210001</v>
      </c>
      <c r="B365" s="69" t="s">
        <v>1586</v>
      </c>
      <c r="C365" s="69" t="s">
        <v>1587</v>
      </c>
      <c r="D365" s="69">
        <v>9850828461</v>
      </c>
      <c r="E365" s="69" t="s">
        <v>1588</v>
      </c>
      <c r="F365" s="69" t="s">
        <v>1522</v>
      </c>
      <c r="G365" s="26">
        <v>43</v>
      </c>
      <c r="H365" s="26">
        <v>4</v>
      </c>
      <c r="I365" s="26">
        <v>67</v>
      </c>
      <c r="J365" s="26">
        <v>31</v>
      </c>
      <c r="K365" s="26">
        <v>11</v>
      </c>
      <c r="L365" s="26">
        <v>13</v>
      </c>
      <c r="M365" s="26">
        <v>5</v>
      </c>
      <c r="N365" s="26">
        <v>12</v>
      </c>
      <c r="O365" s="26">
        <v>6</v>
      </c>
      <c r="P365" s="26">
        <v>10</v>
      </c>
      <c r="Q365" s="70">
        <v>6</v>
      </c>
      <c r="R365" s="26">
        <v>150</v>
      </c>
    </row>
    <row r="366" spans="1:18" x14ac:dyDescent="0.35">
      <c r="A366" s="69">
        <v>37210005</v>
      </c>
      <c r="B366" s="69" t="s">
        <v>1589</v>
      </c>
      <c r="C366" s="69" t="s">
        <v>1590</v>
      </c>
      <c r="D366" s="69">
        <v>9423001930</v>
      </c>
      <c r="E366" s="69" t="s">
        <v>1591</v>
      </c>
      <c r="F366" s="69" t="s">
        <v>1522</v>
      </c>
      <c r="G366" s="26">
        <v>15</v>
      </c>
      <c r="H366" s="26">
        <v>8</v>
      </c>
      <c r="I366" s="26">
        <v>9</v>
      </c>
      <c r="J366" s="26">
        <v>20</v>
      </c>
      <c r="K366" s="26">
        <v>5</v>
      </c>
      <c r="L366" s="26">
        <v>5</v>
      </c>
      <c r="M366" s="26">
        <v>9</v>
      </c>
      <c r="N366" s="26">
        <v>7</v>
      </c>
      <c r="O366" s="26">
        <v>3</v>
      </c>
      <c r="P366" s="26">
        <v>8</v>
      </c>
      <c r="Q366" s="70">
        <v>2</v>
      </c>
      <c r="R366" s="26">
        <v>150</v>
      </c>
    </row>
    <row r="367" spans="1:18" x14ac:dyDescent="0.35">
      <c r="A367" s="69">
        <v>37210017</v>
      </c>
      <c r="B367" s="69" t="s">
        <v>1592</v>
      </c>
      <c r="C367" s="69" t="s">
        <v>1593</v>
      </c>
      <c r="D367" s="69">
        <v>9823153110</v>
      </c>
      <c r="E367" s="69" t="s">
        <v>1594</v>
      </c>
      <c r="F367" s="69" t="s">
        <v>1522</v>
      </c>
      <c r="G367" s="26">
        <v>4</v>
      </c>
      <c r="H367" s="26"/>
      <c r="I367" s="26">
        <v>29</v>
      </c>
      <c r="J367" s="26">
        <v>29</v>
      </c>
      <c r="K367" s="26">
        <v>8</v>
      </c>
      <c r="L367" s="26">
        <v>1</v>
      </c>
      <c r="M367" s="26">
        <v>11</v>
      </c>
      <c r="N367" s="26">
        <v>8</v>
      </c>
      <c r="O367" s="26">
        <v>4</v>
      </c>
      <c r="P367" s="26">
        <v>2</v>
      </c>
      <c r="Q367" s="70">
        <v>1</v>
      </c>
      <c r="R367" s="26">
        <v>150</v>
      </c>
    </row>
    <row r="368" spans="1:18" x14ac:dyDescent="0.35">
      <c r="A368" s="69">
        <v>37210018</v>
      </c>
      <c r="B368" s="69" t="s">
        <v>1595</v>
      </c>
      <c r="C368" s="69" t="s">
        <v>1596</v>
      </c>
      <c r="D368" s="69">
        <v>9890572250</v>
      </c>
      <c r="E368" s="69" t="s">
        <v>1597</v>
      </c>
      <c r="F368" s="69" t="s">
        <v>1374</v>
      </c>
      <c r="G368" s="26"/>
      <c r="H368" s="26">
        <v>34</v>
      </c>
      <c r="I368" s="26">
        <v>58</v>
      </c>
      <c r="J368" s="26">
        <v>42</v>
      </c>
      <c r="K368" s="26">
        <v>25</v>
      </c>
      <c r="L368" s="26"/>
      <c r="M368" s="26">
        <v>16</v>
      </c>
      <c r="N368" s="26">
        <v>10</v>
      </c>
      <c r="O368" s="26">
        <v>8</v>
      </c>
      <c r="P368" s="26">
        <v>9</v>
      </c>
      <c r="Q368" s="70">
        <v>2</v>
      </c>
      <c r="R368" s="26">
        <v>150</v>
      </c>
    </row>
    <row r="369" spans="1:18" x14ac:dyDescent="0.35">
      <c r="A369" s="69">
        <v>37210028</v>
      </c>
      <c r="B369" s="69" t="s">
        <v>1598</v>
      </c>
      <c r="C369" s="69" t="s">
        <v>1599</v>
      </c>
      <c r="D369" s="69">
        <v>9822293961</v>
      </c>
      <c r="E369" s="69" t="s">
        <v>1600</v>
      </c>
      <c r="F369" s="69" t="s">
        <v>1374</v>
      </c>
      <c r="G369" s="26">
        <v>32</v>
      </c>
      <c r="H369" s="26">
        <v>5</v>
      </c>
      <c r="I369" s="26">
        <v>44</v>
      </c>
      <c r="J369" s="26">
        <v>76</v>
      </c>
      <c r="K369" s="26">
        <v>40</v>
      </c>
      <c r="L369" s="26">
        <v>8</v>
      </c>
      <c r="M369" s="26">
        <v>17</v>
      </c>
      <c r="N369" s="26"/>
      <c r="O369" s="26">
        <v>13</v>
      </c>
      <c r="P369" s="26">
        <v>13</v>
      </c>
      <c r="Q369" s="70">
        <v>6</v>
      </c>
      <c r="R369" s="26">
        <v>149</v>
      </c>
    </row>
    <row r="370" spans="1:18" x14ac:dyDescent="0.35">
      <c r="A370" s="69">
        <v>37210038</v>
      </c>
      <c r="B370" s="69" t="s">
        <v>1601</v>
      </c>
      <c r="C370" s="69" t="s">
        <v>1602</v>
      </c>
      <c r="D370" s="69">
        <v>9370010070</v>
      </c>
      <c r="E370" s="69" t="s">
        <v>1603</v>
      </c>
      <c r="F370" s="69" t="s">
        <v>1374</v>
      </c>
      <c r="G370" s="26"/>
      <c r="H370" s="26"/>
      <c r="I370" s="26">
        <v>10</v>
      </c>
      <c r="J370" s="26">
        <v>60</v>
      </c>
      <c r="K370" s="26"/>
      <c r="L370" s="26">
        <v>47</v>
      </c>
      <c r="M370" s="26">
        <v>1</v>
      </c>
      <c r="N370" s="26"/>
      <c r="O370" s="26">
        <v>8</v>
      </c>
      <c r="P370" s="26">
        <v>1</v>
      </c>
      <c r="Q370" s="70">
        <v>5</v>
      </c>
      <c r="R370" s="26">
        <v>149</v>
      </c>
    </row>
    <row r="371" spans="1:18" x14ac:dyDescent="0.35">
      <c r="A371" s="69">
        <v>37210048</v>
      </c>
      <c r="B371" s="69" t="s">
        <v>1604</v>
      </c>
      <c r="C371" s="69" t="s">
        <v>1605</v>
      </c>
      <c r="D371" s="69">
        <v>9890337770</v>
      </c>
      <c r="E371" s="69" t="s">
        <v>1603</v>
      </c>
      <c r="F371" s="69" t="s">
        <v>1374</v>
      </c>
      <c r="G371" s="26"/>
      <c r="H371" s="26"/>
      <c r="I371" s="26">
        <v>80</v>
      </c>
      <c r="J371" s="26">
        <v>115</v>
      </c>
      <c r="K371" s="26"/>
      <c r="L371" s="26">
        <v>54</v>
      </c>
      <c r="M371" s="26">
        <v>1</v>
      </c>
      <c r="N371" s="26"/>
      <c r="O371" s="26">
        <v>0</v>
      </c>
      <c r="P371" s="26">
        <v>10</v>
      </c>
      <c r="Q371" s="70">
        <v>45</v>
      </c>
      <c r="R371" s="26">
        <v>149</v>
      </c>
    </row>
    <row r="372" spans="1:18" x14ac:dyDescent="0.35">
      <c r="A372" s="69">
        <v>37210050</v>
      </c>
      <c r="B372" s="69" t="s">
        <v>1606</v>
      </c>
      <c r="C372" s="69" t="s">
        <v>1607</v>
      </c>
      <c r="D372" s="69">
        <v>9960636220</v>
      </c>
      <c r="E372" s="69" t="s">
        <v>1608</v>
      </c>
      <c r="F372" s="69" t="s">
        <v>2137</v>
      </c>
      <c r="G372" s="26">
        <v>7</v>
      </c>
      <c r="H372" s="26"/>
      <c r="I372" s="26">
        <v>10</v>
      </c>
      <c r="J372" s="26">
        <v>9</v>
      </c>
      <c r="K372" s="26">
        <v>7</v>
      </c>
      <c r="L372" s="26"/>
      <c r="M372" s="26">
        <v>3</v>
      </c>
      <c r="N372" s="26">
        <v>3</v>
      </c>
      <c r="O372" s="26">
        <v>4</v>
      </c>
      <c r="P372" s="26">
        <v>2</v>
      </c>
      <c r="Q372" s="70">
        <v>1</v>
      </c>
      <c r="R372" s="26">
        <v>148</v>
      </c>
    </row>
    <row r="373" spans="1:18" x14ac:dyDescent="0.35">
      <c r="A373" s="69">
        <v>37210061</v>
      </c>
      <c r="B373" s="69" t="s">
        <v>1609</v>
      </c>
      <c r="C373" s="69" t="s">
        <v>1610</v>
      </c>
      <c r="D373" s="69">
        <v>9561393736</v>
      </c>
      <c r="E373" s="69" t="s">
        <v>1611</v>
      </c>
      <c r="F373" s="69" t="s">
        <v>2137</v>
      </c>
      <c r="G373" s="26">
        <v>17</v>
      </c>
      <c r="H373" s="26">
        <v>3</v>
      </c>
      <c r="I373" s="26">
        <v>88</v>
      </c>
      <c r="J373" s="26">
        <v>49</v>
      </c>
      <c r="K373" s="26">
        <v>6</v>
      </c>
      <c r="L373" s="26">
        <v>6</v>
      </c>
      <c r="M373" s="26">
        <v>5</v>
      </c>
      <c r="N373" s="26">
        <v>2</v>
      </c>
      <c r="O373" s="26">
        <v>2</v>
      </c>
      <c r="P373" s="26">
        <v>3</v>
      </c>
      <c r="Q373" s="70">
        <v>2</v>
      </c>
      <c r="R373" s="26">
        <v>146</v>
      </c>
    </row>
    <row r="374" spans="1:18" x14ac:dyDescent="0.35">
      <c r="A374" s="69">
        <v>37210067</v>
      </c>
      <c r="B374" s="69" t="s">
        <v>1612</v>
      </c>
      <c r="C374" s="69" t="s">
        <v>1613</v>
      </c>
      <c r="D374" s="69">
        <v>9881618601</v>
      </c>
      <c r="E374" s="69" t="s">
        <v>1614</v>
      </c>
      <c r="F374" s="69" t="s">
        <v>2137</v>
      </c>
      <c r="G374" s="26"/>
      <c r="H374" s="26"/>
      <c r="I374" s="26">
        <v>11</v>
      </c>
      <c r="J374" s="26">
        <v>70</v>
      </c>
      <c r="K374" s="26">
        <v>26</v>
      </c>
      <c r="L374" s="26">
        <v>13</v>
      </c>
      <c r="M374" s="26">
        <v>11</v>
      </c>
      <c r="N374" s="26"/>
      <c r="O374" s="26">
        <v>13</v>
      </c>
      <c r="P374" s="26">
        <v>4</v>
      </c>
      <c r="Q374" s="70">
        <v>3</v>
      </c>
      <c r="R374" s="26">
        <v>146</v>
      </c>
    </row>
    <row r="375" spans="1:18" x14ac:dyDescent="0.35">
      <c r="A375" s="69">
        <v>37210071</v>
      </c>
      <c r="B375" s="69" t="s">
        <v>1615</v>
      </c>
      <c r="C375" s="69" t="s">
        <v>1616</v>
      </c>
      <c r="D375" s="69">
        <v>9689915155</v>
      </c>
      <c r="E375" s="69" t="s">
        <v>1617</v>
      </c>
      <c r="F375" s="69" t="s">
        <v>2137</v>
      </c>
      <c r="G375" s="26">
        <v>26</v>
      </c>
      <c r="H375" s="26"/>
      <c r="I375" s="26">
        <v>5</v>
      </c>
      <c r="J375" s="26">
        <v>170</v>
      </c>
      <c r="K375" s="26">
        <v>39</v>
      </c>
      <c r="L375" s="26">
        <v>19</v>
      </c>
      <c r="M375" s="26">
        <v>0</v>
      </c>
      <c r="N375" s="26">
        <v>0</v>
      </c>
      <c r="O375" s="26">
        <v>38</v>
      </c>
      <c r="P375" s="26">
        <v>0</v>
      </c>
      <c r="Q375" s="70">
        <v>0</v>
      </c>
      <c r="R375" s="26">
        <v>145</v>
      </c>
    </row>
    <row r="376" spans="1:18" x14ac:dyDescent="0.35">
      <c r="A376" s="69">
        <v>37210093</v>
      </c>
      <c r="B376" s="69" t="s">
        <v>1618</v>
      </c>
      <c r="C376" s="69" t="s">
        <v>1619</v>
      </c>
      <c r="D376" s="69">
        <v>9822326000</v>
      </c>
      <c r="E376" s="69" t="s">
        <v>1620</v>
      </c>
      <c r="F376" s="69" t="s">
        <v>2137</v>
      </c>
      <c r="G376" s="26">
        <v>3</v>
      </c>
      <c r="H376" s="26"/>
      <c r="I376" s="26">
        <v>3</v>
      </c>
      <c r="J376" s="26"/>
      <c r="K376" s="26"/>
      <c r="L376" s="26"/>
      <c r="M376" s="26">
        <v>7</v>
      </c>
      <c r="N376" s="26">
        <v>1</v>
      </c>
      <c r="O376" s="26">
        <v>1</v>
      </c>
      <c r="P376" s="26">
        <v>2</v>
      </c>
      <c r="Q376" s="70">
        <v>0</v>
      </c>
      <c r="R376" s="26">
        <v>145</v>
      </c>
    </row>
    <row r="377" spans="1:18" x14ac:dyDescent="0.35">
      <c r="A377" s="69">
        <v>37210097</v>
      </c>
      <c r="B377" s="69" t="s">
        <v>1621</v>
      </c>
      <c r="C377" s="69" t="s">
        <v>1622</v>
      </c>
      <c r="D377" s="69">
        <v>9922185628</v>
      </c>
      <c r="E377" s="69" t="s">
        <v>1623</v>
      </c>
      <c r="F377" s="69" t="s">
        <v>2137</v>
      </c>
      <c r="G377" s="26"/>
      <c r="H377" s="26"/>
      <c r="I377" s="26"/>
      <c r="J377" s="26">
        <v>70</v>
      </c>
      <c r="K377" s="26">
        <v>15</v>
      </c>
      <c r="L377" s="26">
        <v>7</v>
      </c>
      <c r="M377" s="26">
        <v>6</v>
      </c>
      <c r="N377" s="26">
        <v>4</v>
      </c>
      <c r="O377" s="26"/>
      <c r="P377" s="26">
        <v>5</v>
      </c>
      <c r="Q377" s="70">
        <v>0</v>
      </c>
      <c r="R377" s="26">
        <v>144</v>
      </c>
    </row>
    <row r="378" spans="1:18" x14ac:dyDescent="0.35">
      <c r="A378" s="69">
        <v>37210104</v>
      </c>
      <c r="B378" s="69" t="s">
        <v>1624</v>
      </c>
      <c r="C378" s="69" t="s">
        <v>1625</v>
      </c>
      <c r="D378" s="69">
        <v>9922007311</v>
      </c>
      <c r="E378" s="69" t="s">
        <v>1626</v>
      </c>
      <c r="F378" s="69" t="s">
        <v>2137</v>
      </c>
      <c r="G378" s="26"/>
      <c r="H378" s="26"/>
      <c r="I378" s="26">
        <v>5</v>
      </c>
      <c r="J378" s="26">
        <v>25</v>
      </c>
      <c r="K378" s="26"/>
      <c r="L378" s="26">
        <v>5</v>
      </c>
      <c r="M378" s="26"/>
      <c r="N378" s="26"/>
      <c r="O378" s="26"/>
      <c r="P378" s="26">
        <v>8</v>
      </c>
      <c r="Q378" s="70">
        <v>8</v>
      </c>
      <c r="R378" s="26">
        <v>143</v>
      </c>
    </row>
    <row r="379" spans="1:18" x14ac:dyDescent="0.35">
      <c r="A379" s="69">
        <v>38210001</v>
      </c>
      <c r="B379" s="69" t="s">
        <v>935</v>
      </c>
      <c r="C379" s="69" t="s">
        <v>1627</v>
      </c>
      <c r="D379" s="69">
        <v>9220709666</v>
      </c>
      <c r="E379" s="69" t="s">
        <v>1628</v>
      </c>
      <c r="F379" s="69" t="s">
        <v>2137</v>
      </c>
      <c r="G379" s="26">
        <v>12</v>
      </c>
      <c r="H379" s="26">
        <v>6</v>
      </c>
      <c r="I379" s="26">
        <v>15</v>
      </c>
      <c r="J379" s="26">
        <v>56</v>
      </c>
      <c r="K379" s="26">
        <v>25</v>
      </c>
      <c r="L379" s="26">
        <v>27</v>
      </c>
      <c r="M379" s="26">
        <v>25</v>
      </c>
      <c r="N379" s="26">
        <v>13</v>
      </c>
      <c r="O379" s="26">
        <v>6</v>
      </c>
      <c r="P379" s="26">
        <v>7</v>
      </c>
      <c r="Q379" s="70">
        <v>7</v>
      </c>
      <c r="R379" s="26">
        <v>143</v>
      </c>
    </row>
    <row r="380" spans="1:18" x14ac:dyDescent="0.35">
      <c r="A380" s="69">
        <v>38210002</v>
      </c>
      <c r="B380" s="69" t="s">
        <v>935</v>
      </c>
      <c r="C380" s="69" t="s">
        <v>1630</v>
      </c>
      <c r="D380" s="69">
        <v>9869214286</v>
      </c>
      <c r="E380" s="69" t="s">
        <v>1631</v>
      </c>
      <c r="F380" s="69" t="s">
        <v>2137</v>
      </c>
      <c r="G380" s="26">
        <v>56</v>
      </c>
      <c r="H380" s="26"/>
      <c r="I380" s="26">
        <v>50</v>
      </c>
      <c r="J380" s="26"/>
      <c r="K380" s="26">
        <v>57</v>
      </c>
      <c r="L380" s="26"/>
      <c r="M380" s="26">
        <v>38</v>
      </c>
      <c r="N380" s="26">
        <v>21</v>
      </c>
      <c r="O380" s="26">
        <v>4</v>
      </c>
      <c r="P380" s="26">
        <v>0</v>
      </c>
      <c r="Q380" s="70">
        <v>6</v>
      </c>
      <c r="R380" s="26">
        <v>142</v>
      </c>
    </row>
    <row r="381" spans="1:18" x14ac:dyDescent="0.35">
      <c r="A381" s="69">
        <v>38210003</v>
      </c>
      <c r="B381" s="69" t="s">
        <v>935</v>
      </c>
      <c r="C381" s="69" t="s">
        <v>1632</v>
      </c>
      <c r="D381" s="69">
        <v>9833712250</v>
      </c>
      <c r="E381" s="69" t="s">
        <v>1633</v>
      </c>
      <c r="F381" s="69" t="s">
        <v>2137</v>
      </c>
      <c r="G381" s="26">
        <v>42</v>
      </c>
      <c r="H381" s="26"/>
      <c r="I381" s="26">
        <v>50</v>
      </c>
      <c r="J381" s="26"/>
      <c r="K381" s="26">
        <v>52</v>
      </c>
      <c r="L381" s="26"/>
      <c r="M381" s="26">
        <v>67</v>
      </c>
      <c r="N381" s="26">
        <v>16</v>
      </c>
      <c r="O381" s="26">
        <v>31</v>
      </c>
      <c r="P381" s="26">
        <v>61</v>
      </c>
      <c r="Q381" s="70">
        <v>24</v>
      </c>
      <c r="R381" s="26">
        <v>141</v>
      </c>
    </row>
    <row r="382" spans="1:18" x14ac:dyDescent="0.35">
      <c r="A382" s="69">
        <v>38210004</v>
      </c>
      <c r="B382" s="69" t="s">
        <v>935</v>
      </c>
      <c r="C382" s="69" t="s">
        <v>1634</v>
      </c>
      <c r="D382" s="69">
        <v>9820264026</v>
      </c>
      <c r="E382" s="69" t="s">
        <v>1635</v>
      </c>
      <c r="F382" s="69" t="s">
        <v>2137</v>
      </c>
      <c r="G382" s="26">
        <v>18</v>
      </c>
      <c r="H382" s="26">
        <v>8</v>
      </c>
      <c r="I382" s="26">
        <v>66</v>
      </c>
      <c r="J382" s="26">
        <v>58</v>
      </c>
      <c r="K382" s="26">
        <v>22</v>
      </c>
      <c r="L382" s="26">
        <v>33</v>
      </c>
      <c r="M382" s="26">
        <v>27</v>
      </c>
      <c r="N382" s="26">
        <v>17</v>
      </c>
      <c r="O382" s="26">
        <v>7</v>
      </c>
      <c r="P382" s="26">
        <v>14</v>
      </c>
      <c r="Q382" s="70">
        <v>10</v>
      </c>
      <c r="R382" s="26">
        <v>141</v>
      </c>
    </row>
    <row r="383" spans="1:18" x14ac:dyDescent="0.35">
      <c r="A383" s="69">
        <v>38210017</v>
      </c>
      <c r="B383" s="69" t="s">
        <v>1636</v>
      </c>
      <c r="C383" s="69" t="s">
        <v>1637</v>
      </c>
      <c r="D383" s="69">
        <v>9869207341</v>
      </c>
      <c r="E383" s="69" t="s">
        <v>1638</v>
      </c>
      <c r="F383" s="69" t="s">
        <v>2137</v>
      </c>
      <c r="G383" s="26">
        <v>8</v>
      </c>
      <c r="H383" s="26">
        <v>4</v>
      </c>
      <c r="I383" s="26">
        <v>14</v>
      </c>
      <c r="J383" s="26">
        <v>15</v>
      </c>
      <c r="K383" s="26">
        <v>9</v>
      </c>
      <c r="L383" s="26"/>
      <c r="M383" s="26">
        <v>18</v>
      </c>
      <c r="N383" s="26"/>
      <c r="O383" s="26">
        <v>14</v>
      </c>
      <c r="P383" s="26">
        <v>2</v>
      </c>
      <c r="Q383" s="70">
        <v>0</v>
      </c>
      <c r="R383" s="26">
        <v>141</v>
      </c>
    </row>
    <row r="384" spans="1:18" x14ac:dyDescent="0.35">
      <c r="A384" s="69">
        <v>38210074</v>
      </c>
      <c r="B384" s="69" t="s">
        <v>935</v>
      </c>
      <c r="C384" s="69" t="s">
        <v>1639</v>
      </c>
      <c r="D384" s="69">
        <v>9869424621</v>
      </c>
      <c r="E384" s="69" t="s">
        <v>1640</v>
      </c>
      <c r="F384" s="69" t="s">
        <v>2137</v>
      </c>
      <c r="G384" s="26">
        <v>7</v>
      </c>
      <c r="H384" s="26"/>
      <c r="I384" s="26">
        <v>4</v>
      </c>
      <c r="J384" s="26">
        <v>4</v>
      </c>
      <c r="K384" s="26"/>
      <c r="L384" s="26">
        <v>5</v>
      </c>
      <c r="M384" s="26">
        <v>15</v>
      </c>
      <c r="N384" s="26">
        <v>9</v>
      </c>
      <c r="O384" s="26">
        <v>7</v>
      </c>
      <c r="P384" s="26">
        <v>3</v>
      </c>
      <c r="Q384" s="70">
        <v>0</v>
      </c>
      <c r="R384" s="26">
        <v>140</v>
      </c>
    </row>
    <row r="385" spans="1:18" x14ac:dyDescent="0.35">
      <c r="A385" s="69">
        <v>39210001</v>
      </c>
      <c r="B385" s="69" t="s">
        <v>1641</v>
      </c>
      <c r="C385" s="69" t="s">
        <v>1642</v>
      </c>
      <c r="D385" s="69">
        <v>9421144601</v>
      </c>
      <c r="E385" s="69" t="s">
        <v>1643</v>
      </c>
      <c r="F385" s="69" t="s">
        <v>2137</v>
      </c>
      <c r="G385" s="26">
        <v>19</v>
      </c>
      <c r="H385" s="26">
        <v>4</v>
      </c>
      <c r="I385" s="26"/>
      <c r="J385" s="26">
        <v>41</v>
      </c>
      <c r="K385" s="26">
        <v>2</v>
      </c>
      <c r="L385" s="26">
        <v>1</v>
      </c>
      <c r="M385" s="26">
        <v>16</v>
      </c>
      <c r="N385" s="26">
        <v>4</v>
      </c>
      <c r="O385" s="26">
        <v>0</v>
      </c>
      <c r="P385" s="26">
        <v>6</v>
      </c>
      <c r="Q385" s="70">
        <v>4</v>
      </c>
      <c r="R385" s="26">
        <v>140</v>
      </c>
    </row>
    <row r="386" spans="1:18" x14ac:dyDescent="0.35">
      <c r="A386" s="69">
        <v>39210002</v>
      </c>
      <c r="B386" s="69" t="s">
        <v>1645</v>
      </c>
      <c r="C386" s="69" t="s">
        <v>1646</v>
      </c>
      <c r="D386" s="69">
        <v>9422054807</v>
      </c>
      <c r="E386" s="69" t="s">
        <v>1647</v>
      </c>
      <c r="F386" s="69" t="s">
        <v>2137</v>
      </c>
      <c r="G386" s="26">
        <v>13</v>
      </c>
      <c r="H386" s="26">
        <v>8</v>
      </c>
      <c r="I386" s="26">
        <v>32</v>
      </c>
      <c r="J386" s="26">
        <v>16</v>
      </c>
      <c r="K386" s="26">
        <v>4</v>
      </c>
      <c r="L386" s="26">
        <v>12</v>
      </c>
      <c r="M386" s="26">
        <v>6</v>
      </c>
      <c r="N386" s="26">
        <v>5</v>
      </c>
      <c r="O386" s="26">
        <v>4</v>
      </c>
      <c r="P386" s="26">
        <v>11</v>
      </c>
      <c r="Q386" s="70">
        <v>3</v>
      </c>
      <c r="R386" s="26">
        <v>140</v>
      </c>
    </row>
    <row r="387" spans="1:18" x14ac:dyDescent="0.35">
      <c r="A387" s="69">
        <v>39210109</v>
      </c>
      <c r="B387" s="69" t="s">
        <v>1648</v>
      </c>
      <c r="C387" s="69" t="s">
        <v>1649</v>
      </c>
      <c r="D387" s="69">
        <v>9404444606</v>
      </c>
      <c r="E387" s="69" t="s">
        <v>1650</v>
      </c>
      <c r="F387" s="69" t="s">
        <v>2137</v>
      </c>
      <c r="G387" s="26"/>
      <c r="H387" s="26"/>
      <c r="I387" s="26">
        <v>8</v>
      </c>
      <c r="J387" s="26">
        <v>2</v>
      </c>
      <c r="K387" s="26"/>
      <c r="L387" s="26"/>
      <c r="M387" s="26">
        <v>4</v>
      </c>
      <c r="N387" s="26"/>
      <c r="O387" s="26">
        <v>1</v>
      </c>
      <c r="P387" s="26">
        <v>0</v>
      </c>
      <c r="Q387" s="70">
        <v>0</v>
      </c>
      <c r="R387" s="26">
        <v>140</v>
      </c>
    </row>
    <row r="388" spans="1:18" x14ac:dyDescent="0.35">
      <c r="A388" s="69">
        <v>42210001</v>
      </c>
      <c r="B388" s="69" t="s">
        <v>1651</v>
      </c>
      <c r="C388" s="69" t="s">
        <v>1652</v>
      </c>
      <c r="D388" s="69">
        <v>9423134779</v>
      </c>
      <c r="E388" s="69" t="s">
        <v>1653</v>
      </c>
      <c r="F388" s="69" t="s">
        <v>2137</v>
      </c>
      <c r="G388" s="26">
        <v>32</v>
      </c>
      <c r="H388" s="26">
        <v>3</v>
      </c>
      <c r="I388" s="26">
        <v>21</v>
      </c>
      <c r="J388" s="26">
        <v>14</v>
      </c>
      <c r="K388" s="26">
        <v>11</v>
      </c>
      <c r="L388" s="26"/>
      <c r="M388" s="26">
        <v>6</v>
      </c>
      <c r="N388" s="26"/>
      <c r="O388" s="26">
        <v>27</v>
      </c>
      <c r="P388" s="26">
        <v>2</v>
      </c>
      <c r="Q388" s="70">
        <v>5</v>
      </c>
      <c r="R388" s="26">
        <v>139</v>
      </c>
    </row>
    <row r="389" spans="1:18" x14ac:dyDescent="0.35">
      <c r="A389" s="69">
        <v>42210003</v>
      </c>
      <c r="B389" s="69" t="s">
        <v>1655</v>
      </c>
      <c r="C389" s="69" t="s">
        <v>1656</v>
      </c>
      <c r="D389" s="69">
        <v>9422868404</v>
      </c>
      <c r="E389" s="69" t="s">
        <v>1657</v>
      </c>
      <c r="F389" s="69" t="s">
        <v>2137</v>
      </c>
      <c r="G389" s="26">
        <v>7</v>
      </c>
      <c r="H389" s="26">
        <v>86</v>
      </c>
      <c r="I389" s="26"/>
      <c r="J389" s="26">
        <v>41</v>
      </c>
      <c r="K389" s="26">
        <v>10</v>
      </c>
      <c r="L389" s="26"/>
      <c r="M389" s="26">
        <v>11</v>
      </c>
      <c r="N389" s="26"/>
      <c r="O389" s="26">
        <v>11</v>
      </c>
      <c r="P389" s="26">
        <v>2</v>
      </c>
      <c r="Q389" s="70">
        <v>1</v>
      </c>
      <c r="R389" s="26">
        <v>138</v>
      </c>
    </row>
    <row r="390" spans="1:18" x14ac:dyDescent="0.35">
      <c r="A390" s="69">
        <v>42210004</v>
      </c>
      <c r="B390" s="69" t="s">
        <v>1658</v>
      </c>
      <c r="C390" s="69" t="s">
        <v>1659</v>
      </c>
      <c r="D390" s="69">
        <v>9890089458</v>
      </c>
      <c r="E390" s="69" t="s">
        <v>1660</v>
      </c>
      <c r="F390" s="69" t="s">
        <v>2137</v>
      </c>
      <c r="G390" s="26">
        <v>13</v>
      </c>
      <c r="H390" s="26">
        <v>3</v>
      </c>
      <c r="I390" s="26"/>
      <c r="J390" s="26">
        <v>35</v>
      </c>
      <c r="K390" s="26">
        <v>10</v>
      </c>
      <c r="L390" s="26">
        <v>6</v>
      </c>
      <c r="M390" s="26">
        <v>4</v>
      </c>
      <c r="N390" s="26"/>
      <c r="O390" s="26">
        <v>10</v>
      </c>
      <c r="P390" s="26">
        <v>8</v>
      </c>
      <c r="Q390" s="70">
        <v>2</v>
      </c>
      <c r="R390" s="26">
        <v>138</v>
      </c>
    </row>
    <row r="391" spans="1:18" x14ac:dyDescent="0.35">
      <c r="A391" s="69">
        <v>42210005</v>
      </c>
      <c r="B391" s="69" t="s">
        <v>1661</v>
      </c>
      <c r="C391" s="69" t="s">
        <v>1662</v>
      </c>
      <c r="D391" s="69">
        <v>9423625420</v>
      </c>
      <c r="E391" s="69" t="s">
        <v>1663</v>
      </c>
      <c r="F391" s="69" t="s">
        <v>2137</v>
      </c>
      <c r="G391" s="26">
        <v>18</v>
      </c>
      <c r="H391" s="26">
        <v>5</v>
      </c>
      <c r="I391" s="26">
        <v>48</v>
      </c>
      <c r="J391" s="26">
        <v>44</v>
      </c>
      <c r="K391" s="26">
        <v>15</v>
      </c>
      <c r="L391" s="26"/>
      <c r="M391" s="26">
        <v>28</v>
      </c>
      <c r="N391" s="26">
        <v>11</v>
      </c>
      <c r="O391" s="26">
        <v>13</v>
      </c>
      <c r="P391" s="26">
        <v>4</v>
      </c>
      <c r="Q391" s="70">
        <v>0</v>
      </c>
      <c r="R391" s="26">
        <v>138</v>
      </c>
    </row>
    <row r="392" spans="1:18" x14ac:dyDescent="0.35">
      <c r="A392" s="69">
        <v>42210051</v>
      </c>
      <c r="B392" s="69" t="s">
        <v>1664</v>
      </c>
      <c r="C392" s="69" t="s">
        <v>1665</v>
      </c>
      <c r="D392" s="69">
        <v>9421772689</v>
      </c>
      <c r="E392" s="69" t="s">
        <v>1666</v>
      </c>
      <c r="F392" s="69" t="s">
        <v>2137</v>
      </c>
      <c r="G392" s="26">
        <v>41</v>
      </c>
      <c r="H392" s="26"/>
      <c r="I392" s="26">
        <v>3</v>
      </c>
      <c r="J392" s="26">
        <v>58</v>
      </c>
      <c r="K392" s="26">
        <v>8</v>
      </c>
      <c r="L392" s="26">
        <v>4</v>
      </c>
      <c r="M392" s="26">
        <v>14</v>
      </c>
      <c r="N392" s="26">
        <v>15</v>
      </c>
      <c r="O392" s="26">
        <v>16</v>
      </c>
      <c r="P392" s="26">
        <v>16</v>
      </c>
      <c r="Q392" s="70">
        <v>5</v>
      </c>
      <c r="R392" s="26">
        <v>137</v>
      </c>
    </row>
    <row r="393" spans="1:18" x14ac:dyDescent="0.35">
      <c r="A393" s="69">
        <v>42210082</v>
      </c>
      <c r="B393" s="69" t="s">
        <v>1667</v>
      </c>
      <c r="C393" s="69" t="s">
        <v>1668</v>
      </c>
      <c r="D393" s="69">
        <v>9420042454</v>
      </c>
      <c r="E393" s="69" t="s">
        <v>1669</v>
      </c>
      <c r="F393" s="69" t="s">
        <v>2137</v>
      </c>
      <c r="G393" s="26">
        <v>39</v>
      </c>
      <c r="H393" s="26">
        <v>19</v>
      </c>
      <c r="I393" s="26">
        <v>51</v>
      </c>
      <c r="J393" s="26">
        <v>120</v>
      </c>
      <c r="K393" s="26">
        <v>45</v>
      </c>
      <c r="L393" s="26">
        <v>23</v>
      </c>
      <c r="M393" s="26">
        <v>41</v>
      </c>
      <c r="N393" s="26">
        <v>34</v>
      </c>
      <c r="O393" s="26">
        <v>16</v>
      </c>
      <c r="P393" s="26">
        <v>7</v>
      </c>
      <c r="Q393" s="70">
        <v>18</v>
      </c>
      <c r="R393" s="26">
        <v>137</v>
      </c>
    </row>
    <row r="394" spans="1:18" x14ac:dyDescent="0.35">
      <c r="A394" s="69">
        <v>42210090</v>
      </c>
      <c r="B394" s="69" t="s">
        <v>1670</v>
      </c>
      <c r="C394" s="69" t="s">
        <v>1671</v>
      </c>
      <c r="D394" s="69">
        <v>9881482674</v>
      </c>
      <c r="E394" s="69" t="s">
        <v>1672</v>
      </c>
      <c r="F394" s="69" t="s">
        <v>2137</v>
      </c>
      <c r="G394" s="26"/>
      <c r="H394" s="26">
        <v>24</v>
      </c>
      <c r="I394" s="26"/>
      <c r="J394" s="26">
        <v>42</v>
      </c>
      <c r="K394" s="26"/>
      <c r="L394" s="26"/>
      <c r="M394" s="26">
        <v>0</v>
      </c>
      <c r="N394" s="26"/>
      <c r="O394" s="26">
        <v>0</v>
      </c>
      <c r="P394" s="26">
        <v>0</v>
      </c>
      <c r="Q394" s="70">
        <v>0</v>
      </c>
      <c r="R394" s="26">
        <v>136</v>
      </c>
    </row>
    <row r="395" spans="1:18" x14ac:dyDescent="0.35">
      <c r="A395" s="69">
        <v>42210097</v>
      </c>
      <c r="B395" s="69" t="s">
        <v>1673</v>
      </c>
      <c r="C395" s="69" t="s">
        <v>1674</v>
      </c>
      <c r="D395" s="69">
        <v>9423612774</v>
      </c>
      <c r="E395" s="69" t="s">
        <v>1675</v>
      </c>
      <c r="F395" s="69" t="s">
        <v>2137</v>
      </c>
      <c r="G395" s="26"/>
      <c r="H395" s="26">
        <v>32</v>
      </c>
      <c r="I395" s="26"/>
      <c r="J395" s="26">
        <v>88</v>
      </c>
      <c r="K395" s="26">
        <v>18</v>
      </c>
      <c r="L395" s="26"/>
      <c r="M395" s="26">
        <v>4</v>
      </c>
      <c r="N395" s="26"/>
      <c r="O395" s="26">
        <v>9</v>
      </c>
      <c r="P395" s="26">
        <v>8</v>
      </c>
      <c r="Q395" s="70">
        <v>2</v>
      </c>
      <c r="R395" s="26">
        <v>136</v>
      </c>
    </row>
    <row r="396" spans="1:18" x14ac:dyDescent="0.35">
      <c r="A396" s="69">
        <v>42210113</v>
      </c>
      <c r="B396" s="69" t="s">
        <v>1676</v>
      </c>
      <c r="C396" s="69" t="s">
        <v>1677</v>
      </c>
      <c r="D396" s="69">
        <v>9423647956</v>
      </c>
      <c r="E396" s="69" t="s">
        <v>1678</v>
      </c>
      <c r="F396" s="69" t="s">
        <v>2137</v>
      </c>
      <c r="G396" s="26"/>
      <c r="H396" s="26">
        <v>24</v>
      </c>
      <c r="I396" s="26">
        <v>5</v>
      </c>
      <c r="J396" s="26">
        <v>56</v>
      </c>
      <c r="K396" s="26">
        <v>9</v>
      </c>
      <c r="L396" s="26"/>
      <c r="M396" s="26">
        <v>10</v>
      </c>
      <c r="N396" s="26">
        <v>0</v>
      </c>
      <c r="O396" s="26">
        <v>8</v>
      </c>
      <c r="P396" s="26">
        <v>11</v>
      </c>
      <c r="Q396" s="70">
        <v>2</v>
      </c>
      <c r="R396" s="26">
        <v>136</v>
      </c>
    </row>
    <row r="397" spans="1:18" x14ac:dyDescent="0.35">
      <c r="A397" s="69">
        <v>42210120</v>
      </c>
      <c r="B397" s="69" t="s">
        <v>1679</v>
      </c>
      <c r="C397" s="69" t="s">
        <v>1680</v>
      </c>
      <c r="D397" s="69">
        <v>9890591530</v>
      </c>
      <c r="E397" s="69" t="s">
        <v>1681</v>
      </c>
      <c r="F397" s="69" t="s">
        <v>2137</v>
      </c>
      <c r="G397" s="26"/>
      <c r="H397" s="26"/>
      <c r="I397" s="26"/>
      <c r="J397" s="26">
        <v>150</v>
      </c>
      <c r="K397" s="26"/>
      <c r="L397" s="26">
        <v>19</v>
      </c>
      <c r="M397" s="26">
        <v>16</v>
      </c>
      <c r="N397" s="26">
        <v>26</v>
      </c>
      <c r="O397" s="26">
        <v>20</v>
      </c>
      <c r="P397" s="26">
        <v>0</v>
      </c>
      <c r="Q397" s="70">
        <v>10</v>
      </c>
      <c r="R397" s="26">
        <v>135</v>
      </c>
    </row>
    <row r="398" spans="1:18" x14ac:dyDescent="0.35">
      <c r="A398" s="69">
        <v>42210127</v>
      </c>
      <c r="B398" s="69" t="s">
        <v>1682</v>
      </c>
      <c r="C398" s="69" t="s">
        <v>1683</v>
      </c>
      <c r="D398" s="69">
        <v>9922681323</v>
      </c>
      <c r="E398" s="69" t="s">
        <v>1684</v>
      </c>
      <c r="F398" s="69" t="s">
        <v>2137</v>
      </c>
      <c r="G398" s="26">
        <v>28</v>
      </c>
      <c r="H398" s="26"/>
      <c r="I398" s="26"/>
      <c r="J398" s="26">
        <v>70</v>
      </c>
      <c r="K398" s="26">
        <v>1</v>
      </c>
      <c r="L398" s="26">
        <v>11</v>
      </c>
      <c r="M398" s="26">
        <v>10</v>
      </c>
      <c r="N398" s="26"/>
      <c r="O398" s="26">
        <v>40</v>
      </c>
      <c r="P398" s="26">
        <v>11</v>
      </c>
      <c r="Q398" s="70">
        <v>0</v>
      </c>
      <c r="R398" s="26">
        <v>135</v>
      </c>
    </row>
    <row r="399" spans="1:18" x14ac:dyDescent="0.35">
      <c r="A399" s="69">
        <v>42210129</v>
      </c>
      <c r="B399" s="69" t="s">
        <v>1685</v>
      </c>
      <c r="C399" s="69" t="s">
        <v>1686</v>
      </c>
      <c r="D399" s="69">
        <v>9421702239</v>
      </c>
      <c r="E399" s="69" t="s">
        <v>1687</v>
      </c>
      <c r="F399" s="69" t="s">
        <v>2137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>
        <v>0</v>
      </c>
      <c r="Q399" s="70">
        <v>0</v>
      </c>
      <c r="R399" s="26">
        <v>135</v>
      </c>
    </row>
    <row r="400" spans="1:18" x14ac:dyDescent="0.35">
      <c r="A400" s="69">
        <v>43210001</v>
      </c>
      <c r="B400" s="69" t="s">
        <v>1688</v>
      </c>
      <c r="C400" s="69" t="s">
        <v>1689</v>
      </c>
      <c r="D400" s="69">
        <v>9370412879</v>
      </c>
      <c r="E400" s="69" t="s">
        <v>1690</v>
      </c>
      <c r="F400" s="69" t="s">
        <v>2137</v>
      </c>
      <c r="G400" s="26"/>
      <c r="H400" s="26"/>
      <c r="I400" s="26"/>
      <c r="J400" s="26">
        <v>58</v>
      </c>
      <c r="K400" s="26"/>
      <c r="L400" s="26"/>
      <c r="M400" s="26">
        <v>40</v>
      </c>
      <c r="N400" s="26"/>
      <c r="O400" s="26"/>
      <c r="P400" s="26">
        <v>2</v>
      </c>
      <c r="Q400" s="70">
        <v>0</v>
      </c>
      <c r="R400" s="26">
        <v>135</v>
      </c>
    </row>
    <row r="401" spans="1:18" x14ac:dyDescent="0.35">
      <c r="A401" s="69">
        <v>43210003</v>
      </c>
      <c r="B401" s="69" t="s">
        <v>1691</v>
      </c>
      <c r="C401" s="69" t="s">
        <v>1692</v>
      </c>
      <c r="D401" s="69">
        <v>9881426921</v>
      </c>
      <c r="E401" s="69" t="s">
        <v>1693</v>
      </c>
      <c r="F401" s="69" t="s">
        <v>2137</v>
      </c>
      <c r="G401" s="26">
        <v>54</v>
      </c>
      <c r="H401" s="26"/>
      <c r="I401" s="26"/>
      <c r="J401" s="26">
        <v>122</v>
      </c>
      <c r="K401" s="26">
        <v>20</v>
      </c>
      <c r="L401" s="26"/>
      <c r="M401" s="26">
        <v>15</v>
      </c>
      <c r="N401" s="26">
        <v>0</v>
      </c>
      <c r="O401" s="26">
        <v>18</v>
      </c>
      <c r="P401" s="26">
        <v>7</v>
      </c>
      <c r="Q401" s="70">
        <v>5</v>
      </c>
      <c r="R401" s="26">
        <v>135</v>
      </c>
    </row>
    <row r="402" spans="1:18" x14ac:dyDescent="0.35">
      <c r="A402" s="69">
        <v>43210004</v>
      </c>
      <c r="B402" s="69" t="s">
        <v>1694</v>
      </c>
      <c r="C402" s="69" t="s">
        <v>1695</v>
      </c>
      <c r="D402" s="69">
        <v>9665186733</v>
      </c>
      <c r="E402" s="69" t="s">
        <v>1696</v>
      </c>
      <c r="F402" s="69" t="s">
        <v>2137</v>
      </c>
      <c r="G402" s="26">
        <v>27</v>
      </c>
      <c r="H402" s="26">
        <v>12</v>
      </c>
      <c r="I402" s="26">
        <v>10</v>
      </c>
      <c r="J402" s="26">
        <v>43</v>
      </c>
      <c r="K402" s="26">
        <v>17</v>
      </c>
      <c r="L402" s="26">
        <v>14</v>
      </c>
      <c r="M402" s="26">
        <v>7</v>
      </c>
      <c r="N402" s="26">
        <v>5</v>
      </c>
      <c r="O402" s="26">
        <v>4</v>
      </c>
      <c r="P402" s="26">
        <v>7</v>
      </c>
      <c r="Q402" s="70">
        <v>4</v>
      </c>
      <c r="R402" s="26">
        <v>134</v>
      </c>
    </row>
    <row r="403" spans="1:18" x14ac:dyDescent="0.35">
      <c r="A403" s="69">
        <v>43210006</v>
      </c>
      <c r="B403" s="69" t="s">
        <v>1697</v>
      </c>
      <c r="C403" s="69" t="s">
        <v>1698</v>
      </c>
      <c r="D403" s="69">
        <v>9370111120</v>
      </c>
      <c r="E403" s="69" t="s">
        <v>1699</v>
      </c>
      <c r="F403" s="69" t="s">
        <v>2137</v>
      </c>
      <c r="G403" s="26">
        <v>18</v>
      </c>
      <c r="H403" s="26"/>
      <c r="I403" s="26"/>
      <c r="J403" s="26">
        <v>43</v>
      </c>
      <c r="K403" s="26">
        <v>15</v>
      </c>
      <c r="L403" s="26"/>
      <c r="M403" s="26">
        <v>5</v>
      </c>
      <c r="N403" s="26">
        <v>3</v>
      </c>
      <c r="O403" s="26"/>
      <c r="P403" s="26">
        <v>1</v>
      </c>
      <c r="Q403" s="70">
        <v>0</v>
      </c>
      <c r="R403" s="26">
        <v>134</v>
      </c>
    </row>
    <row r="404" spans="1:18" x14ac:dyDescent="0.35">
      <c r="A404" s="69">
        <v>43210007</v>
      </c>
      <c r="B404" s="69" t="s">
        <v>831</v>
      </c>
      <c r="C404" s="69" t="s">
        <v>1700</v>
      </c>
      <c r="D404" s="69">
        <v>9850083655</v>
      </c>
      <c r="E404" s="69" t="s">
        <v>1701</v>
      </c>
      <c r="F404" s="69" t="s">
        <v>2137</v>
      </c>
      <c r="G404" s="26">
        <v>47</v>
      </c>
      <c r="H404" s="26"/>
      <c r="I404" s="26">
        <v>55</v>
      </c>
      <c r="J404" s="26">
        <v>254</v>
      </c>
      <c r="K404" s="26"/>
      <c r="L404" s="26"/>
      <c r="M404" s="26">
        <v>60</v>
      </c>
      <c r="N404" s="26">
        <v>38</v>
      </c>
      <c r="O404" s="26">
        <v>15</v>
      </c>
      <c r="P404" s="26">
        <v>29</v>
      </c>
      <c r="Q404" s="70">
        <v>30</v>
      </c>
      <c r="R404" s="26">
        <v>134</v>
      </c>
    </row>
    <row r="405" spans="1:18" x14ac:dyDescent="0.35">
      <c r="A405" s="69">
        <v>43210153</v>
      </c>
      <c r="B405" s="69" t="s">
        <v>1702</v>
      </c>
      <c r="C405" s="69" t="s">
        <v>1703</v>
      </c>
      <c r="D405" s="69">
        <v>9028023035</v>
      </c>
      <c r="E405" s="69" t="s">
        <v>1704</v>
      </c>
      <c r="F405" s="69" t="s">
        <v>2137</v>
      </c>
      <c r="G405" s="26"/>
      <c r="H405" s="26"/>
      <c r="I405" s="26"/>
      <c r="J405" s="26">
        <v>9</v>
      </c>
      <c r="K405" s="26"/>
      <c r="L405" s="26"/>
      <c r="M405" s="26"/>
      <c r="N405" s="26">
        <v>0</v>
      </c>
      <c r="O405" s="26">
        <v>2</v>
      </c>
      <c r="P405" s="26">
        <v>0</v>
      </c>
      <c r="Q405" s="70">
        <v>0</v>
      </c>
      <c r="R405" s="26">
        <v>133</v>
      </c>
    </row>
    <row r="406" spans="1:18" x14ac:dyDescent="0.35">
      <c r="A406" s="69">
        <v>43210154</v>
      </c>
      <c r="B406" s="69" t="s">
        <v>1705</v>
      </c>
      <c r="C406" s="69" t="s">
        <v>1706</v>
      </c>
      <c r="D406" s="69">
        <v>9421067900</v>
      </c>
      <c r="E406" s="69" t="s">
        <v>1707</v>
      </c>
      <c r="F406" s="69" t="s">
        <v>2137</v>
      </c>
      <c r="G406" s="26"/>
      <c r="H406" s="26">
        <v>45</v>
      </c>
      <c r="I406" s="26"/>
      <c r="J406" s="26">
        <v>86</v>
      </c>
      <c r="K406" s="26">
        <v>23</v>
      </c>
      <c r="L406" s="26">
        <v>7</v>
      </c>
      <c r="M406" s="26">
        <v>10</v>
      </c>
      <c r="N406" s="26">
        <v>7</v>
      </c>
      <c r="O406" s="26">
        <v>0</v>
      </c>
      <c r="P406" s="26">
        <v>12</v>
      </c>
      <c r="Q406" s="70">
        <v>3</v>
      </c>
      <c r="R406" s="26">
        <v>132</v>
      </c>
    </row>
    <row r="407" spans="1:18" x14ac:dyDescent="0.35">
      <c r="A407" s="69">
        <v>43210217</v>
      </c>
      <c r="B407" s="69" t="s">
        <v>1708</v>
      </c>
      <c r="C407" s="69" t="s">
        <v>1709</v>
      </c>
      <c r="D407" s="69">
        <v>9860646208</v>
      </c>
      <c r="E407" s="69" t="s">
        <v>1710</v>
      </c>
      <c r="F407" s="69" t="s">
        <v>2137</v>
      </c>
      <c r="G407" s="26">
        <v>14</v>
      </c>
      <c r="H407" s="26">
        <v>3</v>
      </c>
      <c r="I407" s="26">
        <v>61</v>
      </c>
      <c r="J407" s="26">
        <v>28</v>
      </c>
      <c r="K407" s="26">
        <v>9</v>
      </c>
      <c r="L407" s="26">
        <v>0</v>
      </c>
      <c r="M407" s="26">
        <v>6</v>
      </c>
      <c r="N407" s="26">
        <v>7</v>
      </c>
      <c r="O407" s="26">
        <v>8</v>
      </c>
      <c r="P407" s="26">
        <v>5</v>
      </c>
      <c r="Q407" s="70">
        <v>26</v>
      </c>
      <c r="R407" s="26">
        <v>132</v>
      </c>
    </row>
    <row r="408" spans="1:18" x14ac:dyDescent="0.35">
      <c r="A408" s="69">
        <v>43210250</v>
      </c>
      <c r="B408" s="69" t="s">
        <v>1711</v>
      </c>
      <c r="C408" s="69" t="s">
        <v>1712</v>
      </c>
      <c r="D408" s="69">
        <v>8446328050</v>
      </c>
      <c r="E408" s="69" t="s">
        <v>1713</v>
      </c>
      <c r="F408" s="69" t="s">
        <v>2137</v>
      </c>
      <c r="G408" s="26">
        <v>15</v>
      </c>
      <c r="H408" s="26">
        <v>3</v>
      </c>
      <c r="I408" s="26">
        <v>15</v>
      </c>
      <c r="J408" s="26">
        <v>24</v>
      </c>
      <c r="K408" s="26">
        <v>6</v>
      </c>
      <c r="L408" s="26">
        <v>3</v>
      </c>
      <c r="M408" s="26">
        <v>29</v>
      </c>
      <c r="N408" s="26">
        <v>7</v>
      </c>
      <c r="O408" s="26">
        <v>4</v>
      </c>
      <c r="P408" s="26">
        <v>10</v>
      </c>
      <c r="Q408" s="70">
        <v>48</v>
      </c>
      <c r="R408" s="26">
        <v>132</v>
      </c>
    </row>
    <row r="409" spans="1:18" x14ac:dyDescent="0.35">
      <c r="A409" s="69">
        <v>43210256</v>
      </c>
      <c r="B409" s="69" t="s">
        <v>1714</v>
      </c>
      <c r="C409" s="69" t="s">
        <v>1715</v>
      </c>
      <c r="D409" s="69">
        <v>9890959248</v>
      </c>
      <c r="E409" s="69" t="s">
        <v>1716</v>
      </c>
      <c r="F409" s="69" t="s">
        <v>2137</v>
      </c>
      <c r="G409" s="26"/>
      <c r="H409" s="26">
        <v>5</v>
      </c>
      <c r="I409" s="26"/>
      <c r="J409" s="26">
        <v>13</v>
      </c>
      <c r="K409" s="26"/>
      <c r="L409" s="26"/>
      <c r="M409" s="26">
        <v>1</v>
      </c>
      <c r="N409" s="26"/>
      <c r="O409" s="26">
        <v>3</v>
      </c>
      <c r="P409" s="26">
        <v>0</v>
      </c>
      <c r="Q409" s="70">
        <v>30</v>
      </c>
      <c r="R409" s="26">
        <v>131</v>
      </c>
    </row>
    <row r="410" spans="1:18" x14ac:dyDescent="0.35">
      <c r="A410" s="69">
        <v>43210260</v>
      </c>
      <c r="B410" s="69" t="s">
        <v>1717</v>
      </c>
      <c r="C410" s="69" t="s">
        <v>1718</v>
      </c>
      <c r="D410" s="69">
        <v>9890246043</v>
      </c>
      <c r="E410" s="69" t="s">
        <v>1719</v>
      </c>
      <c r="F410" s="69" t="s">
        <v>2137</v>
      </c>
      <c r="G410" s="26">
        <v>3</v>
      </c>
      <c r="H410" s="26"/>
      <c r="I410" s="26"/>
      <c r="J410" s="26">
        <v>57</v>
      </c>
      <c r="K410" s="26">
        <v>3</v>
      </c>
      <c r="L410" s="26"/>
      <c r="M410" s="26">
        <v>5</v>
      </c>
      <c r="N410" s="26">
        <v>7</v>
      </c>
      <c r="O410" s="26"/>
      <c r="P410" s="26">
        <v>5</v>
      </c>
      <c r="Q410" s="70">
        <v>22</v>
      </c>
      <c r="R410" s="26">
        <v>131</v>
      </c>
    </row>
    <row r="411" spans="1:18" x14ac:dyDescent="0.35">
      <c r="A411" s="69">
        <v>43210264</v>
      </c>
      <c r="B411" s="69" t="s">
        <v>1720</v>
      </c>
      <c r="C411" s="69" t="s">
        <v>1721</v>
      </c>
      <c r="D411" s="69">
        <v>9405240400</v>
      </c>
      <c r="E411" s="69" t="s">
        <v>1722</v>
      </c>
      <c r="F411" s="69" t="s">
        <v>2137</v>
      </c>
      <c r="G411" s="26">
        <v>20</v>
      </c>
      <c r="H411" s="26"/>
      <c r="I411" s="26"/>
      <c r="J411" s="26">
        <v>72</v>
      </c>
      <c r="K411" s="26"/>
      <c r="L411" s="26"/>
      <c r="M411" s="26">
        <v>9</v>
      </c>
      <c r="N411" s="26"/>
      <c r="O411" s="26"/>
      <c r="P411" s="26">
        <v>10</v>
      </c>
      <c r="Q411" s="70">
        <v>10</v>
      </c>
      <c r="R411" s="26">
        <v>130</v>
      </c>
    </row>
    <row r="412" spans="1:18" x14ac:dyDescent="0.35">
      <c r="A412" s="69">
        <v>44210002</v>
      </c>
      <c r="B412" s="69" t="s">
        <v>1723</v>
      </c>
      <c r="C412" s="69" t="s">
        <v>1724</v>
      </c>
      <c r="D412" s="69">
        <v>9595153997</v>
      </c>
      <c r="E412" s="69" t="s">
        <v>1725</v>
      </c>
      <c r="F412" s="69" t="s">
        <v>2137</v>
      </c>
      <c r="G412" s="26">
        <v>29</v>
      </c>
      <c r="H412" s="26">
        <v>12</v>
      </c>
      <c r="I412" s="26">
        <v>62</v>
      </c>
      <c r="J412" s="26">
        <v>68</v>
      </c>
      <c r="K412" s="26">
        <v>42</v>
      </c>
      <c r="L412" s="26"/>
      <c r="M412" s="26">
        <v>21</v>
      </c>
      <c r="N412" s="26">
        <v>8</v>
      </c>
      <c r="O412" s="26">
        <v>10</v>
      </c>
      <c r="P412" s="26">
        <v>18</v>
      </c>
      <c r="Q412" s="70">
        <v>5</v>
      </c>
      <c r="R412" s="26">
        <v>130</v>
      </c>
    </row>
    <row r="413" spans="1:18" x14ac:dyDescent="0.35">
      <c r="A413" s="69">
        <v>44210020</v>
      </c>
      <c r="B413" s="69" t="s">
        <v>1727</v>
      </c>
      <c r="C413" s="69" t="s">
        <v>1728</v>
      </c>
      <c r="D413" s="69">
        <v>9822456743</v>
      </c>
      <c r="E413" s="69" t="s">
        <v>1729</v>
      </c>
      <c r="F413" s="69" t="s">
        <v>2137</v>
      </c>
      <c r="G413" s="26">
        <v>23</v>
      </c>
      <c r="H413" s="26">
        <v>28</v>
      </c>
      <c r="I413" s="26">
        <v>31</v>
      </c>
      <c r="J413" s="26">
        <v>56</v>
      </c>
      <c r="K413" s="26">
        <v>45</v>
      </c>
      <c r="L413" s="26">
        <v>30</v>
      </c>
      <c r="M413" s="26">
        <v>20</v>
      </c>
      <c r="N413" s="26">
        <v>12</v>
      </c>
      <c r="O413" s="26">
        <v>28</v>
      </c>
      <c r="P413" s="26">
        <v>22</v>
      </c>
      <c r="Q413" s="70">
        <v>13</v>
      </c>
      <c r="R413" s="26">
        <v>130</v>
      </c>
    </row>
    <row r="414" spans="1:18" x14ac:dyDescent="0.35">
      <c r="A414" s="69">
        <v>44210022</v>
      </c>
      <c r="B414" s="69" t="s">
        <v>1730</v>
      </c>
      <c r="C414" s="69" t="s">
        <v>1731</v>
      </c>
      <c r="D414" s="69">
        <v>9420620523</v>
      </c>
      <c r="E414" s="69" t="s">
        <v>1732</v>
      </c>
      <c r="F414" s="69" t="s">
        <v>2137</v>
      </c>
      <c r="G414" s="26">
        <v>42</v>
      </c>
      <c r="H414" s="26">
        <v>18</v>
      </c>
      <c r="I414" s="26">
        <v>49</v>
      </c>
      <c r="J414" s="26">
        <v>230</v>
      </c>
      <c r="K414" s="26">
        <v>87</v>
      </c>
      <c r="L414" s="26">
        <v>27</v>
      </c>
      <c r="M414" s="26">
        <v>10</v>
      </c>
      <c r="N414" s="26">
        <v>14</v>
      </c>
      <c r="O414" s="26">
        <v>35</v>
      </c>
      <c r="P414" s="26">
        <v>14</v>
      </c>
      <c r="Q414" s="70">
        <v>14</v>
      </c>
      <c r="R414" s="26">
        <v>129</v>
      </c>
    </row>
    <row r="415" spans="1:18" x14ac:dyDescent="0.35">
      <c r="A415" s="69">
        <v>44210027</v>
      </c>
      <c r="B415" s="69" t="s">
        <v>1733</v>
      </c>
      <c r="C415" s="69" t="s">
        <v>1734</v>
      </c>
      <c r="D415" s="69">
        <v>9923860262</v>
      </c>
      <c r="E415" s="69" t="s">
        <v>1735</v>
      </c>
      <c r="F415" s="69" t="s">
        <v>2137</v>
      </c>
      <c r="G415" s="26">
        <v>15</v>
      </c>
      <c r="H415" s="26">
        <v>6</v>
      </c>
      <c r="I415" s="26"/>
      <c r="J415" s="26">
        <v>78</v>
      </c>
      <c r="K415" s="26">
        <v>33</v>
      </c>
      <c r="L415" s="26"/>
      <c r="M415" s="26">
        <v>10</v>
      </c>
      <c r="N415" s="26">
        <v>5</v>
      </c>
      <c r="O415" s="26">
        <v>10</v>
      </c>
      <c r="P415" s="26">
        <v>14</v>
      </c>
      <c r="Q415" s="70">
        <v>11</v>
      </c>
      <c r="R415" s="26">
        <v>129</v>
      </c>
    </row>
    <row r="416" spans="1:18" x14ac:dyDescent="0.35">
      <c r="A416" s="69">
        <v>44210028</v>
      </c>
      <c r="B416" s="69" t="s">
        <v>1736</v>
      </c>
      <c r="C416" s="69" t="s">
        <v>1737</v>
      </c>
      <c r="D416" s="69">
        <v>9823211954</v>
      </c>
      <c r="E416" s="69" t="s">
        <v>1738</v>
      </c>
      <c r="F416" s="69" t="s">
        <v>2137</v>
      </c>
      <c r="G416" s="26">
        <v>11</v>
      </c>
      <c r="H416" s="26"/>
      <c r="I416" s="26">
        <v>5</v>
      </c>
      <c r="J416" s="26">
        <v>84</v>
      </c>
      <c r="K416" s="26"/>
      <c r="L416" s="26">
        <v>15</v>
      </c>
      <c r="M416" s="26">
        <v>4</v>
      </c>
      <c r="N416" s="26"/>
      <c r="O416" s="26">
        <v>8</v>
      </c>
      <c r="P416" s="26">
        <v>4</v>
      </c>
      <c r="Q416" s="70">
        <v>0</v>
      </c>
      <c r="R416" s="26">
        <v>129</v>
      </c>
    </row>
    <row r="417" spans="1:18" x14ac:dyDescent="0.35">
      <c r="A417" s="69">
        <v>44210033</v>
      </c>
      <c r="B417" s="69" t="s">
        <v>1739</v>
      </c>
      <c r="C417" s="69" t="s">
        <v>1740</v>
      </c>
      <c r="D417" s="69">
        <v>9420515193</v>
      </c>
      <c r="E417" s="69" t="s">
        <v>1741</v>
      </c>
      <c r="F417" s="69" t="s">
        <v>2137</v>
      </c>
      <c r="G417" s="26">
        <v>29</v>
      </c>
      <c r="H417" s="26">
        <v>8</v>
      </c>
      <c r="I417" s="26">
        <v>21</v>
      </c>
      <c r="J417" s="26">
        <v>39</v>
      </c>
      <c r="K417" s="26">
        <v>2</v>
      </c>
      <c r="L417" s="26">
        <v>5</v>
      </c>
      <c r="M417" s="26">
        <v>10</v>
      </c>
      <c r="N417" s="26"/>
      <c r="O417" s="26">
        <v>7</v>
      </c>
      <c r="P417" s="26">
        <v>5</v>
      </c>
      <c r="Q417" s="70">
        <v>3</v>
      </c>
      <c r="R417" s="26">
        <v>128</v>
      </c>
    </row>
    <row r="418" spans="1:18" x14ac:dyDescent="0.35">
      <c r="A418" s="69">
        <v>44210039</v>
      </c>
      <c r="B418" s="69" t="s">
        <v>1742</v>
      </c>
      <c r="C418" s="69" t="s">
        <v>1743</v>
      </c>
      <c r="D418" s="69">
        <v>9273302788</v>
      </c>
      <c r="E418" s="69" t="s">
        <v>1744</v>
      </c>
      <c r="F418" s="69" t="s">
        <v>2137</v>
      </c>
      <c r="G418" s="26">
        <v>7</v>
      </c>
      <c r="H418" s="26"/>
      <c r="I418" s="26"/>
      <c r="J418" s="26">
        <v>44</v>
      </c>
      <c r="K418" s="26">
        <v>11</v>
      </c>
      <c r="L418" s="26">
        <v>4</v>
      </c>
      <c r="M418" s="26">
        <v>3</v>
      </c>
      <c r="N418" s="26">
        <v>4</v>
      </c>
      <c r="O418" s="26">
        <v>2</v>
      </c>
      <c r="P418" s="26">
        <v>7</v>
      </c>
      <c r="Q418" s="70">
        <v>0</v>
      </c>
      <c r="R418" s="26">
        <v>128</v>
      </c>
    </row>
    <row r="419" spans="1:18" x14ac:dyDescent="0.35">
      <c r="A419" s="69">
        <v>44210041</v>
      </c>
      <c r="B419" s="69" t="s">
        <v>1745</v>
      </c>
      <c r="C419" s="69" t="s">
        <v>1746</v>
      </c>
      <c r="D419" s="69">
        <v>9423415828</v>
      </c>
      <c r="E419" s="69" t="s">
        <v>1747</v>
      </c>
      <c r="F419" s="69" t="s">
        <v>2137</v>
      </c>
      <c r="G419" s="26">
        <v>61</v>
      </c>
      <c r="H419" s="26">
        <v>4</v>
      </c>
      <c r="I419" s="26">
        <v>52</v>
      </c>
      <c r="J419" s="26">
        <v>76</v>
      </c>
      <c r="K419" s="26">
        <v>51</v>
      </c>
      <c r="L419" s="26">
        <v>20</v>
      </c>
      <c r="M419" s="26">
        <v>11</v>
      </c>
      <c r="N419" s="26">
        <v>19</v>
      </c>
      <c r="O419" s="26">
        <v>65</v>
      </c>
      <c r="P419" s="26">
        <v>15</v>
      </c>
      <c r="Q419" s="70">
        <v>23</v>
      </c>
      <c r="R419" s="26">
        <v>128</v>
      </c>
    </row>
    <row r="420" spans="1:18" x14ac:dyDescent="0.35">
      <c r="A420" s="69">
        <v>44210050</v>
      </c>
      <c r="B420" s="69" t="s">
        <v>1748</v>
      </c>
      <c r="C420" s="69" t="s">
        <v>1749</v>
      </c>
      <c r="D420" s="69">
        <v>9923774019</v>
      </c>
      <c r="E420" s="69" t="s">
        <v>1750</v>
      </c>
      <c r="F420" s="69" t="s">
        <v>2137</v>
      </c>
      <c r="G420" s="26">
        <v>33</v>
      </c>
      <c r="H420" s="26">
        <v>4</v>
      </c>
      <c r="I420" s="26">
        <v>31</v>
      </c>
      <c r="J420" s="26">
        <v>44</v>
      </c>
      <c r="K420" s="26">
        <v>14</v>
      </c>
      <c r="L420" s="26"/>
      <c r="M420" s="26">
        <v>17</v>
      </c>
      <c r="N420" s="26">
        <v>10</v>
      </c>
      <c r="O420" s="26">
        <v>9</v>
      </c>
      <c r="P420" s="26">
        <v>18</v>
      </c>
      <c r="Q420" s="70">
        <v>22</v>
      </c>
      <c r="R420" s="26">
        <v>128</v>
      </c>
    </row>
    <row r="421" spans="1:18" x14ac:dyDescent="0.35">
      <c r="A421" s="69">
        <v>44210059</v>
      </c>
      <c r="B421" s="69" t="s">
        <v>1751</v>
      </c>
      <c r="C421" s="69" t="s">
        <v>1752</v>
      </c>
      <c r="D421" s="69">
        <v>9422133368</v>
      </c>
      <c r="E421" s="69" t="s">
        <v>1753</v>
      </c>
      <c r="F421" s="69" t="s">
        <v>2137</v>
      </c>
      <c r="G421" s="26">
        <v>12</v>
      </c>
      <c r="H421" s="26"/>
      <c r="I421" s="26"/>
      <c r="J421" s="26">
        <v>90</v>
      </c>
      <c r="K421" s="26"/>
      <c r="L421" s="26">
        <v>39</v>
      </c>
      <c r="M421" s="26"/>
      <c r="N421" s="26">
        <v>20</v>
      </c>
      <c r="O421" s="26"/>
      <c r="P421" s="26">
        <v>7</v>
      </c>
      <c r="Q421" s="70">
        <v>3</v>
      </c>
      <c r="R421" s="26">
        <v>127</v>
      </c>
    </row>
    <row r="422" spans="1:18" x14ac:dyDescent="0.35">
      <c r="A422" s="69">
        <v>44210065</v>
      </c>
      <c r="B422" s="69" t="s">
        <v>1754</v>
      </c>
      <c r="C422" s="69" t="s">
        <v>1755</v>
      </c>
      <c r="D422" s="69">
        <v>9850318693</v>
      </c>
      <c r="E422" s="69" t="s">
        <v>1756</v>
      </c>
      <c r="F422" s="69" t="s">
        <v>2137</v>
      </c>
      <c r="G422" s="26">
        <v>40</v>
      </c>
      <c r="H422" s="26">
        <v>6</v>
      </c>
      <c r="I422" s="26">
        <v>50</v>
      </c>
      <c r="J422" s="26">
        <v>64</v>
      </c>
      <c r="K422" s="26">
        <v>36</v>
      </c>
      <c r="L422" s="26"/>
      <c r="M422" s="26">
        <v>15</v>
      </c>
      <c r="N422" s="26">
        <v>3</v>
      </c>
      <c r="O422" s="26">
        <v>19</v>
      </c>
      <c r="P422" s="26">
        <v>21</v>
      </c>
      <c r="Q422" s="70">
        <v>4</v>
      </c>
      <c r="R422" s="26">
        <v>127</v>
      </c>
    </row>
    <row r="423" spans="1:18" x14ac:dyDescent="0.35">
      <c r="A423" s="69">
        <v>44210069</v>
      </c>
      <c r="B423" s="69" t="s">
        <v>1757</v>
      </c>
      <c r="C423" s="69" t="s">
        <v>1758</v>
      </c>
      <c r="D423" s="69">
        <v>9422816495</v>
      </c>
      <c r="E423" s="69" t="s">
        <v>1759</v>
      </c>
      <c r="F423" s="69" t="s">
        <v>2137</v>
      </c>
      <c r="G423" s="26">
        <v>15</v>
      </c>
      <c r="H423" s="26">
        <v>4</v>
      </c>
      <c r="I423" s="26"/>
      <c r="J423" s="26">
        <v>38</v>
      </c>
      <c r="K423" s="26">
        <v>18</v>
      </c>
      <c r="L423" s="26">
        <v>0</v>
      </c>
      <c r="M423" s="26">
        <v>0</v>
      </c>
      <c r="N423" s="26">
        <v>16</v>
      </c>
      <c r="O423" s="26">
        <v>0</v>
      </c>
      <c r="P423" s="26">
        <v>6</v>
      </c>
      <c r="Q423" s="70">
        <v>3</v>
      </c>
      <c r="R423" s="26">
        <v>127</v>
      </c>
    </row>
    <row r="424" spans="1:18" x14ac:dyDescent="0.35">
      <c r="A424" s="69">
        <v>44210071</v>
      </c>
      <c r="B424" s="69" t="s">
        <v>1760</v>
      </c>
      <c r="C424" s="69" t="s">
        <v>1761</v>
      </c>
      <c r="D424" s="69">
        <v>8055049667</v>
      </c>
      <c r="E424" s="69" t="s">
        <v>1762</v>
      </c>
      <c r="F424" s="69" t="s">
        <v>2137</v>
      </c>
      <c r="G424" s="26"/>
      <c r="H424" s="26">
        <v>13</v>
      </c>
      <c r="I424" s="26"/>
      <c r="J424" s="26">
        <v>55</v>
      </c>
      <c r="K424" s="26">
        <v>9</v>
      </c>
      <c r="L424" s="26">
        <v>4</v>
      </c>
      <c r="M424" s="26"/>
      <c r="N424" s="26">
        <v>4</v>
      </c>
      <c r="O424" s="26">
        <v>10</v>
      </c>
      <c r="P424" s="26">
        <v>0</v>
      </c>
      <c r="Q424" s="70">
        <v>0</v>
      </c>
      <c r="R424" s="26">
        <v>127</v>
      </c>
    </row>
    <row r="425" spans="1:18" x14ac:dyDescent="0.35">
      <c r="A425" s="69">
        <v>44210083</v>
      </c>
      <c r="B425" s="69" t="s">
        <v>1763</v>
      </c>
      <c r="C425" s="69" t="s">
        <v>1764</v>
      </c>
      <c r="D425" s="69">
        <v>9370009321</v>
      </c>
      <c r="E425" s="69" t="s">
        <v>1765</v>
      </c>
      <c r="F425" s="69" t="s">
        <v>2137</v>
      </c>
      <c r="G425" s="26">
        <v>53</v>
      </c>
      <c r="H425" s="26">
        <v>27</v>
      </c>
      <c r="I425" s="26">
        <v>51</v>
      </c>
      <c r="J425" s="26">
        <v>135</v>
      </c>
      <c r="K425" s="26">
        <v>54</v>
      </c>
      <c r="L425" s="26">
        <v>20</v>
      </c>
      <c r="M425" s="26">
        <v>17</v>
      </c>
      <c r="N425" s="26">
        <v>14</v>
      </c>
      <c r="O425" s="26">
        <v>37</v>
      </c>
      <c r="P425" s="26">
        <v>58</v>
      </c>
      <c r="Q425" s="70">
        <v>5</v>
      </c>
      <c r="R425" s="26">
        <v>125</v>
      </c>
    </row>
    <row r="426" spans="1:18" x14ac:dyDescent="0.35">
      <c r="A426" s="69">
        <v>44210089</v>
      </c>
      <c r="B426" s="69" t="s">
        <v>1766</v>
      </c>
      <c r="C426" s="69" t="s">
        <v>1767</v>
      </c>
      <c r="D426" s="69">
        <v>9422147769</v>
      </c>
      <c r="E426" s="69" t="s">
        <v>1768</v>
      </c>
      <c r="F426" s="69" t="s">
        <v>2137</v>
      </c>
      <c r="G426" s="26"/>
      <c r="H426" s="26"/>
      <c r="I426" s="26"/>
      <c r="J426" s="26"/>
      <c r="K426" s="26"/>
      <c r="L426" s="26"/>
      <c r="M426" s="26"/>
      <c r="N426" s="26"/>
      <c r="O426" s="26"/>
      <c r="P426" s="26">
        <v>0</v>
      </c>
      <c r="Q426" s="70">
        <v>0</v>
      </c>
      <c r="R426" s="26">
        <v>125</v>
      </c>
    </row>
    <row r="427" spans="1:18" x14ac:dyDescent="0.35">
      <c r="A427" s="69">
        <v>44210090</v>
      </c>
      <c r="B427" s="69" t="s">
        <v>1769</v>
      </c>
      <c r="C427" s="69" t="s">
        <v>1770</v>
      </c>
      <c r="D427" s="69">
        <v>9423415828</v>
      </c>
      <c r="E427" s="69" t="s">
        <v>1771</v>
      </c>
      <c r="F427" s="69" t="s">
        <v>2137</v>
      </c>
      <c r="G427" s="26">
        <v>2</v>
      </c>
      <c r="H427" s="26"/>
      <c r="I427" s="26"/>
      <c r="J427" s="26"/>
      <c r="K427" s="26">
        <v>10</v>
      </c>
      <c r="L427" s="26"/>
      <c r="M427" s="26">
        <v>21</v>
      </c>
      <c r="N427" s="26">
        <v>3</v>
      </c>
      <c r="O427" s="26">
        <v>7</v>
      </c>
      <c r="P427" s="26">
        <v>0</v>
      </c>
      <c r="Q427" s="70">
        <v>4</v>
      </c>
      <c r="R427" s="26">
        <v>124</v>
      </c>
    </row>
    <row r="428" spans="1:18" x14ac:dyDescent="0.35">
      <c r="A428" s="69">
        <v>44210095</v>
      </c>
      <c r="B428" s="69" t="s">
        <v>1772</v>
      </c>
      <c r="C428" s="69" t="s">
        <v>1773</v>
      </c>
      <c r="D428" s="69">
        <v>9404842332</v>
      </c>
      <c r="E428" s="69" t="s">
        <v>1774</v>
      </c>
      <c r="F428" s="69" t="s">
        <v>2137</v>
      </c>
      <c r="G428" s="26">
        <v>9</v>
      </c>
      <c r="H428" s="26">
        <v>2</v>
      </c>
      <c r="I428" s="26"/>
      <c r="J428" s="26">
        <v>42</v>
      </c>
      <c r="K428" s="26">
        <v>3</v>
      </c>
      <c r="L428" s="26">
        <v>4</v>
      </c>
      <c r="M428" s="26">
        <v>7</v>
      </c>
      <c r="N428" s="26">
        <v>3</v>
      </c>
      <c r="O428" s="26">
        <v>8</v>
      </c>
      <c r="P428" s="26">
        <v>10</v>
      </c>
      <c r="Q428" s="70">
        <v>3</v>
      </c>
      <c r="R428" s="26">
        <v>124</v>
      </c>
    </row>
    <row r="429" spans="1:18" x14ac:dyDescent="0.35">
      <c r="A429" s="69">
        <v>44210097</v>
      </c>
      <c r="B429" s="69" t="s">
        <v>1775</v>
      </c>
      <c r="C429" s="69" t="s">
        <v>1776</v>
      </c>
      <c r="D429" s="69">
        <v>9423514046</v>
      </c>
      <c r="E429" s="69" t="s">
        <v>1777</v>
      </c>
      <c r="F429" s="69" t="s">
        <v>2137</v>
      </c>
      <c r="G429" s="26">
        <v>17</v>
      </c>
      <c r="H429" s="26"/>
      <c r="I429" s="26">
        <v>71</v>
      </c>
      <c r="J429" s="26"/>
      <c r="K429" s="26">
        <v>31</v>
      </c>
      <c r="L429" s="26"/>
      <c r="M429" s="26">
        <v>22</v>
      </c>
      <c r="N429" s="26"/>
      <c r="O429" s="26">
        <v>22</v>
      </c>
      <c r="P429" s="26">
        <v>13</v>
      </c>
      <c r="Q429" s="70">
        <v>7</v>
      </c>
      <c r="R429" s="26">
        <v>124</v>
      </c>
    </row>
    <row r="430" spans="1:18" x14ac:dyDescent="0.35">
      <c r="A430" s="69">
        <v>44210105</v>
      </c>
      <c r="B430" s="69" t="s">
        <v>1778</v>
      </c>
      <c r="C430" s="69" t="s">
        <v>1779</v>
      </c>
      <c r="D430" s="69">
        <v>9423376602</v>
      </c>
      <c r="E430" s="69" t="s">
        <v>1780</v>
      </c>
      <c r="F430" s="69" t="s">
        <v>2137</v>
      </c>
      <c r="G430" s="26"/>
      <c r="H430" s="26">
        <v>10</v>
      </c>
      <c r="I430" s="26">
        <v>15</v>
      </c>
      <c r="J430" s="26">
        <v>42</v>
      </c>
      <c r="K430" s="26">
        <v>10</v>
      </c>
      <c r="L430" s="26">
        <v>11</v>
      </c>
      <c r="M430" s="26">
        <v>7</v>
      </c>
      <c r="N430" s="26"/>
      <c r="O430" s="26">
        <v>7</v>
      </c>
      <c r="P430" s="26">
        <v>12</v>
      </c>
      <c r="Q430" s="70">
        <v>7</v>
      </c>
      <c r="R430" s="26">
        <v>123</v>
      </c>
    </row>
    <row r="431" spans="1:18" x14ac:dyDescent="0.35">
      <c r="A431" s="69">
        <v>44210106</v>
      </c>
      <c r="B431" s="69" t="s">
        <v>1781</v>
      </c>
      <c r="C431" s="69" t="s">
        <v>1782</v>
      </c>
      <c r="D431" s="69">
        <v>9923860300</v>
      </c>
      <c r="E431" s="69" t="s">
        <v>1783</v>
      </c>
      <c r="F431" s="69" t="s">
        <v>2137</v>
      </c>
      <c r="G431" s="26">
        <v>21</v>
      </c>
      <c r="H431" s="26">
        <v>5</v>
      </c>
      <c r="I431" s="26">
        <v>7</v>
      </c>
      <c r="J431" s="26">
        <v>105</v>
      </c>
      <c r="K431" s="26">
        <v>16</v>
      </c>
      <c r="L431" s="26"/>
      <c r="M431" s="26">
        <v>8</v>
      </c>
      <c r="N431" s="26">
        <v>6</v>
      </c>
      <c r="O431" s="26">
        <v>14</v>
      </c>
      <c r="P431" s="26">
        <v>3</v>
      </c>
      <c r="Q431" s="70">
        <v>5</v>
      </c>
      <c r="R431" s="26">
        <v>123</v>
      </c>
    </row>
    <row r="432" spans="1:18" x14ac:dyDescent="0.35">
      <c r="A432" s="69">
        <v>45210007</v>
      </c>
      <c r="B432" s="69" t="s">
        <v>1784</v>
      </c>
      <c r="C432" s="69" t="s">
        <v>1785</v>
      </c>
      <c r="D432" s="69">
        <v>9860685556</v>
      </c>
      <c r="E432" s="69" t="s">
        <v>1786</v>
      </c>
      <c r="F432" s="69" t="s">
        <v>2137</v>
      </c>
      <c r="G432" s="26">
        <v>9</v>
      </c>
      <c r="H432" s="26"/>
      <c r="I432" s="26">
        <v>41</v>
      </c>
      <c r="J432" s="26">
        <v>37</v>
      </c>
      <c r="K432" s="26">
        <v>10</v>
      </c>
      <c r="L432" s="26">
        <v>6</v>
      </c>
      <c r="M432" s="26">
        <v>8</v>
      </c>
      <c r="N432" s="26">
        <v>5</v>
      </c>
      <c r="O432" s="26">
        <v>3</v>
      </c>
      <c r="P432" s="26">
        <v>2</v>
      </c>
      <c r="Q432" s="70">
        <v>2</v>
      </c>
      <c r="R432" s="26">
        <v>122</v>
      </c>
    </row>
    <row r="433" spans="1:18" x14ac:dyDescent="0.35">
      <c r="A433" s="69">
        <v>45210008</v>
      </c>
      <c r="B433" s="69" t="s">
        <v>1788</v>
      </c>
      <c r="C433" s="69" t="s">
        <v>1789</v>
      </c>
      <c r="D433" s="69">
        <v>9423720543</v>
      </c>
      <c r="E433" s="69" t="s">
        <v>1790</v>
      </c>
      <c r="F433" s="69" t="s">
        <v>2137</v>
      </c>
      <c r="G433" s="26"/>
      <c r="H433" s="26">
        <v>20</v>
      </c>
      <c r="I433" s="26">
        <v>60</v>
      </c>
      <c r="J433" s="26">
        <v>54</v>
      </c>
      <c r="K433" s="26">
        <v>10</v>
      </c>
      <c r="L433" s="26"/>
      <c r="M433" s="26"/>
      <c r="N433" s="26">
        <v>11</v>
      </c>
      <c r="O433" s="26"/>
      <c r="P433" s="26">
        <v>2</v>
      </c>
      <c r="Q433" s="70">
        <v>6</v>
      </c>
      <c r="R433" s="26">
        <v>122</v>
      </c>
    </row>
    <row r="434" spans="1:18" x14ac:dyDescent="0.35">
      <c r="A434" s="69">
        <v>45210088</v>
      </c>
      <c r="B434" s="69" t="s">
        <v>1791</v>
      </c>
      <c r="C434" s="69" t="s">
        <v>1792</v>
      </c>
      <c r="D434" s="69">
        <v>9890487205</v>
      </c>
      <c r="E434" s="69" t="s">
        <v>1793</v>
      </c>
      <c r="F434" s="69" t="s">
        <v>2137</v>
      </c>
      <c r="G434" s="26">
        <v>26</v>
      </c>
      <c r="H434" s="26">
        <v>10</v>
      </c>
      <c r="I434" s="26">
        <v>52</v>
      </c>
      <c r="J434" s="26">
        <v>70</v>
      </c>
      <c r="K434" s="26">
        <v>22</v>
      </c>
      <c r="L434" s="26">
        <v>4</v>
      </c>
      <c r="M434" s="26">
        <v>12</v>
      </c>
      <c r="N434" s="26">
        <v>4</v>
      </c>
      <c r="O434" s="26">
        <v>2</v>
      </c>
      <c r="P434" s="26">
        <v>32</v>
      </c>
      <c r="Q434" s="70">
        <v>9</v>
      </c>
      <c r="R434" s="26">
        <v>122</v>
      </c>
    </row>
    <row r="435" spans="1:18" x14ac:dyDescent="0.35">
      <c r="A435" s="69">
        <v>45210112</v>
      </c>
      <c r="B435" s="69" t="s">
        <v>1794</v>
      </c>
      <c r="C435" s="69" t="s">
        <v>1795</v>
      </c>
      <c r="D435" s="69">
        <v>9270212610</v>
      </c>
      <c r="E435" s="69" t="s">
        <v>1796</v>
      </c>
      <c r="F435" s="69" t="s">
        <v>2137</v>
      </c>
      <c r="G435" s="26">
        <v>12</v>
      </c>
      <c r="H435" s="26">
        <v>12</v>
      </c>
      <c r="I435" s="26">
        <v>51</v>
      </c>
      <c r="J435" s="26">
        <v>60</v>
      </c>
      <c r="K435" s="26">
        <v>23</v>
      </c>
      <c r="L435" s="26">
        <v>20</v>
      </c>
      <c r="M435" s="26">
        <v>14</v>
      </c>
      <c r="N435" s="26">
        <v>15</v>
      </c>
      <c r="O435" s="26">
        <v>5</v>
      </c>
      <c r="P435" s="26">
        <v>5</v>
      </c>
      <c r="Q435" s="70">
        <v>0</v>
      </c>
      <c r="R435" s="26">
        <v>122</v>
      </c>
    </row>
    <row r="436" spans="1:18" x14ac:dyDescent="0.35">
      <c r="A436" s="69">
        <v>45210145</v>
      </c>
      <c r="B436" s="69" t="s">
        <v>1797</v>
      </c>
      <c r="C436" s="69" t="s">
        <v>1798</v>
      </c>
      <c r="D436" s="69">
        <v>9970952109</v>
      </c>
      <c r="E436" s="69" t="s">
        <v>1799</v>
      </c>
      <c r="F436" s="69" t="s">
        <v>2137</v>
      </c>
      <c r="G436" s="26">
        <v>43</v>
      </c>
      <c r="H436" s="26"/>
      <c r="I436" s="26">
        <v>90</v>
      </c>
      <c r="J436" s="26">
        <v>78</v>
      </c>
      <c r="K436" s="26">
        <v>33</v>
      </c>
      <c r="L436" s="26">
        <v>15</v>
      </c>
      <c r="M436" s="26">
        <v>9</v>
      </c>
      <c r="N436" s="26">
        <v>24</v>
      </c>
      <c r="O436" s="26">
        <v>12</v>
      </c>
      <c r="P436" s="26">
        <v>11</v>
      </c>
      <c r="Q436" s="70">
        <v>3</v>
      </c>
      <c r="R436" s="26">
        <v>121</v>
      </c>
    </row>
    <row r="437" spans="1:18" x14ac:dyDescent="0.35">
      <c r="A437" s="69">
        <v>45210166</v>
      </c>
      <c r="B437" s="69" t="s">
        <v>1800</v>
      </c>
      <c r="C437" s="69" t="s">
        <v>1801</v>
      </c>
      <c r="D437" s="69">
        <v>9730910801</v>
      </c>
      <c r="E437" s="69" t="s">
        <v>1802</v>
      </c>
      <c r="F437" s="69" t="s">
        <v>2137</v>
      </c>
      <c r="G437" s="26"/>
      <c r="H437" s="26"/>
      <c r="I437" s="26"/>
      <c r="J437" s="26">
        <v>14</v>
      </c>
      <c r="K437" s="26">
        <v>6</v>
      </c>
      <c r="L437" s="26"/>
      <c r="M437" s="26"/>
      <c r="N437" s="26"/>
      <c r="O437" s="26">
        <v>8</v>
      </c>
      <c r="P437" s="26">
        <v>0</v>
      </c>
      <c r="Q437" s="70">
        <v>0</v>
      </c>
      <c r="R437" s="26">
        <v>121</v>
      </c>
    </row>
    <row r="438" spans="1:18" x14ac:dyDescent="0.35">
      <c r="A438" s="69">
        <v>45210199</v>
      </c>
      <c r="B438" s="69" t="s">
        <v>1803</v>
      </c>
      <c r="C438" s="69" t="s">
        <v>1804</v>
      </c>
      <c r="D438" s="69">
        <v>9145505510</v>
      </c>
      <c r="E438" s="69" t="s">
        <v>1805</v>
      </c>
      <c r="F438" s="69" t="s">
        <v>2137</v>
      </c>
      <c r="G438" s="26"/>
      <c r="H438" s="26"/>
      <c r="I438" s="26"/>
      <c r="J438" s="26"/>
      <c r="K438" s="26">
        <v>19</v>
      </c>
      <c r="L438" s="26">
        <v>7</v>
      </c>
      <c r="M438" s="26">
        <v>7</v>
      </c>
      <c r="N438" s="26"/>
      <c r="O438" s="26"/>
      <c r="P438" s="26">
        <v>0</v>
      </c>
      <c r="Q438" s="70">
        <v>0</v>
      </c>
      <c r="R438" s="26">
        <v>121</v>
      </c>
    </row>
    <row r="439" spans="1:18" x14ac:dyDescent="0.35">
      <c r="A439" s="69">
        <v>45210221</v>
      </c>
      <c r="B439" s="69" t="s">
        <v>1806</v>
      </c>
      <c r="C439" s="69" t="s">
        <v>1807</v>
      </c>
      <c r="D439" s="69">
        <v>9850104645</v>
      </c>
      <c r="E439" s="69" t="s">
        <v>1808</v>
      </c>
      <c r="F439" s="69" t="s">
        <v>2137</v>
      </c>
      <c r="G439" s="26">
        <v>12</v>
      </c>
      <c r="H439" s="26">
        <v>3</v>
      </c>
      <c r="I439" s="26">
        <v>9</v>
      </c>
      <c r="J439" s="26">
        <v>93</v>
      </c>
      <c r="K439" s="26">
        <v>33</v>
      </c>
      <c r="L439" s="26">
        <v>4</v>
      </c>
      <c r="M439" s="26">
        <v>8</v>
      </c>
      <c r="N439" s="26">
        <v>10</v>
      </c>
      <c r="O439" s="26">
        <v>12</v>
      </c>
      <c r="P439" s="26">
        <v>12</v>
      </c>
      <c r="Q439" s="70">
        <v>3</v>
      </c>
      <c r="R439" s="26">
        <v>121</v>
      </c>
    </row>
    <row r="440" spans="1:18" x14ac:dyDescent="0.35">
      <c r="A440" s="69">
        <v>46210008</v>
      </c>
      <c r="B440" s="69" t="s">
        <v>1809</v>
      </c>
      <c r="C440" s="69" t="s">
        <v>1810</v>
      </c>
      <c r="D440" s="69">
        <v>7350687111</v>
      </c>
      <c r="E440" s="69" t="s">
        <v>1811</v>
      </c>
      <c r="F440" s="69" t="s">
        <v>1547</v>
      </c>
      <c r="G440" s="26"/>
      <c r="H440" s="26"/>
      <c r="I440" s="26"/>
      <c r="J440" s="26">
        <v>94</v>
      </c>
      <c r="K440" s="26"/>
      <c r="L440" s="26">
        <v>15</v>
      </c>
      <c r="M440" s="26">
        <v>11</v>
      </c>
      <c r="N440" s="26">
        <v>5</v>
      </c>
      <c r="O440" s="26">
        <v>7</v>
      </c>
      <c r="P440" s="26">
        <v>0</v>
      </c>
      <c r="Q440" s="70">
        <v>3</v>
      </c>
      <c r="R440" s="26">
        <v>121</v>
      </c>
    </row>
    <row r="441" spans="1:18" x14ac:dyDescent="0.35">
      <c r="A441" s="69">
        <v>46210009</v>
      </c>
      <c r="B441" s="69" t="s">
        <v>1813</v>
      </c>
      <c r="C441" s="69" t="s">
        <v>1814</v>
      </c>
      <c r="D441" s="69">
        <v>9422410705</v>
      </c>
      <c r="E441" s="69" t="s">
        <v>1815</v>
      </c>
      <c r="F441" s="69" t="s">
        <v>1547</v>
      </c>
      <c r="G441" s="26"/>
      <c r="H441" s="26">
        <v>26</v>
      </c>
      <c r="I441" s="26"/>
      <c r="J441" s="26">
        <v>77</v>
      </c>
      <c r="K441" s="26"/>
      <c r="L441" s="26">
        <v>16</v>
      </c>
      <c r="M441" s="26"/>
      <c r="N441" s="26">
        <v>15</v>
      </c>
      <c r="O441" s="26"/>
      <c r="P441" s="26">
        <v>11</v>
      </c>
      <c r="Q441" s="70">
        <v>0</v>
      </c>
      <c r="R441" s="26">
        <v>121</v>
      </c>
    </row>
    <row r="442" spans="1:18" x14ac:dyDescent="0.35">
      <c r="A442" s="69">
        <v>46210010</v>
      </c>
      <c r="B442" s="69" t="s">
        <v>1816</v>
      </c>
      <c r="C442" s="69" t="s">
        <v>1817</v>
      </c>
      <c r="D442" s="69">
        <v>9226493980</v>
      </c>
      <c r="E442" s="69" t="s">
        <v>1818</v>
      </c>
      <c r="F442" s="69" t="s">
        <v>1547</v>
      </c>
      <c r="G442" s="26"/>
      <c r="H442" s="26">
        <v>3</v>
      </c>
      <c r="I442" s="26">
        <v>2</v>
      </c>
      <c r="J442" s="26">
        <v>41</v>
      </c>
      <c r="K442" s="26">
        <v>6</v>
      </c>
      <c r="L442" s="26"/>
      <c r="M442" s="26">
        <v>1</v>
      </c>
      <c r="N442" s="26">
        <v>3</v>
      </c>
      <c r="O442" s="26">
        <v>3</v>
      </c>
      <c r="P442" s="26">
        <v>2</v>
      </c>
      <c r="Q442" s="70">
        <v>0</v>
      </c>
      <c r="R442" s="26">
        <v>120</v>
      </c>
    </row>
    <row r="443" spans="1:18" x14ac:dyDescent="0.35">
      <c r="A443" s="69">
        <v>46210011</v>
      </c>
      <c r="B443" s="69" t="s">
        <v>1819</v>
      </c>
      <c r="C443" s="69" t="s">
        <v>1820</v>
      </c>
      <c r="D443" s="69">
        <v>9822524295</v>
      </c>
      <c r="E443" s="69" t="s">
        <v>1821</v>
      </c>
      <c r="F443" s="69" t="s">
        <v>1547</v>
      </c>
      <c r="G443" s="26">
        <v>17</v>
      </c>
      <c r="H443" s="26">
        <v>3</v>
      </c>
      <c r="I443" s="26">
        <v>48</v>
      </c>
      <c r="J443" s="26">
        <v>52</v>
      </c>
      <c r="K443" s="26">
        <v>9</v>
      </c>
      <c r="L443" s="26">
        <v>3</v>
      </c>
      <c r="M443" s="26">
        <v>16</v>
      </c>
      <c r="N443" s="26">
        <v>10</v>
      </c>
      <c r="O443" s="26">
        <v>6</v>
      </c>
      <c r="P443" s="26">
        <v>4</v>
      </c>
      <c r="Q443" s="70">
        <v>2</v>
      </c>
      <c r="R443" s="26">
        <v>120</v>
      </c>
    </row>
    <row r="444" spans="1:18" x14ac:dyDescent="0.35">
      <c r="A444" s="69">
        <v>46210013</v>
      </c>
      <c r="B444" s="69" t="s">
        <v>1822</v>
      </c>
      <c r="C444" s="69" t="s">
        <v>1823</v>
      </c>
      <c r="D444" s="69">
        <v>9422240490</v>
      </c>
      <c r="E444" s="69" t="s">
        <v>1824</v>
      </c>
      <c r="F444" s="69" t="s">
        <v>1547</v>
      </c>
      <c r="G444" s="26">
        <v>20</v>
      </c>
      <c r="H444" s="26">
        <v>6</v>
      </c>
      <c r="I444" s="26">
        <v>50</v>
      </c>
      <c r="J444" s="26">
        <v>31</v>
      </c>
      <c r="K444" s="26">
        <v>2</v>
      </c>
      <c r="L444" s="26">
        <v>3</v>
      </c>
      <c r="M444" s="26">
        <v>8</v>
      </c>
      <c r="N444" s="26">
        <v>1</v>
      </c>
      <c r="O444" s="26"/>
      <c r="P444" s="26">
        <v>1</v>
      </c>
      <c r="Q444" s="70">
        <v>0</v>
      </c>
      <c r="R444" s="26">
        <v>120</v>
      </c>
    </row>
    <row r="445" spans="1:18" x14ac:dyDescent="0.35">
      <c r="A445" s="69">
        <v>46210014</v>
      </c>
      <c r="B445" s="69" t="s">
        <v>1825</v>
      </c>
      <c r="C445" s="69" t="s">
        <v>1826</v>
      </c>
      <c r="D445" s="69">
        <v>9860887313</v>
      </c>
      <c r="E445" s="69" t="s">
        <v>1827</v>
      </c>
      <c r="F445" s="69" t="s">
        <v>1547</v>
      </c>
      <c r="G445" s="26">
        <v>38</v>
      </c>
      <c r="H445" s="26"/>
      <c r="I445" s="26">
        <v>52</v>
      </c>
      <c r="J445" s="26">
        <v>70</v>
      </c>
      <c r="K445" s="26">
        <v>7</v>
      </c>
      <c r="L445" s="26">
        <v>15</v>
      </c>
      <c r="M445" s="26">
        <v>2</v>
      </c>
      <c r="N445" s="26">
        <v>26</v>
      </c>
      <c r="O445" s="26">
        <v>11</v>
      </c>
      <c r="P445" s="26">
        <v>14</v>
      </c>
      <c r="Q445" s="70">
        <v>6</v>
      </c>
      <c r="R445" s="26">
        <v>120</v>
      </c>
    </row>
    <row r="446" spans="1:18" x14ac:dyDescent="0.35">
      <c r="A446" s="69">
        <v>46210016</v>
      </c>
      <c r="B446" s="69" t="s">
        <v>1828</v>
      </c>
      <c r="C446" s="69" t="s">
        <v>1829</v>
      </c>
      <c r="D446" s="69">
        <v>9422241737</v>
      </c>
      <c r="E446" s="69" t="s">
        <v>1830</v>
      </c>
      <c r="F446" s="69" t="s">
        <v>1547</v>
      </c>
      <c r="G446" s="26"/>
      <c r="H446" s="26">
        <v>31</v>
      </c>
      <c r="I446" s="26">
        <v>24</v>
      </c>
      <c r="J446" s="26">
        <v>87</v>
      </c>
      <c r="K446" s="26"/>
      <c r="L446" s="26"/>
      <c r="M446" s="26">
        <v>37</v>
      </c>
      <c r="N446" s="26">
        <v>0</v>
      </c>
      <c r="O446" s="26"/>
      <c r="P446" s="26">
        <v>26</v>
      </c>
      <c r="Q446" s="70">
        <v>0</v>
      </c>
      <c r="R446" s="26">
        <v>119</v>
      </c>
    </row>
    <row r="447" spans="1:18" x14ac:dyDescent="0.35">
      <c r="A447" s="69">
        <v>46210017</v>
      </c>
      <c r="B447" s="69" t="s">
        <v>1831</v>
      </c>
      <c r="C447" s="69" t="s">
        <v>1832</v>
      </c>
      <c r="D447" s="69">
        <v>9860806279</v>
      </c>
      <c r="E447" s="69" t="s">
        <v>1833</v>
      </c>
      <c r="F447" s="69" t="s">
        <v>1547</v>
      </c>
      <c r="G447" s="26"/>
      <c r="H447" s="26"/>
      <c r="I447" s="26">
        <v>25</v>
      </c>
      <c r="J447" s="26">
        <v>24</v>
      </c>
      <c r="K447" s="26">
        <v>12</v>
      </c>
      <c r="L447" s="26">
        <v>1</v>
      </c>
      <c r="M447" s="26">
        <v>8</v>
      </c>
      <c r="N447" s="26">
        <v>10</v>
      </c>
      <c r="O447" s="26">
        <v>1</v>
      </c>
      <c r="P447" s="26">
        <v>0</v>
      </c>
      <c r="Q447" s="70">
        <v>1</v>
      </c>
      <c r="R447" s="26">
        <v>119</v>
      </c>
    </row>
    <row r="448" spans="1:18" x14ac:dyDescent="0.35">
      <c r="A448" s="69">
        <v>46210171</v>
      </c>
      <c r="B448" s="69" t="s">
        <v>1834</v>
      </c>
      <c r="C448" s="69" t="s">
        <v>1835</v>
      </c>
      <c r="D448" s="69">
        <v>9890436289</v>
      </c>
      <c r="E448" s="69" t="s">
        <v>1836</v>
      </c>
      <c r="F448" s="69" t="s">
        <v>1547</v>
      </c>
      <c r="G448" s="26"/>
      <c r="H448" s="26"/>
      <c r="I448" s="26">
        <v>36</v>
      </c>
      <c r="J448" s="26"/>
      <c r="K448" s="26"/>
      <c r="L448" s="26">
        <v>22</v>
      </c>
      <c r="M448" s="26">
        <v>0</v>
      </c>
      <c r="N448" s="26">
        <v>14</v>
      </c>
      <c r="O448" s="26">
        <v>0</v>
      </c>
      <c r="P448" s="26">
        <v>0</v>
      </c>
      <c r="Q448" s="70">
        <v>9</v>
      </c>
      <c r="R448" s="26">
        <v>118</v>
      </c>
    </row>
    <row r="449" spans="1:18" x14ac:dyDescent="0.35">
      <c r="A449" s="69">
        <v>46210172</v>
      </c>
      <c r="B449" s="69" t="s">
        <v>1837</v>
      </c>
      <c r="C449" s="69" t="s">
        <v>1838</v>
      </c>
      <c r="D449" s="69">
        <v>9422058010</v>
      </c>
      <c r="E449" s="69" t="s">
        <v>1839</v>
      </c>
      <c r="F449" s="69" t="s">
        <v>1547</v>
      </c>
      <c r="G449" s="26">
        <v>12</v>
      </c>
      <c r="H449" s="26">
        <v>3</v>
      </c>
      <c r="I449" s="26">
        <v>25</v>
      </c>
      <c r="J449" s="26">
        <v>9</v>
      </c>
      <c r="K449" s="26">
        <v>6</v>
      </c>
      <c r="L449" s="26"/>
      <c r="M449" s="26">
        <v>7</v>
      </c>
      <c r="N449" s="26">
        <v>6</v>
      </c>
      <c r="O449" s="26">
        <v>1</v>
      </c>
      <c r="P449" s="26">
        <v>0</v>
      </c>
      <c r="Q449" s="70">
        <v>7</v>
      </c>
      <c r="R449" s="26">
        <v>117</v>
      </c>
    </row>
    <row r="450" spans="1:18" x14ac:dyDescent="0.35">
      <c r="A450" s="69">
        <v>46210192</v>
      </c>
      <c r="B450" s="69" t="s">
        <v>1840</v>
      </c>
      <c r="C450" s="69" t="s">
        <v>1841</v>
      </c>
      <c r="D450" s="69">
        <v>9922754482</v>
      </c>
      <c r="E450" s="69" t="s">
        <v>1842</v>
      </c>
      <c r="F450" s="69" t="s">
        <v>1547</v>
      </c>
      <c r="G450" s="26"/>
      <c r="H450" s="26"/>
      <c r="I450" s="26"/>
      <c r="J450" s="26">
        <v>17</v>
      </c>
      <c r="K450" s="26"/>
      <c r="L450" s="26"/>
      <c r="M450" s="26"/>
      <c r="N450" s="26">
        <v>3</v>
      </c>
      <c r="O450" s="26">
        <v>3</v>
      </c>
      <c r="P450" s="26">
        <v>19</v>
      </c>
      <c r="Q450" s="70">
        <v>3</v>
      </c>
      <c r="R450" s="26">
        <v>117</v>
      </c>
    </row>
    <row r="451" spans="1:18" x14ac:dyDescent="0.35">
      <c r="A451" s="69">
        <v>46210194</v>
      </c>
      <c r="B451" s="69" t="s">
        <v>1843</v>
      </c>
      <c r="C451" s="69" t="s">
        <v>1844</v>
      </c>
      <c r="D451" s="69">
        <v>9423491107</v>
      </c>
      <c r="E451" s="69" t="s">
        <v>1845</v>
      </c>
      <c r="F451" s="69" t="s">
        <v>1547</v>
      </c>
      <c r="G451" s="26"/>
      <c r="H451" s="26">
        <v>6</v>
      </c>
      <c r="I451" s="26">
        <v>17</v>
      </c>
      <c r="J451" s="26">
        <v>14</v>
      </c>
      <c r="K451" s="26"/>
      <c r="L451" s="26"/>
      <c r="M451" s="26">
        <v>7</v>
      </c>
      <c r="N451" s="26">
        <v>0</v>
      </c>
      <c r="O451" s="26">
        <v>0</v>
      </c>
      <c r="P451" s="26">
        <v>2</v>
      </c>
      <c r="Q451" s="70">
        <v>0</v>
      </c>
      <c r="R451" s="26">
        <v>116</v>
      </c>
    </row>
    <row r="452" spans="1:18" x14ac:dyDescent="0.35">
      <c r="A452" s="69">
        <v>46210198</v>
      </c>
      <c r="B452" s="69" t="s">
        <v>1846</v>
      </c>
      <c r="C452" s="69" t="s">
        <v>1847</v>
      </c>
      <c r="D452" s="69">
        <v>9922470919</v>
      </c>
      <c r="E452" s="69" t="s">
        <v>1848</v>
      </c>
      <c r="F452" s="69" t="s">
        <v>1547</v>
      </c>
      <c r="G452" s="26">
        <v>5</v>
      </c>
      <c r="H452" s="26"/>
      <c r="I452" s="26"/>
      <c r="J452" s="26">
        <v>88</v>
      </c>
      <c r="K452" s="26">
        <v>2</v>
      </c>
      <c r="L452" s="26">
        <v>1</v>
      </c>
      <c r="M452" s="26">
        <v>1</v>
      </c>
      <c r="N452" s="26">
        <v>6</v>
      </c>
      <c r="O452" s="26">
        <v>6</v>
      </c>
      <c r="P452" s="26">
        <v>0</v>
      </c>
      <c r="Q452" s="70">
        <v>2</v>
      </c>
      <c r="R452" s="26">
        <v>116</v>
      </c>
    </row>
    <row r="453" spans="1:18" x14ac:dyDescent="0.35">
      <c r="A453" s="69">
        <v>46210200</v>
      </c>
      <c r="B453" s="69" t="s">
        <v>1849</v>
      </c>
      <c r="C453" s="69" t="s">
        <v>1850</v>
      </c>
      <c r="D453" s="69">
        <v>8605056727</v>
      </c>
      <c r="E453" s="69" t="s">
        <v>1851</v>
      </c>
      <c r="F453" s="69" t="s">
        <v>1547</v>
      </c>
      <c r="G453" s="26"/>
      <c r="H453" s="26"/>
      <c r="I453" s="26">
        <v>15</v>
      </c>
      <c r="J453" s="26"/>
      <c r="K453" s="26">
        <v>7</v>
      </c>
      <c r="L453" s="26">
        <v>2</v>
      </c>
      <c r="M453" s="26">
        <v>2</v>
      </c>
      <c r="N453" s="26">
        <v>1</v>
      </c>
      <c r="O453" s="26">
        <v>6</v>
      </c>
      <c r="P453" s="26">
        <v>0</v>
      </c>
      <c r="Q453" s="70">
        <v>5</v>
      </c>
      <c r="R453" s="26">
        <v>116</v>
      </c>
    </row>
    <row r="454" spans="1:18" x14ac:dyDescent="0.35">
      <c r="A454" s="69">
        <v>47210001</v>
      </c>
      <c r="B454" s="69" t="s">
        <v>1852</v>
      </c>
      <c r="C454" s="69" t="s">
        <v>1853</v>
      </c>
      <c r="D454" s="69">
        <v>9850847942</v>
      </c>
      <c r="E454" s="69" t="s">
        <v>1854</v>
      </c>
      <c r="F454" s="69" t="s">
        <v>739</v>
      </c>
      <c r="G454" s="26"/>
      <c r="H454" s="26"/>
      <c r="I454" s="26">
        <v>10</v>
      </c>
      <c r="J454" s="26">
        <v>28</v>
      </c>
      <c r="K454" s="26">
        <v>9</v>
      </c>
      <c r="L454" s="26">
        <v>6</v>
      </c>
      <c r="M454" s="26">
        <v>4</v>
      </c>
      <c r="N454" s="26"/>
      <c r="O454" s="26">
        <v>3</v>
      </c>
      <c r="P454" s="26">
        <v>3</v>
      </c>
      <c r="Q454" s="70">
        <v>3</v>
      </c>
      <c r="R454" s="26">
        <v>115</v>
      </c>
    </row>
    <row r="455" spans="1:18" x14ac:dyDescent="0.35">
      <c r="A455" s="69">
        <v>47210002</v>
      </c>
      <c r="B455" s="69" t="s">
        <v>1855</v>
      </c>
      <c r="C455" s="69" t="s">
        <v>1856</v>
      </c>
      <c r="D455" s="69">
        <v>9422322347</v>
      </c>
      <c r="E455" s="69" t="s">
        <v>1857</v>
      </c>
      <c r="F455" s="69" t="s">
        <v>739</v>
      </c>
      <c r="G455" s="26">
        <v>42</v>
      </c>
      <c r="H455" s="26"/>
      <c r="I455" s="26">
        <v>150</v>
      </c>
      <c r="J455" s="26">
        <v>134</v>
      </c>
      <c r="K455" s="26">
        <v>24</v>
      </c>
      <c r="L455" s="26"/>
      <c r="M455" s="26">
        <v>69</v>
      </c>
      <c r="N455" s="26">
        <v>18</v>
      </c>
      <c r="O455" s="26">
        <v>1</v>
      </c>
      <c r="P455" s="26">
        <v>21</v>
      </c>
      <c r="Q455" s="70">
        <v>17</v>
      </c>
      <c r="R455" s="26">
        <v>114</v>
      </c>
    </row>
    <row r="456" spans="1:18" x14ac:dyDescent="0.35">
      <c r="A456" s="69">
        <v>47210003</v>
      </c>
      <c r="B456" s="69" t="s">
        <v>1858</v>
      </c>
      <c r="C456" s="69" t="s">
        <v>1859</v>
      </c>
      <c r="D456" s="69">
        <v>9850763226</v>
      </c>
      <c r="E456" s="69" t="s">
        <v>1860</v>
      </c>
      <c r="F456" s="69" t="s">
        <v>739</v>
      </c>
      <c r="G456" s="26">
        <v>24</v>
      </c>
      <c r="H456" s="26">
        <v>3</v>
      </c>
      <c r="I456" s="26">
        <v>54</v>
      </c>
      <c r="J456" s="26">
        <v>155</v>
      </c>
      <c r="K456" s="26">
        <v>18</v>
      </c>
      <c r="L456" s="26">
        <v>5</v>
      </c>
      <c r="M456" s="26">
        <v>21</v>
      </c>
      <c r="N456" s="26">
        <v>4</v>
      </c>
      <c r="O456" s="26">
        <v>8</v>
      </c>
      <c r="P456" s="26">
        <v>8</v>
      </c>
      <c r="Q456" s="70">
        <v>6</v>
      </c>
      <c r="R456" s="26">
        <v>114</v>
      </c>
    </row>
    <row r="457" spans="1:18" x14ac:dyDescent="0.35">
      <c r="A457" s="69">
        <v>47210004</v>
      </c>
      <c r="B457" s="69" t="s">
        <v>1861</v>
      </c>
      <c r="C457" s="69" t="s">
        <v>1862</v>
      </c>
      <c r="D457" s="69">
        <v>9850995878</v>
      </c>
      <c r="E457" s="69" t="s">
        <v>1863</v>
      </c>
      <c r="F457" s="69" t="s">
        <v>739</v>
      </c>
      <c r="G457" s="26">
        <v>10</v>
      </c>
      <c r="H457" s="26">
        <v>7</v>
      </c>
      <c r="I457" s="26">
        <v>13</v>
      </c>
      <c r="J457" s="26">
        <v>11</v>
      </c>
      <c r="K457" s="26">
        <v>7</v>
      </c>
      <c r="L457" s="26">
        <v>3</v>
      </c>
      <c r="M457" s="26">
        <v>15</v>
      </c>
      <c r="N457" s="26">
        <v>4</v>
      </c>
      <c r="O457" s="26">
        <v>5</v>
      </c>
      <c r="P457" s="26">
        <v>1</v>
      </c>
      <c r="Q457" s="70">
        <v>2</v>
      </c>
      <c r="R457" s="26">
        <v>114</v>
      </c>
    </row>
    <row r="458" spans="1:18" x14ac:dyDescent="0.35">
      <c r="A458" s="69">
        <v>47210005</v>
      </c>
      <c r="B458" s="69" t="s">
        <v>1864</v>
      </c>
      <c r="C458" s="69" t="s">
        <v>1865</v>
      </c>
      <c r="D458" s="69">
        <v>9881409043</v>
      </c>
      <c r="E458" s="69" t="s">
        <v>1866</v>
      </c>
      <c r="F458" s="69" t="s">
        <v>739</v>
      </c>
      <c r="G458" s="26">
        <v>10</v>
      </c>
      <c r="H458" s="26">
        <v>8</v>
      </c>
      <c r="I458" s="26">
        <v>25</v>
      </c>
      <c r="J458" s="26">
        <v>47</v>
      </c>
      <c r="K458" s="26">
        <v>20</v>
      </c>
      <c r="L458" s="26"/>
      <c r="M458" s="26">
        <v>9</v>
      </c>
      <c r="N458" s="26">
        <v>6</v>
      </c>
      <c r="O458" s="26">
        <v>2</v>
      </c>
      <c r="P458" s="26">
        <v>3</v>
      </c>
      <c r="Q458" s="70">
        <v>4</v>
      </c>
      <c r="R458" s="26">
        <v>113</v>
      </c>
    </row>
    <row r="459" spans="1:18" x14ac:dyDescent="0.35">
      <c r="A459" s="69">
        <v>47210006</v>
      </c>
      <c r="B459" s="69" t="s">
        <v>1867</v>
      </c>
      <c r="C459" s="69" t="s">
        <v>1868</v>
      </c>
      <c r="D459" s="69">
        <v>9623930402</v>
      </c>
      <c r="E459" s="69" t="s">
        <v>1869</v>
      </c>
      <c r="F459" s="69" t="s">
        <v>739</v>
      </c>
      <c r="G459" s="26">
        <v>76</v>
      </c>
      <c r="H459" s="26">
        <v>12</v>
      </c>
      <c r="I459" s="26">
        <v>160</v>
      </c>
      <c r="J459" s="26">
        <v>196</v>
      </c>
      <c r="K459" s="26">
        <v>32</v>
      </c>
      <c r="L459" s="26"/>
      <c r="M459" s="26">
        <v>88</v>
      </c>
      <c r="N459" s="26">
        <v>33</v>
      </c>
      <c r="O459" s="26">
        <v>15</v>
      </c>
      <c r="P459" s="26">
        <v>20</v>
      </c>
      <c r="Q459" s="70">
        <v>12</v>
      </c>
      <c r="R459" s="26">
        <v>113</v>
      </c>
    </row>
    <row r="460" spans="1:18" x14ac:dyDescent="0.35">
      <c r="A460" s="69">
        <v>47210008</v>
      </c>
      <c r="B460" s="69" t="s">
        <v>1870</v>
      </c>
      <c r="C460" s="69" t="s">
        <v>1871</v>
      </c>
      <c r="D460" s="69">
        <v>9822452330</v>
      </c>
      <c r="E460" s="69" t="s">
        <v>1872</v>
      </c>
      <c r="F460" s="69" t="s">
        <v>739</v>
      </c>
      <c r="G460" s="26">
        <v>36</v>
      </c>
      <c r="H460" s="26"/>
      <c r="I460" s="26">
        <v>50</v>
      </c>
      <c r="J460" s="26">
        <v>75</v>
      </c>
      <c r="K460" s="26">
        <v>24</v>
      </c>
      <c r="L460" s="26">
        <v>36</v>
      </c>
      <c r="M460" s="26">
        <v>18</v>
      </c>
      <c r="N460" s="26">
        <v>20</v>
      </c>
      <c r="O460" s="26">
        <v>14</v>
      </c>
      <c r="P460" s="26">
        <v>6</v>
      </c>
      <c r="Q460" s="70">
        <v>8</v>
      </c>
      <c r="R460" s="26">
        <v>112</v>
      </c>
    </row>
    <row r="461" spans="1:18" x14ac:dyDescent="0.35">
      <c r="A461" s="69">
        <v>47210010</v>
      </c>
      <c r="B461" s="69" t="s">
        <v>1873</v>
      </c>
      <c r="C461" s="69" t="s">
        <v>1874</v>
      </c>
      <c r="D461" s="69">
        <v>9822513738</v>
      </c>
      <c r="E461" s="69" t="s">
        <v>1875</v>
      </c>
      <c r="F461" s="69" t="s">
        <v>739</v>
      </c>
      <c r="G461" s="26">
        <v>6</v>
      </c>
      <c r="H461" s="26"/>
      <c r="I461" s="26"/>
      <c r="J461" s="26">
        <v>31</v>
      </c>
      <c r="K461" s="26">
        <v>11</v>
      </c>
      <c r="L461" s="26">
        <v>6</v>
      </c>
      <c r="M461" s="26">
        <v>8</v>
      </c>
      <c r="N461" s="26">
        <v>3</v>
      </c>
      <c r="O461" s="26">
        <v>4</v>
      </c>
      <c r="P461" s="26">
        <v>4</v>
      </c>
      <c r="Q461" s="70">
        <v>3</v>
      </c>
      <c r="R461" s="26">
        <v>111</v>
      </c>
    </row>
    <row r="462" spans="1:18" x14ac:dyDescent="0.35">
      <c r="A462" s="69">
        <v>47210011</v>
      </c>
      <c r="B462" s="69" t="s">
        <v>1876</v>
      </c>
      <c r="C462" s="69" t="s">
        <v>1877</v>
      </c>
      <c r="D462" s="69">
        <v>9420196429</v>
      </c>
      <c r="E462" s="69" t="s">
        <v>1878</v>
      </c>
      <c r="F462" s="69" t="s">
        <v>739</v>
      </c>
      <c r="G462" s="26">
        <v>45</v>
      </c>
      <c r="H462" s="26"/>
      <c r="I462" s="26"/>
      <c r="J462" s="26">
        <v>277</v>
      </c>
      <c r="K462" s="26">
        <v>21</v>
      </c>
      <c r="L462" s="26"/>
      <c r="M462" s="26">
        <v>27</v>
      </c>
      <c r="N462" s="26">
        <v>30</v>
      </c>
      <c r="O462" s="26">
        <v>12</v>
      </c>
      <c r="P462" s="26">
        <v>18</v>
      </c>
      <c r="Q462" s="70">
        <v>14</v>
      </c>
      <c r="R462" s="26">
        <v>111</v>
      </c>
    </row>
    <row r="463" spans="1:18" x14ac:dyDescent="0.35">
      <c r="A463" s="69">
        <v>47210012</v>
      </c>
      <c r="B463" s="69" t="s">
        <v>1879</v>
      </c>
      <c r="C463" s="69" t="s">
        <v>1880</v>
      </c>
      <c r="D463" s="69">
        <v>9890942707</v>
      </c>
      <c r="E463" s="69" t="s">
        <v>1881</v>
      </c>
      <c r="F463" s="69" t="s">
        <v>739</v>
      </c>
      <c r="G463" s="26">
        <v>13</v>
      </c>
      <c r="H463" s="26">
        <v>7</v>
      </c>
      <c r="I463" s="26">
        <v>39</v>
      </c>
      <c r="J463" s="26">
        <v>50</v>
      </c>
      <c r="K463" s="26">
        <v>31</v>
      </c>
      <c r="L463" s="26">
        <v>13</v>
      </c>
      <c r="M463" s="26">
        <v>7</v>
      </c>
      <c r="N463" s="26">
        <v>14</v>
      </c>
      <c r="O463" s="26">
        <v>18</v>
      </c>
      <c r="P463" s="26">
        <v>12</v>
      </c>
      <c r="Q463" s="70">
        <v>2</v>
      </c>
      <c r="R463" s="26">
        <v>111</v>
      </c>
    </row>
    <row r="464" spans="1:18" x14ac:dyDescent="0.35">
      <c r="A464" s="69">
        <v>47210032</v>
      </c>
      <c r="B464" s="69" t="s">
        <v>1461</v>
      </c>
      <c r="C464" s="69" t="s">
        <v>1882</v>
      </c>
      <c r="D464" s="69">
        <v>9822391615</v>
      </c>
      <c r="E464" s="69" t="s">
        <v>1883</v>
      </c>
      <c r="F464" s="69" t="s">
        <v>206</v>
      </c>
      <c r="G464" s="26">
        <v>53</v>
      </c>
      <c r="H464" s="26"/>
      <c r="I464" s="26">
        <v>50</v>
      </c>
      <c r="J464" s="26">
        <v>224</v>
      </c>
      <c r="K464" s="26">
        <v>14</v>
      </c>
      <c r="L464" s="26">
        <v>21</v>
      </c>
      <c r="M464" s="26">
        <v>52</v>
      </c>
      <c r="N464" s="26">
        <v>27</v>
      </c>
      <c r="O464" s="26">
        <v>40</v>
      </c>
      <c r="P464" s="26">
        <v>10</v>
      </c>
      <c r="Q464" s="70">
        <v>53</v>
      </c>
      <c r="R464" s="26">
        <v>111</v>
      </c>
    </row>
    <row r="465" spans="1:18" x14ac:dyDescent="0.35">
      <c r="A465" s="69">
        <v>47210040</v>
      </c>
      <c r="B465" s="69" t="s">
        <v>1884</v>
      </c>
      <c r="C465" s="69" t="s">
        <v>1885</v>
      </c>
      <c r="D465" s="69">
        <v>9890240008</v>
      </c>
      <c r="E465" s="69" t="s">
        <v>1886</v>
      </c>
      <c r="F465" s="69" t="s">
        <v>206</v>
      </c>
      <c r="G465" s="26">
        <v>7</v>
      </c>
      <c r="H465" s="26">
        <v>1</v>
      </c>
      <c r="I465" s="26">
        <v>27</v>
      </c>
      <c r="J465" s="26">
        <v>34</v>
      </c>
      <c r="K465" s="26">
        <v>11</v>
      </c>
      <c r="L465" s="26"/>
      <c r="M465" s="26">
        <v>16</v>
      </c>
      <c r="N465" s="26">
        <v>4</v>
      </c>
      <c r="O465" s="26">
        <v>3</v>
      </c>
      <c r="P465" s="26">
        <v>6</v>
      </c>
      <c r="Q465" s="70">
        <v>0</v>
      </c>
      <c r="R465" s="26">
        <v>110</v>
      </c>
    </row>
    <row r="466" spans="1:18" x14ac:dyDescent="0.35">
      <c r="A466" s="69">
        <v>47210043</v>
      </c>
      <c r="B466" s="69" t="s">
        <v>1026</v>
      </c>
      <c r="C466" s="69" t="s">
        <v>1887</v>
      </c>
      <c r="D466" s="69">
        <v>9923002911</v>
      </c>
      <c r="E466" s="69" t="s">
        <v>1888</v>
      </c>
      <c r="F466" s="69" t="s">
        <v>206</v>
      </c>
      <c r="G466" s="26">
        <v>9</v>
      </c>
      <c r="H466" s="26"/>
      <c r="I466" s="26">
        <v>51</v>
      </c>
      <c r="J466" s="26">
        <v>44</v>
      </c>
      <c r="K466" s="26"/>
      <c r="L466" s="26"/>
      <c r="M466" s="26">
        <v>5</v>
      </c>
      <c r="N466" s="26">
        <v>5</v>
      </c>
      <c r="O466" s="26">
        <v>6</v>
      </c>
      <c r="P466" s="26">
        <v>2</v>
      </c>
      <c r="Q466" s="70">
        <v>0</v>
      </c>
      <c r="R466" s="26">
        <v>110</v>
      </c>
    </row>
    <row r="467" spans="1:18" x14ac:dyDescent="0.35">
      <c r="A467" s="69">
        <v>47210062</v>
      </c>
      <c r="B467" s="69" t="s">
        <v>1889</v>
      </c>
      <c r="C467" s="69" t="s">
        <v>1890</v>
      </c>
      <c r="D467" s="69">
        <v>9604011688</v>
      </c>
      <c r="E467" s="69" t="s">
        <v>1891</v>
      </c>
      <c r="F467" s="69" t="s">
        <v>206</v>
      </c>
      <c r="G467" s="26">
        <v>9</v>
      </c>
      <c r="H467" s="26"/>
      <c r="I467" s="26">
        <v>31</v>
      </c>
      <c r="J467" s="26">
        <v>30</v>
      </c>
      <c r="K467" s="26">
        <v>23</v>
      </c>
      <c r="L467" s="26">
        <v>7</v>
      </c>
      <c r="M467" s="26">
        <v>15</v>
      </c>
      <c r="N467" s="26"/>
      <c r="O467" s="26">
        <v>10</v>
      </c>
      <c r="P467" s="26">
        <v>12</v>
      </c>
      <c r="Q467" s="70">
        <v>6</v>
      </c>
      <c r="R467" s="26">
        <v>110</v>
      </c>
    </row>
    <row r="468" spans="1:18" x14ac:dyDescent="0.35">
      <c r="A468" s="69">
        <v>47210064</v>
      </c>
      <c r="B468" s="69" t="s">
        <v>1892</v>
      </c>
      <c r="C468" s="69" t="s">
        <v>1893</v>
      </c>
      <c r="D468" s="69">
        <v>9881375319</v>
      </c>
      <c r="E468" s="69" t="s">
        <v>1894</v>
      </c>
      <c r="F468" s="69" t="s">
        <v>206</v>
      </c>
      <c r="G468" s="26">
        <v>19</v>
      </c>
      <c r="H468" s="26">
        <v>5</v>
      </c>
      <c r="I468" s="26">
        <v>72</v>
      </c>
      <c r="J468" s="26">
        <v>67</v>
      </c>
      <c r="K468" s="26">
        <v>21</v>
      </c>
      <c r="L468" s="26">
        <v>5</v>
      </c>
      <c r="M468" s="26">
        <v>1</v>
      </c>
      <c r="N468" s="26">
        <v>6</v>
      </c>
      <c r="O468" s="26">
        <v>7</v>
      </c>
      <c r="P468" s="26">
        <v>9</v>
      </c>
      <c r="Q468" s="70">
        <v>5</v>
      </c>
      <c r="R468" s="26">
        <v>109</v>
      </c>
    </row>
    <row r="469" spans="1:18" x14ac:dyDescent="0.35">
      <c r="A469" s="69">
        <v>47210065</v>
      </c>
      <c r="B469" s="69" t="s">
        <v>1895</v>
      </c>
      <c r="C469" s="69" t="s">
        <v>1896</v>
      </c>
      <c r="D469" s="69">
        <v>9890158911</v>
      </c>
      <c r="E469" s="69" t="s">
        <v>1897</v>
      </c>
      <c r="F469" s="69" t="s">
        <v>206</v>
      </c>
      <c r="G469" s="26"/>
      <c r="H469" s="26"/>
      <c r="I469" s="26">
        <v>43</v>
      </c>
      <c r="J469" s="26">
        <v>68</v>
      </c>
      <c r="K469" s="26"/>
      <c r="L469" s="26"/>
      <c r="M469" s="26"/>
      <c r="N469" s="26">
        <v>1</v>
      </c>
      <c r="O469" s="26">
        <v>1</v>
      </c>
      <c r="P469" s="26">
        <v>0</v>
      </c>
      <c r="Q469" s="70">
        <v>0</v>
      </c>
      <c r="R469" s="26">
        <v>109</v>
      </c>
    </row>
    <row r="470" spans="1:18" x14ac:dyDescent="0.35">
      <c r="A470" s="69">
        <v>47210069</v>
      </c>
      <c r="B470" s="69" t="s">
        <v>1898</v>
      </c>
      <c r="C470" s="69" t="s">
        <v>1899</v>
      </c>
      <c r="D470" s="69">
        <v>9921713536</v>
      </c>
      <c r="E470" s="69" t="s">
        <v>1900</v>
      </c>
      <c r="F470" s="69" t="s">
        <v>206</v>
      </c>
      <c r="G470" s="26">
        <v>31</v>
      </c>
      <c r="H470" s="26">
        <v>1</v>
      </c>
      <c r="I470" s="26">
        <v>75</v>
      </c>
      <c r="J470" s="26">
        <v>71</v>
      </c>
      <c r="K470" s="26">
        <v>21</v>
      </c>
      <c r="L470" s="26"/>
      <c r="M470" s="26">
        <v>24</v>
      </c>
      <c r="N470" s="26">
        <v>20</v>
      </c>
      <c r="O470" s="26"/>
      <c r="P470" s="26">
        <v>11</v>
      </c>
      <c r="Q470" s="70">
        <v>2</v>
      </c>
      <c r="R470" s="26">
        <v>109</v>
      </c>
    </row>
    <row r="471" spans="1:18" x14ac:dyDescent="0.35">
      <c r="A471" s="69">
        <v>47210070</v>
      </c>
      <c r="B471" s="69" t="s">
        <v>1901</v>
      </c>
      <c r="C471" s="69" t="s">
        <v>1902</v>
      </c>
      <c r="D471" s="69">
        <v>9423227332</v>
      </c>
      <c r="E471" s="69" t="s">
        <v>1903</v>
      </c>
      <c r="F471" s="69" t="s">
        <v>206</v>
      </c>
      <c r="G471" s="26">
        <v>5</v>
      </c>
      <c r="H471" s="26">
        <v>4</v>
      </c>
      <c r="I471" s="26">
        <v>21</v>
      </c>
      <c r="J471" s="26">
        <v>17</v>
      </c>
      <c r="K471" s="26">
        <v>7</v>
      </c>
      <c r="L471" s="26">
        <v>1</v>
      </c>
      <c r="M471" s="26">
        <v>2</v>
      </c>
      <c r="N471" s="26"/>
      <c r="O471" s="26"/>
      <c r="P471" s="26">
        <v>1</v>
      </c>
      <c r="Q471" s="70">
        <v>0</v>
      </c>
      <c r="R471" s="26">
        <v>109</v>
      </c>
    </row>
    <row r="472" spans="1:18" x14ac:dyDescent="0.35">
      <c r="A472" s="69">
        <v>47210071</v>
      </c>
      <c r="B472" s="69" t="s">
        <v>1904</v>
      </c>
      <c r="C472" s="69" t="s">
        <v>1905</v>
      </c>
      <c r="D472" s="69">
        <v>9881404260</v>
      </c>
      <c r="E472" s="69" t="s">
        <v>1906</v>
      </c>
      <c r="F472" s="69" t="s">
        <v>206</v>
      </c>
      <c r="G472" s="26">
        <v>7</v>
      </c>
      <c r="H472" s="26">
        <v>3</v>
      </c>
      <c r="I472" s="26">
        <v>8</v>
      </c>
      <c r="J472" s="26">
        <v>12</v>
      </c>
      <c r="K472" s="26">
        <v>7</v>
      </c>
      <c r="L472" s="26">
        <v>5</v>
      </c>
      <c r="M472" s="26">
        <v>7</v>
      </c>
      <c r="N472" s="26">
        <v>3</v>
      </c>
      <c r="O472" s="26">
        <v>3</v>
      </c>
      <c r="P472" s="26">
        <v>2</v>
      </c>
      <c r="Q472" s="70">
        <v>1</v>
      </c>
      <c r="R472" s="26">
        <v>109</v>
      </c>
    </row>
    <row r="473" spans="1:18" x14ac:dyDescent="0.35">
      <c r="A473" s="69">
        <v>47210075</v>
      </c>
      <c r="B473" s="69" t="s">
        <v>1907</v>
      </c>
      <c r="C473" s="69" t="s">
        <v>1908</v>
      </c>
      <c r="D473" s="69">
        <v>9890822121</v>
      </c>
      <c r="E473" s="69" t="s">
        <v>1909</v>
      </c>
      <c r="F473" s="69" t="s">
        <v>206</v>
      </c>
      <c r="G473" s="26"/>
      <c r="H473" s="26">
        <v>23</v>
      </c>
      <c r="I473" s="26"/>
      <c r="J473" s="26">
        <v>260</v>
      </c>
      <c r="K473" s="26">
        <v>26</v>
      </c>
      <c r="L473" s="26"/>
      <c r="M473" s="26">
        <v>38</v>
      </c>
      <c r="N473" s="26">
        <v>8</v>
      </c>
      <c r="O473" s="26">
        <v>6</v>
      </c>
      <c r="P473" s="26">
        <v>16</v>
      </c>
      <c r="Q473" s="70">
        <v>5</v>
      </c>
      <c r="R473" s="26">
        <v>109</v>
      </c>
    </row>
    <row r="474" spans="1:18" x14ac:dyDescent="0.35">
      <c r="A474" s="69">
        <v>47210076</v>
      </c>
      <c r="B474" s="69" t="s">
        <v>1910</v>
      </c>
      <c r="C474" s="69" t="s">
        <v>1911</v>
      </c>
      <c r="D474" s="69">
        <v>9975569941</v>
      </c>
      <c r="E474" s="69" t="s">
        <v>1912</v>
      </c>
      <c r="F474" s="69" t="s">
        <v>206</v>
      </c>
      <c r="G474" s="26">
        <v>66</v>
      </c>
      <c r="H474" s="26">
        <v>5</v>
      </c>
      <c r="I474" s="26">
        <v>56</v>
      </c>
      <c r="J474" s="26">
        <v>179</v>
      </c>
      <c r="K474" s="26">
        <v>42</v>
      </c>
      <c r="L474" s="26">
        <v>10</v>
      </c>
      <c r="M474" s="26">
        <v>40</v>
      </c>
      <c r="N474" s="26">
        <v>0</v>
      </c>
      <c r="O474" s="26">
        <v>24</v>
      </c>
      <c r="P474" s="26">
        <v>15</v>
      </c>
      <c r="Q474" s="70">
        <v>6</v>
      </c>
      <c r="R474" s="26">
        <v>108</v>
      </c>
    </row>
    <row r="475" spans="1:18" x14ac:dyDescent="0.35">
      <c r="A475" s="69">
        <v>47210100</v>
      </c>
      <c r="B475" s="69" t="s">
        <v>1913</v>
      </c>
      <c r="C475" s="69" t="s">
        <v>1914</v>
      </c>
      <c r="D475" s="69">
        <v>9823147011</v>
      </c>
      <c r="E475" s="69" t="s">
        <v>1915</v>
      </c>
      <c r="F475" s="69" t="s">
        <v>206</v>
      </c>
      <c r="G475" s="26">
        <v>61</v>
      </c>
      <c r="H475" s="26">
        <v>26</v>
      </c>
      <c r="I475" s="26">
        <v>237</v>
      </c>
      <c r="J475" s="26">
        <v>133</v>
      </c>
      <c r="K475" s="26">
        <v>9</v>
      </c>
      <c r="L475" s="26">
        <v>79</v>
      </c>
      <c r="M475" s="26">
        <v>63</v>
      </c>
      <c r="N475" s="26">
        <v>35</v>
      </c>
      <c r="O475" s="26">
        <v>50</v>
      </c>
      <c r="P475" s="26">
        <v>10</v>
      </c>
      <c r="Q475" s="70">
        <v>10</v>
      </c>
      <c r="R475" s="26">
        <v>107</v>
      </c>
    </row>
    <row r="476" spans="1:18" x14ac:dyDescent="0.35">
      <c r="A476" s="69">
        <v>47210116</v>
      </c>
      <c r="B476" s="69" t="s">
        <v>1916</v>
      </c>
      <c r="C476" s="69" t="s">
        <v>1917</v>
      </c>
      <c r="D476" s="69">
        <v>9822391615</v>
      </c>
      <c r="E476" s="69" t="s">
        <v>1883</v>
      </c>
      <c r="F476" s="69" t="s">
        <v>206</v>
      </c>
      <c r="G476" s="26"/>
      <c r="H476" s="26">
        <v>10</v>
      </c>
      <c r="I476" s="26"/>
      <c r="J476" s="26">
        <v>103</v>
      </c>
      <c r="K476" s="26"/>
      <c r="L476" s="26">
        <v>7</v>
      </c>
      <c r="M476" s="26">
        <v>7</v>
      </c>
      <c r="N476" s="26">
        <v>10</v>
      </c>
      <c r="O476" s="26">
        <v>9</v>
      </c>
      <c r="P476" s="26">
        <v>6</v>
      </c>
      <c r="Q476" s="70">
        <v>8</v>
      </c>
      <c r="R476" s="26">
        <v>107</v>
      </c>
    </row>
    <row r="477" spans="1:18" x14ac:dyDescent="0.35">
      <c r="A477" s="69">
        <v>47210119</v>
      </c>
      <c r="B477" s="69" t="s">
        <v>1918</v>
      </c>
      <c r="C477" s="69" t="s">
        <v>1919</v>
      </c>
      <c r="D477" s="69">
        <v>9822377092</v>
      </c>
      <c r="E477" s="69" t="s">
        <v>1920</v>
      </c>
      <c r="F477" s="69" t="s">
        <v>206</v>
      </c>
      <c r="G477" s="26"/>
      <c r="H477" s="26"/>
      <c r="I477" s="26"/>
      <c r="J477" s="26">
        <v>15</v>
      </c>
      <c r="K477" s="26">
        <v>3</v>
      </c>
      <c r="L477" s="26"/>
      <c r="M477" s="26"/>
      <c r="N477" s="26"/>
      <c r="O477" s="26"/>
      <c r="P477" s="26">
        <v>0</v>
      </c>
      <c r="Q477" s="70">
        <v>0</v>
      </c>
      <c r="R477" s="26">
        <v>106</v>
      </c>
    </row>
    <row r="478" spans="1:18" x14ac:dyDescent="0.35">
      <c r="A478" s="69">
        <v>47210122</v>
      </c>
      <c r="B478" s="69" t="s">
        <v>1916</v>
      </c>
      <c r="C478" s="69" t="s">
        <v>1921</v>
      </c>
      <c r="D478" s="69">
        <v>9975569937</v>
      </c>
      <c r="E478" s="69" t="s">
        <v>1922</v>
      </c>
      <c r="F478" s="69" t="s">
        <v>206</v>
      </c>
      <c r="G478" s="26"/>
      <c r="H478" s="26">
        <v>5</v>
      </c>
      <c r="I478" s="26"/>
      <c r="J478" s="26">
        <v>52</v>
      </c>
      <c r="K478" s="26"/>
      <c r="L478" s="26">
        <v>2</v>
      </c>
      <c r="M478" s="26">
        <v>2</v>
      </c>
      <c r="N478" s="26">
        <v>5</v>
      </c>
      <c r="O478" s="26">
        <v>5</v>
      </c>
      <c r="P478" s="26">
        <v>7</v>
      </c>
      <c r="Q478" s="70">
        <v>13</v>
      </c>
      <c r="R478" s="26">
        <v>106</v>
      </c>
    </row>
    <row r="479" spans="1:18" x14ac:dyDescent="0.35">
      <c r="A479" s="69">
        <v>47210128</v>
      </c>
      <c r="B479" s="69" t="s">
        <v>1923</v>
      </c>
      <c r="C479" s="69" t="s">
        <v>1924</v>
      </c>
      <c r="D479" s="69">
        <v>9373324564</v>
      </c>
      <c r="E479" s="69" t="s">
        <v>1925</v>
      </c>
      <c r="F479" s="69" t="s">
        <v>206</v>
      </c>
      <c r="G479" s="26">
        <v>33</v>
      </c>
      <c r="H479" s="26">
        <v>12</v>
      </c>
      <c r="I479" s="26"/>
      <c r="J479" s="26">
        <v>67</v>
      </c>
      <c r="K479" s="26">
        <v>28</v>
      </c>
      <c r="L479" s="26">
        <v>22</v>
      </c>
      <c r="M479" s="26">
        <v>19</v>
      </c>
      <c r="N479" s="26">
        <v>7</v>
      </c>
      <c r="O479" s="26">
        <v>15</v>
      </c>
      <c r="P479" s="26">
        <v>4</v>
      </c>
      <c r="Q479" s="70">
        <v>2</v>
      </c>
      <c r="R479" s="26">
        <v>105</v>
      </c>
    </row>
    <row r="480" spans="1:18" x14ac:dyDescent="0.35">
      <c r="A480" s="69">
        <v>47210145</v>
      </c>
      <c r="B480" s="69" t="s">
        <v>1926</v>
      </c>
      <c r="C480" s="69" t="s">
        <v>1927</v>
      </c>
      <c r="D480" s="69">
        <v>9860000045</v>
      </c>
      <c r="E480" s="69" t="s">
        <v>1928</v>
      </c>
      <c r="F480" s="69" t="s">
        <v>206</v>
      </c>
      <c r="G480" s="26">
        <v>8</v>
      </c>
      <c r="H480" s="26">
        <v>1</v>
      </c>
      <c r="I480" s="26">
        <v>29</v>
      </c>
      <c r="J480" s="26">
        <v>31</v>
      </c>
      <c r="K480" s="26">
        <v>9</v>
      </c>
      <c r="L480" s="26">
        <v>16</v>
      </c>
      <c r="M480" s="26">
        <v>3</v>
      </c>
      <c r="N480" s="26">
        <v>3</v>
      </c>
      <c r="O480" s="26">
        <v>4</v>
      </c>
      <c r="P480" s="26">
        <v>4</v>
      </c>
      <c r="Q480" s="70">
        <v>1</v>
      </c>
      <c r="R480" s="26">
        <v>105</v>
      </c>
    </row>
    <row r="481" spans="1:18" x14ac:dyDescent="0.35">
      <c r="A481" s="69">
        <v>47210147</v>
      </c>
      <c r="B481" s="69" t="s">
        <v>1929</v>
      </c>
      <c r="C481" s="69" t="s">
        <v>1930</v>
      </c>
      <c r="D481" s="69">
        <v>9922074607</v>
      </c>
      <c r="E481" s="69" t="s">
        <v>1931</v>
      </c>
      <c r="F481" s="69" t="s">
        <v>206</v>
      </c>
      <c r="G481" s="26">
        <v>13</v>
      </c>
      <c r="H481" s="26">
        <v>4</v>
      </c>
      <c r="I481" s="26">
        <v>47</v>
      </c>
      <c r="J481" s="26">
        <v>26</v>
      </c>
      <c r="K481" s="26">
        <v>5</v>
      </c>
      <c r="L481" s="26">
        <v>5</v>
      </c>
      <c r="M481" s="26">
        <v>6</v>
      </c>
      <c r="N481" s="26">
        <v>4</v>
      </c>
      <c r="O481" s="26"/>
      <c r="P481" s="26">
        <v>6</v>
      </c>
      <c r="Q481" s="70">
        <v>0</v>
      </c>
      <c r="R481" s="26">
        <v>105</v>
      </c>
    </row>
    <row r="482" spans="1:18" x14ac:dyDescent="0.35">
      <c r="A482" s="69">
        <v>47210148</v>
      </c>
      <c r="B482" s="69" t="s">
        <v>1186</v>
      </c>
      <c r="C482" s="69" t="s">
        <v>1932</v>
      </c>
      <c r="D482" s="69">
        <v>9730998160</v>
      </c>
      <c r="E482" s="69" t="s">
        <v>1933</v>
      </c>
      <c r="F482" s="69" t="s">
        <v>206</v>
      </c>
      <c r="G482" s="26">
        <v>8</v>
      </c>
      <c r="H482" s="26">
        <v>2</v>
      </c>
      <c r="I482" s="26">
        <v>69</v>
      </c>
      <c r="J482" s="26">
        <v>92</v>
      </c>
      <c r="K482" s="26">
        <v>7</v>
      </c>
      <c r="L482" s="26"/>
      <c r="M482" s="26">
        <v>7</v>
      </c>
      <c r="N482" s="26">
        <v>3</v>
      </c>
      <c r="O482" s="26">
        <v>2</v>
      </c>
      <c r="P482" s="26">
        <v>4</v>
      </c>
      <c r="Q482" s="70">
        <v>10</v>
      </c>
      <c r="R482" s="26">
        <v>103</v>
      </c>
    </row>
    <row r="483" spans="1:18" x14ac:dyDescent="0.35">
      <c r="A483" s="69">
        <v>47210150</v>
      </c>
      <c r="B483" s="69" t="s">
        <v>1186</v>
      </c>
      <c r="C483" s="69" t="s">
        <v>1934</v>
      </c>
      <c r="D483" s="69">
        <v>9922153153</v>
      </c>
      <c r="E483" s="69" t="s">
        <v>1935</v>
      </c>
      <c r="F483" s="69" t="s">
        <v>206</v>
      </c>
      <c r="G483" s="26">
        <v>45</v>
      </c>
      <c r="H483" s="26">
        <v>14</v>
      </c>
      <c r="I483" s="26">
        <v>50</v>
      </c>
      <c r="J483" s="26">
        <v>165</v>
      </c>
      <c r="K483" s="26">
        <v>39</v>
      </c>
      <c r="L483" s="26">
        <v>13</v>
      </c>
      <c r="M483" s="26">
        <v>30</v>
      </c>
      <c r="N483" s="26">
        <v>22</v>
      </c>
      <c r="O483" s="26">
        <v>12</v>
      </c>
      <c r="P483" s="26">
        <v>26</v>
      </c>
      <c r="Q483" s="70">
        <v>7</v>
      </c>
      <c r="R483" s="26">
        <v>102</v>
      </c>
    </row>
    <row r="484" spans="1:18" x14ac:dyDescent="0.35">
      <c r="A484" s="69">
        <v>47210151</v>
      </c>
      <c r="B484" s="69" t="s">
        <v>1936</v>
      </c>
      <c r="C484" s="69" t="s">
        <v>1937</v>
      </c>
      <c r="D484" s="69">
        <v>9881615740</v>
      </c>
      <c r="E484" s="69" t="s">
        <v>1938</v>
      </c>
      <c r="F484" s="69" t="s">
        <v>206</v>
      </c>
      <c r="G484" s="26">
        <v>4</v>
      </c>
      <c r="H484" s="26"/>
      <c r="I484" s="26">
        <v>34</v>
      </c>
      <c r="J484" s="26">
        <v>14</v>
      </c>
      <c r="K484" s="26">
        <v>5</v>
      </c>
      <c r="L484" s="26"/>
      <c r="M484" s="26">
        <v>8</v>
      </c>
      <c r="N484" s="26">
        <v>3</v>
      </c>
      <c r="O484" s="26">
        <v>1</v>
      </c>
      <c r="P484" s="26">
        <v>5</v>
      </c>
      <c r="Q484" s="70">
        <v>1</v>
      </c>
      <c r="R484" s="26">
        <v>101</v>
      </c>
    </row>
    <row r="485" spans="1:18" x14ac:dyDescent="0.35">
      <c r="A485" s="69">
        <v>48210005</v>
      </c>
      <c r="B485" s="69" t="s">
        <v>935</v>
      </c>
      <c r="C485" s="69" t="s">
        <v>1939</v>
      </c>
      <c r="D485" s="69">
        <v>9869214286</v>
      </c>
      <c r="E485" s="69" t="s">
        <v>1940</v>
      </c>
      <c r="F485" s="69" t="s">
        <v>206</v>
      </c>
      <c r="G485" s="26">
        <v>15</v>
      </c>
      <c r="H485" s="26"/>
      <c r="I485" s="26"/>
      <c r="J485" s="26">
        <v>65</v>
      </c>
      <c r="K485" s="26"/>
      <c r="L485" s="26">
        <v>27</v>
      </c>
      <c r="M485" s="26"/>
      <c r="N485" s="26">
        <v>20</v>
      </c>
      <c r="O485" s="26"/>
      <c r="P485" s="26">
        <v>31</v>
      </c>
      <c r="Q485" s="70">
        <v>3</v>
      </c>
      <c r="R485" s="26">
        <v>101</v>
      </c>
    </row>
    <row r="486" spans="1:18" x14ac:dyDescent="0.35">
      <c r="A486" s="69">
        <v>48210007</v>
      </c>
      <c r="B486" s="69" t="s">
        <v>1941</v>
      </c>
      <c r="C486" s="69" t="s">
        <v>1942</v>
      </c>
      <c r="D486" s="69">
        <v>9322042651</v>
      </c>
      <c r="E486" s="69" t="s">
        <v>1943</v>
      </c>
      <c r="F486" s="69" t="s">
        <v>206</v>
      </c>
      <c r="G486" s="26">
        <v>13</v>
      </c>
      <c r="H486" s="26">
        <v>11</v>
      </c>
      <c r="I486" s="26">
        <v>4</v>
      </c>
      <c r="J486" s="26">
        <v>58</v>
      </c>
      <c r="K486" s="26">
        <v>18</v>
      </c>
      <c r="L486" s="26">
        <v>13</v>
      </c>
      <c r="M486" s="26">
        <v>11</v>
      </c>
      <c r="N486" s="26">
        <v>5</v>
      </c>
      <c r="O486" s="26">
        <v>8</v>
      </c>
      <c r="P486" s="26">
        <v>4</v>
      </c>
      <c r="Q486" s="70">
        <v>1</v>
      </c>
      <c r="R486" s="26">
        <v>101</v>
      </c>
    </row>
    <row r="487" spans="1:18" x14ac:dyDescent="0.35">
      <c r="A487" s="69">
        <v>48210008</v>
      </c>
      <c r="B487" s="69" t="s">
        <v>1944</v>
      </c>
      <c r="C487" s="69" t="s">
        <v>1945</v>
      </c>
      <c r="D487" s="69">
        <v>8108282955</v>
      </c>
      <c r="E487" s="69" t="s">
        <v>1946</v>
      </c>
      <c r="F487" s="69" t="s">
        <v>206</v>
      </c>
      <c r="G487" s="26">
        <v>15</v>
      </c>
      <c r="H487" s="26">
        <v>2</v>
      </c>
      <c r="I487" s="26"/>
      <c r="J487" s="26">
        <v>16</v>
      </c>
      <c r="K487" s="26">
        <v>8</v>
      </c>
      <c r="L487" s="26">
        <v>5</v>
      </c>
      <c r="M487" s="26">
        <v>4</v>
      </c>
      <c r="N487" s="26">
        <v>2</v>
      </c>
      <c r="O487" s="26"/>
      <c r="P487" s="26">
        <v>1</v>
      </c>
      <c r="Q487" s="70">
        <v>0</v>
      </c>
      <c r="R487" s="26">
        <v>101</v>
      </c>
    </row>
    <row r="488" spans="1:18" x14ac:dyDescent="0.35">
      <c r="A488" s="69">
        <v>48210009</v>
      </c>
      <c r="B488" s="69" t="s">
        <v>935</v>
      </c>
      <c r="C488" s="69" t="s">
        <v>1947</v>
      </c>
      <c r="D488" s="69">
        <v>9819204678</v>
      </c>
      <c r="E488" s="69" t="s">
        <v>1948</v>
      </c>
      <c r="F488" s="69" t="s">
        <v>206</v>
      </c>
      <c r="G488" s="26"/>
      <c r="H488" s="26">
        <v>17</v>
      </c>
      <c r="I488" s="26"/>
      <c r="J488" s="26">
        <v>47</v>
      </c>
      <c r="K488" s="26"/>
      <c r="L488" s="26">
        <v>59</v>
      </c>
      <c r="M488" s="26"/>
      <c r="N488" s="26">
        <v>15</v>
      </c>
      <c r="O488" s="26"/>
      <c r="P488" s="26">
        <v>41</v>
      </c>
      <c r="Q488" s="70">
        <v>0</v>
      </c>
      <c r="R488" s="26">
        <v>101</v>
      </c>
    </row>
    <row r="489" spans="1:18" x14ac:dyDescent="0.35">
      <c r="A489" s="69">
        <v>48210010</v>
      </c>
      <c r="B489" s="69" t="s">
        <v>935</v>
      </c>
      <c r="C489" s="69" t="s">
        <v>1949</v>
      </c>
      <c r="D489" s="69">
        <v>9869214286</v>
      </c>
      <c r="E489" s="69" t="s">
        <v>1950</v>
      </c>
      <c r="F489" s="69" t="s">
        <v>206</v>
      </c>
      <c r="G489" s="26">
        <v>25</v>
      </c>
      <c r="H489" s="26">
        <v>9</v>
      </c>
      <c r="I489" s="26">
        <v>3</v>
      </c>
      <c r="J489" s="26">
        <v>50</v>
      </c>
      <c r="K489" s="26">
        <v>9</v>
      </c>
      <c r="L489" s="26">
        <v>23</v>
      </c>
      <c r="M489" s="26">
        <v>15</v>
      </c>
      <c r="N489" s="26">
        <v>8</v>
      </c>
      <c r="O489" s="26">
        <v>7</v>
      </c>
      <c r="P489" s="26">
        <v>9</v>
      </c>
      <c r="Q489" s="70">
        <v>2</v>
      </c>
      <c r="R489" s="26">
        <v>101</v>
      </c>
    </row>
    <row r="490" spans="1:18" x14ac:dyDescent="0.35">
      <c r="A490" s="69">
        <v>48210032</v>
      </c>
      <c r="B490" s="69" t="s">
        <v>935</v>
      </c>
      <c r="C490" s="69" t="s">
        <v>1951</v>
      </c>
      <c r="D490" s="69">
        <v>9869660484</v>
      </c>
      <c r="E490" s="69" t="s">
        <v>1952</v>
      </c>
      <c r="F490" s="69" t="s">
        <v>206</v>
      </c>
      <c r="G490" s="26">
        <v>43</v>
      </c>
      <c r="H490" s="26"/>
      <c r="I490" s="26">
        <v>50</v>
      </c>
      <c r="J490" s="26">
        <v>135</v>
      </c>
      <c r="K490" s="26">
        <v>5</v>
      </c>
      <c r="L490" s="26">
        <v>1</v>
      </c>
      <c r="M490" s="26">
        <v>52</v>
      </c>
      <c r="N490" s="26">
        <v>46</v>
      </c>
      <c r="O490" s="26">
        <v>16</v>
      </c>
      <c r="P490" s="26">
        <v>30</v>
      </c>
      <c r="Q490" s="70">
        <v>0</v>
      </c>
      <c r="R490" s="26">
        <v>100</v>
      </c>
    </row>
    <row r="491" spans="1:18" x14ac:dyDescent="0.35">
      <c r="A491" s="69">
        <v>48210040</v>
      </c>
      <c r="B491" s="69" t="s">
        <v>935</v>
      </c>
      <c r="C491" s="69" t="s">
        <v>1953</v>
      </c>
      <c r="D491" s="69">
        <v>9699067475</v>
      </c>
      <c r="E491" s="69" t="s">
        <v>1954</v>
      </c>
      <c r="F491" s="69" t="s">
        <v>206</v>
      </c>
      <c r="G491" s="26">
        <v>16</v>
      </c>
      <c r="H491" s="26"/>
      <c r="I491" s="26"/>
      <c r="J491" s="26">
        <v>86</v>
      </c>
      <c r="K491" s="26"/>
      <c r="L491" s="26">
        <v>28</v>
      </c>
      <c r="M491" s="26">
        <v>25</v>
      </c>
      <c r="N491" s="26">
        <v>27</v>
      </c>
      <c r="O491" s="26"/>
      <c r="P491" s="26">
        <v>15</v>
      </c>
      <c r="Q491" s="70">
        <v>1</v>
      </c>
      <c r="R491" s="26">
        <v>100</v>
      </c>
    </row>
    <row r="492" spans="1:18" x14ac:dyDescent="0.35">
      <c r="A492" s="69">
        <v>48210054</v>
      </c>
      <c r="B492" s="69" t="s">
        <v>1955</v>
      </c>
      <c r="C492" s="69" t="s">
        <v>1956</v>
      </c>
      <c r="D492" s="69">
        <v>9869214286</v>
      </c>
      <c r="E492" s="69" t="s">
        <v>1957</v>
      </c>
      <c r="F492" s="69" t="s">
        <v>206</v>
      </c>
      <c r="G492" s="26">
        <v>5</v>
      </c>
      <c r="H492" s="26"/>
      <c r="I492" s="26">
        <v>10</v>
      </c>
      <c r="J492" s="26">
        <v>34</v>
      </c>
      <c r="K492" s="26">
        <v>6</v>
      </c>
      <c r="L492" s="26">
        <v>26</v>
      </c>
      <c r="M492" s="26">
        <v>19</v>
      </c>
      <c r="N492" s="26">
        <v>1</v>
      </c>
      <c r="O492" s="26">
        <v>5</v>
      </c>
      <c r="P492" s="26">
        <v>14</v>
      </c>
      <c r="Q492" s="70">
        <v>1</v>
      </c>
      <c r="R492" s="26">
        <v>100</v>
      </c>
    </row>
    <row r="493" spans="1:18" x14ac:dyDescent="0.35">
      <c r="A493" s="69">
        <v>48210083</v>
      </c>
      <c r="B493" s="69" t="s">
        <v>935</v>
      </c>
      <c r="C493" s="69" t="s">
        <v>1958</v>
      </c>
      <c r="D493" s="69">
        <v>9869214286</v>
      </c>
      <c r="E493" s="69" t="s">
        <v>1959</v>
      </c>
      <c r="F493" s="69" t="s">
        <v>206</v>
      </c>
      <c r="G493" s="26">
        <v>14</v>
      </c>
      <c r="H493" s="26"/>
      <c r="I493" s="26"/>
      <c r="J493" s="26">
        <v>68</v>
      </c>
      <c r="K493" s="26">
        <v>15</v>
      </c>
      <c r="L493" s="26">
        <v>7</v>
      </c>
      <c r="M493" s="26"/>
      <c r="N493" s="26">
        <v>15</v>
      </c>
      <c r="O493" s="26"/>
      <c r="P493" s="26">
        <v>17</v>
      </c>
      <c r="Q493" s="70">
        <v>5</v>
      </c>
      <c r="R493" s="26">
        <v>100</v>
      </c>
    </row>
    <row r="494" spans="1:18" x14ac:dyDescent="0.35">
      <c r="A494" s="69">
        <v>48210092</v>
      </c>
      <c r="B494" s="69" t="s">
        <v>1960</v>
      </c>
      <c r="C494" s="69" t="s">
        <v>1961</v>
      </c>
      <c r="D494" s="69">
        <v>9869214286</v>
      </c>
      <c r="E494" s="69" t="s">
        <v>1962</v>
      </c>
      <c r="F494" s="69" t="s">
        <v>206</v>
      </c>
      <c r="G494" s="26">
        <v>19</v>
      </c>
      <c r="H494" s="26"/>
      <c r="I494" s="26"/>
      <c r="J494" s="26">
        <v>88</v>
      </c>
      <c r="K494" s="26"/>
      <c r="L494" s="26"/>
      <c r="M494" s="26">
        <v>47</v>
      </c>
      <c r="N494" s="26"/>
      <c r="O494" s="26">
        <v>0</v>
      </c>
      <c r="P494" s="26">
        <v>36</v>
      </c>
      <c r="Q494" s="70">
        <v>0</v>
      </c>
      <c r="R494" s="26">
        <v>100</v>
      </c>
    </row>
    <row r="495" spans="1:18" x14ac:dyDescent="0.35">
      <c r="A495" s="69">
        <v>48210094</v>
      </c>
      <c r="B495" s="69" t="s">
        <v>1960</v>
      </c>
      <c r="C495" s="69" t="s">
        <v>1963</v>
      </c>
      <c r="D495" s="69">
        <v>9869214286</v>
      </c>
      <c r="E495" s="69" t="s">
        <v>1964</v>
      </c>
      <c r="F495" s="69" t="s">
        <v>206</v>
      </c>
      <c r="G495" s="26">
        <v>26</v>
      </c>
      <c r="H495" s="26">
        <v>10</v>
      </c>
      <c r="I495" s="26"/>
      <c r="J495" s="26">
        <v>57</v>
      </c>
      <c r="K495" s="26">
        <v>16</v>
      </c>
      <c r="L495" s="26">
        <v>30</v>
      </c>
      <c r="M495" s="26">
        <v>12</v>
      </c>
      <c r="N495" s="26">
        <v>9</v>
      </c>
      <c r="O495" s="26">
        <v>8</v>
      </c>
      <c r="P495" s="26">
        <v>15</v>
      </c>
      <c r="Q495" s="70">
        <v>4</v>
      </c>
      <c r="R495" s="26">
        <v>100</v>
      </c>
    </row>
    <row r="496" spans="1:18" x14ac:dyDescent="0.35">
      <c r="A496" s="69">
        <v>48210125</v>
      </c>
      <c r="B496" s="69" t="s">
        <v>1965</v>
      </c>
      <c r="C496" s="69" t="s">
        <v>1966</v>
      </c>
      <c r="D496" s="69">
        <v>9869669298</v>
      </c>
      <c r="E496" s="69" t="s">
        <v>1967</v>
      </c>
      <c r="F496" s="69" t="s">
        <v>206</v>
      </c>
      <c r="G496" s="26">
        <v>12</v>
      </c>
      <c r="H496" s="26">
        <v>12</v>
      </c>
      <c r="I496" s="26"/>
      <c r="J496" s="26">
        <v>185</v>
      </c>
      <c r="K496" s="26">
        <v>9</v>
      </c>
      <c r="L496" s="26"/>
      <c r="M496" s="26">
        <v>15</v>
      </c>
      <c r="N496" s="26">
        <v>2</v>
      </c>
      <c r="O496" s="26">
        <v>4</v>
      </c>
      <c r="P496" s="26">
        <v>10</v>
      </c>
      <c r="Q496" s="70">
        <v>0</v>
      </c>
      <c r="R496" s="26">
        <v>100</v>
      </c>
    </row>
    <row r="497" spans="1:18" x14ac:dyDescent="0.35">
      <c r="A497" s="69">
        <v>48210128</v>
      </c>
      <c r="B497" s="69" t="s">
        <v>1968</v>
      </c>
      <c r="C497" s="69" t="s">
        <v>1969</v>
      </c>
      <c r="D497" s="69">
        <v>9820016523</v>
      </c>
      <c r="E497" s="69" t="s">
        <v>1970</v>
      </c>
      <c r="F497" s="69" t="s">
        <v>206</v>
      </c>
      <c r="G497" s="26"/>
      <c r="H497" s="26"/>
      <c r="I497" s="26">
        <v>15</v>
      </c>
      <c r="J497" s="26">
        <v>16</v>
      </c>
      <c r="K497" s="26">
        <v>5</v>
      </c>
      <c r="L497" s="26">
        <v>9</v>
      </c>
      <c r="M497" s="26">
        <v>13</v>
      </c>
      <c r="N497" s="26">
        <v>6</v>
      </c>
      <c r="O497" s="26">
        <v>1</v>
      </c>
      <c r="P497" s="26">
        <v>5</v>
      </c>
      <c r="Q497" s="70">
        <v>3</v>
      </c>
      <c r="R497" s="26">
        <v>100</v>
      </c>
    </row>
    <row r="498" spans="1:18" x14ac:dyDescent="0.35">
      <c r="A498" s="69">
        <v>52210001</v>
      </c>
      <c r="B498" s="69" t="s">
        <v>1971</v>
      </c>
      <c r="C498" s="69" t="s">
        <v>1972</v>
      </c>
      <c r="D498" s="69">
        <v>9850339391</v>
      </c>
      <c r="E498" s="69" t="s">
        <v>1973</v>
      </c>
      <c r="F498" s="69" t="s">
        <v>206</v>
      </c>
      <c r="G498" s="26">
        <v>36</v>
      </c>
      <c r="H498" s="26">
        <v>18</v>
      </c>
      <c r="I498" s="26">
        <v>7</v>
      </c>
      <c r="J498" s="26">
        <v>119</v>
      </c>
      <c r="K498" s="26">
        <v>30</v>
      </c>
      <c r="L498" s="26">
        <v>19</v>
      </c>
      <c r="M498" s="26">
        <v>32</v>
      </c>
      <c r="N498" s="26">
        <v>19</v>
      </c>
      <c r="O498" s="26">
        <v>17</v>
      </c>
      <c r="P498" s="26">
        <v>0</v>
      </c>
      <c r="Q498" s="70">
        <v>15</v>
      </c>
      <c r="R498" s="26">
        <v>99</v>
      </c>
    </row>
    <row r="499" spans="1:18" x14ac:dyDescent="0.35">
      <c r="A499" s="69">
        <v>52210003</v>
      </c>
      <c r="B499" s="69" t="s">
        <v>1975</v>
      </c>
      <c r="C499" s="69" t="s">
        <v>1976</v>
      </c>
      <c r="D499" s="69">
        <v>9423425750</v>
      </c>
      <c r="E499" s="69" t="s">
        <v>1977</v>
      </c>
      <c r="F499" s="69" t="s">
        <v>206</v>
      </c>
      <c r="G499" s="26">
        <v>43</v>
      </c>
      <c r="H499" s="26"/>
      <c r="I499" s="26">
        <v>84</v>
      </c>
      <c r="J499" s="26">
        <v>130</v>
      </c>
      <c r="K499" s="26">
        <v>7</v>
      </c>
      <c r="L499" s="26">
        <v>4</v>
      </c>
      <c r="M499" s="26">
        <v>18</v>
      </c>
      <c r="N499" s="26">
        <v>35</v>
      </c>
      <c r="O499" s="26"/>
      <c r="P499" s="26">
        <v>29</v>
      </c>
      <c r="Q499" s="70">
        <v>6</v>
      </c>
      <c r="R499" s="26">
        <v>99</v>
      </c>
    </row>
    <row r="500" spans="1:18" x14ac:dyDescent="0.35">
      <c r="A500" s="69">
        <v>52210005</v>
      </c>
      <c r="B500" s="69" t="s">
        <v>1978</v>
      </c>
      <c r="C500" s="69" t="s">
        <v>1979</v>
      </c>
      <c r="D500" s="69">
        <v>9890531736</v>
      </c>
      <c r="E500" s="69" t="s">
        <v>1980</v>
      </c>
      <c r="F500" s="69" t="s">
        <v>206</v>
      </c>
      <c r="G500" s="26">
        <v>74</v>
      </c>
      <c r="H500" s="26"/>
      <c r="I500" s="26">
        <v>147</v>
      </c>
      <c r="J500" s="26">
        <v>69</v>
      </c>
      <c r="K500" s="26"/>
      <c r="L500" s="26">
        <v>56</v>
      </c>
      <c r="M500" s="26">
        <v>38</v>
      </c>
      <c r="N500" s="26">
        <v>41</v>
      </c>
      <c r="O500" s="26">
        <v>18</v>
      </c>
      <c r="P500" s="26">
        <v>21</v>
      </c>
      <c r="Q500" s="70">
        <v>2</v>
      </c>
      <c r="R500" s="26">
        <v>99</v>
      </c>
    </row>
    <row r="501" spans="1:18" x14ac:dyDescent="0.35">
      <c r="A501" s="69">
        <v>52210008</v>
      </c>
      <c r="B501" s="69" t="s">
        <v>1981</v>
      </c>
      <c r="C501" s="69" t="s">
        <v>1982</v>
      </c>
      <c r="D501" s="69">
        <v>9421737767</v>
      </c>
      <c r="E501" s="69" t="s">
        <v>1983</v>
      </c>
      <c r="F501" s="69" t="s">
        <v>206</v>
      </c>
      <c r="G501" s="26">
        <v>5</v>
      </c>
      <c r="H501" s="26"/>
      <c r="I501" s="26"/>
      <c r="J501" s="26">
        <v>44</v>
      </c>
      <c r="K501" s="26">
        <v>7</v>
      </c>
      <c r="L501" s="26"/>
      <c r="M501" s="26">
        <v>2</v>
      </c>
      <c r="N501" s="26"/>
      <c r="O501" s="26">
        <v>7</v>
      </c>
      <c r="P501" s="26">
        <v>4</v>
      </c>
      <c r="Q501" s="70">
        <v>0</v>
      </c>
      <c r="R501" s="26">
        <v>99</v>
      </c>
    </row>
    <row r="502" spans="1:18" x14ac:dyDescent="0.35">
      <c r="A502" s="69">
        <v>52210010</v>
      </c>
      <c r="B502" s="69" t="s">
        <v>1984</v>
      </c>
      <c r="C502" s="69" t="s">
        <v>1985</v>
      </c>
      <c r="D502" s="69">
        <v>9423647135</v>
      </c>
      <c r="E502" s="69" t="s">
        <v>1986</v>
      </c>
      <c r="F502" s="69" t="s">
        <v>206</v>
      </c>
      <c r="G502" s="26">
        <v>53</v>
      </c>
      <c r="H502" s="26">
        <v>7</v>
      </c>
      <c r="I502" s="26">
        <v>51</v>
      </c>
      <c r="J502" s="26">
        <v>120</v>
      </c>
      <c r="K502" s="26">
        <v>15</v>
      </c>
      <c r="L502" s="26"/>
      <c r="M502" s="26">
        <v>11</v>
      </c>
      <c r="N502" s="26">
        <v>12</v>
      </c>
      <c r="O502" s="26">
        <v>17</v>
      </c>
      <c r="P502" s="26">
        <v>14</v>
      </c>
      <c r="Q502" s="70">
        <v>6</v>
      </c>
      <c r="R502" s="26">
        <v>99</v>
      </c>
    </row>
    <row r="503" spans="1:18" x14ac:dyDescent="0.35">
      <c r="A503" s="69">
        <v>52210063</v>
      </c>
      <c r="B503" s="69" t="s">
        <v>1987</v>
      </c>
      <c r="C503" s="69" t="s">
        <v>1988</v>
      </c>
      <c r="D503" s="69">
        <v>9423126963</v>
      </c>
      <c r="E503" s="69" t="s">
        <v>1989</v>
      </c>
      <c r="F503" s="69" t="s">
        <v>206</v>
      </c>
      <c r="G503" s="26"/>
      <c r="H503" s="26"/>
      <c r="I503" s="26"/>
      <c r="J503" s="26">
        <v>25</v>
      </c>
      <c r="K503" s="26"/>
      <c r="L503" s="26"/>
      <c r="M503" s="26"/>
      <c r="N503" s="26"/>
      <c r="O503" s="26"/>
      <c r="P503" s="26">
        <v>0</v>
      </c>
      <c r="Q503" s="70">
        <v>0</v>
      </c>
      <c r="R503" s="26">
        <v>99</v>
      </c>
    </row>
    <row r="504" spans="1:18" x14ac:dyDescent="0.35">
      <c r="A504" s="69">
        <v>52210065</v>
      </c>
      <c r="B504" s="69" t="s">
        <v>1990</v>
      </c>
      <c r="C504" s="69" t="s">
        <v>1991</v>
      </c>
      <c r="D504" s="69">
        <v>9422144999</v>
      </c>
      <c r="E504" s="69" t="s">
        <v>1992</v>
      </c>
      <c r="F504" s="69" t="s">
        <v>206</v>
      </c>
      <c r="G504" s="26">
        <v>10</v>
      </c>
      <c r="H504" s="26"/>
      <c r="I504" s="26">
        <v>14</v>
      </c>
      <c r="J504" s="26">
        <v>36</v>
      </c>
      <c r="K504" s="26">
        <v>33</v>
      </c>
      <c r="L504" s="26"/>
      <c r="M504" s="26">
        <v>7</v>
      </c>
      <c r="N504" s="26">
        <v>17</v>
      </c>
      <c r="O504" s="26">
        <v>8</v>
      </c>
      <c r="P504" s="26">
        <v>12</v>
      </c>
      <c r="Q504" s="70">
        <v>0</v>
      </c>
      <c r="R504" s="26">
        <v>98</v>
      </c>
    </row>
    <row r="505" spans="1:18" x14ac:dyDescent="0.35">
      <c r="A505" s="69">
        <v>52210080</v>
      </c>
      <c r="B505" s="69" t="s">
        <v>1993</v>
      </c>
      <c r="C505" s="69" t="s">
        <v>1994</v>
      </c>
      <c r="D505" s="69">
        <v>9422158244</v>
      </c>
      <c r="E505" s="69" t="s">
        <v>1995</v>
      </c>
      <c r="F505" s="69" t="s">
        <v>206</v>
      </c>
      <c r="G505" s="26"/>
      <c r="H505" s="26">
        <v>16</v>
      </c>
      <c r="I505" s="26">
        <v>3</v>
      </c>
      <c r="J505" s="26">
        <v>87</v>
      </c>
      <c r="K505" s="26">
        <v>21</v>
      </c>
      <c r="L505" s="26">
        <v>9</v>
      </c>
      <c r="M505" s="26">
        <v>5</v>
      </c>
      <c r="N505" s="26">
        <v>0</v>
      </c>
      <c r="O505" s="26">
        <v>12</v>
      </c>
      <c r="P505" s="26">
        <v>0</v>
      </c>
      <c r="Q505" s="70">
        <v>0</v>
      </c>
      <c r="R505" s="26">
        <v>98</v>
      </c>
    </row>
    <row r="506" spans="1:18" x14ac:dyDescent="0.35">
      <c r="A506" s="69">
        <v>52210103</v>
      </c>
      <c r="B506" s="69" t="s">
        <v>1996</v>
      </c>
      <c r="C506" s="69" t="s">
        <v>1997</v>
      </c>
      <c r="D506" s="69">
        <v>9421742042</v>
      </c>
      <c r="E506" s="69" t="s">
        <v>1998</v>
      </c>
      <c r="F506" s="69" t="s">
        <v>206</v>
      </c>
      <c r="G506" s="26">
        <v>6</v>
      </c>
      <c r="H506" s="26">
        <v>2</v>
      </c>
      <c r="I506" s="26">
        <v>3</v>
      </c>
      <c r="J506" s="26">
        <v>24</v>
      </c>
      <c r="K506" s="26">
        <v>9</v>
      </c>
      <c r="L506" s="26"/>
      <c r="M506" s="26">
        <v>5</v>
      </c>
      <c r="N506" s="26">
        <v>5</v>
      </c>
      <c r="O506" s="26">
        <v>5</v>
      </c>
      <c r="P506" s="26">
        <v>3</v>
      </c>
      <c r="Q506" s="70">
        <v>4</v>
      </c>
      <c r="R506" s="26">
        <v>97</v>
      </c>
    </row>
    <row r="507" spans="1:18" x14ac:dyDescent="0.35">
      <c r="A507" s="69">
        <v>52210108</v>
      </c>
      <c r="B507" s="69" t="s">
        <v>1999</v>
      </c>
      <c r="C507" s="69" t="s">
        <v>2000</v>
      </c>
      <c r="D507" s="69">
        <v>9371864007</v>
      </c>
      <c r="E507" s="69" t="s">
        <v>2001</v>
      </c>
      <c r="F507" s="69" t="s">
        <v>206</v>
      </c>
      <c r="G507" s="26"/>
      <c r="H507" s="26">
        <v>13</v>
      </c>
      <c r="I507" s="26"/>
      <c r="J507" s="26">
        <v>31</v>
      </c>
      <c r="K507" s="26">
        <v>11</v>
      </c>
      <c r="L507" s="26"/>
      <c r="M507" s="26">
        <v>3</v>
      </c>
      <c r="N507" s="26"/>
      <c r="O507" s="26">
        <v>17</v>
      </c>
      <c r="P507" s="26">
        <v>0</v>
      </c>
      <c r="Q507" s="70">
        <v>0</v>
      </c>
      <c r="R507" s="26">
        <v>97</v>
      </c>
    </row>
    <row r="508" spans="1:18" x14ac:dyDescent="0.35">
      <c r="A508" s="69">
        <v>52210110</v>
      </c>
      <c r="B508" s="69" t="s">
        <v>2002</v>
      </c>
      <c r="C508" s="69" t="s">
        <v>2003</v>
      </c>
      <c r="D508" s="69">
        <v>9823509439</v>
      </c>
      <c r="E508" s="69" t="s">
        <v>2004</v>
      </c>
      <c r="F508" s="69" t="s">
        <v>206</v>
      </c>
      <c r="G508" s="26">
        <v>19</v>
      </c>
      <c r="H508" s="26"/>
      <c r="I508" s="26"/>
      <c r="J508" s="26">
        <v>33</v>
      </c>
      <c r="K508" s="26">
        <v>7</v>
      </c>
      <c r="L508" s="26"/>
      <c r="M508" s="26">
        <v>6</v>
      </c>
      <c r="N508" s="26">
        <v>0</v>
      </c>
      <c r="O508" s="26">
        <v>10</v>
      </c>
      <c r="P508" s="26">
        <v>31</v>
      </c>
      <c r="Q508" s="70">
        <v>0</v>
      </c>
      <c r="R508" s="26">
        <v>97</v>
      </c>
    </row>
    <row r="509" spans="1:18" x14ac:dyDescent="0.35">
      <c r="A509" s="69">
        <v>52210111</v>
      </c>
      <c r="B509" s="69" t="s">
        <v>2005</v>
      </c>
      <c r="C509" s="69" t="s">
        <v>2006</v>
      </c>
      <c r="D509" s="69">
        <v>9423609578</v>
      </c>
      <c r="E509" s="69" t="s">
        <v>2007</v>
      </c>
      <c r="F509" s="69" t="s">
        <v>206</v>
      </c>
      <c r="G509" s="26">
        <v>20</v>
      </c>
      <c r="H509" s="26"/>
      <c r="I509" s="26">
        <v>31</v>
      </c>
      <c r="J509" s="26">
        <v>20</v>
      </c>
      <c r="K509" s="26">
        <v>6</v>
      </c>
      <c r="L509" s="26"/>
      <c r="M509" s="26"/>
      <c r="N509" s="26">
        <v>10</v>
      </c>
      <c r="O509" s="26">
        <v>8</v>
      </c>
      <c r="P509" s="26">
        <v>8</v>
      </c>
      <c r="Q509" s="70">
        <v>2</v>
      </c>
      <c r="R509" s="26">
        <v>97</v>
      </c>
    </row>
    <row r="510" spans="1:18" x14ac:dyDescent="0.35">
      <c r="A510" s="69">
        <v>52210116</v>
      </c>
      <c r="B510" s="69" t="s">
        <v>2008</v>
      </c>
      <c r="C510" s="69" t="s">
        <v>2009</v>
      </c>
      <c r="D510" s="69">
        <v>9860169737</v>
      </c>
      <c r="E510" s="69" t="s">
        <v>2010</v>
      </c>
      <c r="F510" s="69" t="s">
        <v>206</v>
      </c>
      <c r="G510" s="26">
        <v>22</v>
      </c>
      <c r="H510" s="26"/>
      <c r="I510" s="26"/>
      <c r="J510" s="26">
        <v>70</v>
      </c>
      <c r="K510" s="26">
        <v>14</v>
      </c>
      <c r="L510" s="26"/>
      <c r="M510" s="26">
        <v>13</v>
      </c>
      <c r="N510" s="26">
        <v>7</v>
      </c>
      <c r="O510" s="26"/>
      <c r="P510" s="26">
        <v>13</v>
      </c>
      <c r="Q510" s="70">
        <v>0</v>
      </c>
      <c r="R510" s="26">
        <v>96</v>
      </c>
    </row>
    <row r="511" spans="1:18" x14ac:dyDescent="0.35">
      <c r="A511" s="69">
        <v>52210121</v>
      </c>
      <c r="B511" s="69" t="s">
        <v>2011</v>
      </c>
      <c r="C511" s="69" t="s">
        <v>2012</v>
      </c>
      <c r="D511" s="69">
        <v>9923563646</v>
      </c>
      <c r="E511" s="69" t="s">
        <v>2013</v>
      </c>
      <c r="F511" s="69" t="s">
        <v>206</v>
      </c>
      <c r="G511" s="26"/>
      <c r="H511" s="26">
        <v>1</v>
      </c>
      <c r="I511" s="26">
        <v>28</v>
      </c>
      <c r="J511" s="26">
        <v>45</v>
      </c>
      <c r="K511" s="26">
        <v>9</v>
      </c>
      <c r="L511" s="26"/>
      <c r="M511" s="26">
        <v>9</v>
      </c>
      <c r="N511" s="26">
        <v>15</v>
      </c>
      <c r="O511" s="26">
        <v>6</v>
      </c>
      <c r="P511" s="26">
        <v>1</v>
      </c>
      <c r="Q511" s="70">
        <v>2</v>
      </c>
      <c r="R511" s="26">
        <v>96</v>
      </c>
    </row>
    <row r="512" spans="1:18" x14ac:dyDescent="0.35">
      <c r="A512" s="69">
        <v>52210122</v>
      </c>
      <c r="B512" s="69" t="s">
        <v>2014</v>
      </c>
      <c r="C512" s="69" t="s">
        <v>2015</v>
      </c>
      <c r="D512" s="69">
        <v>9823410147</v>
      </c>
      <c r="E512" s="69" t="s">
        <v>2016</v>
      </c>
      <c r="F512" s="69" t="s">
        <v>206</v>
      </c>
      <c r="G512" s="26">
        <v>19</v>
      </c>
      <c r="H512" s="26"/>
      <c r="I512" s="26">
        <v>30</v>
      </c>
      <c r="J512" s="26">
        <v>87</v>
      </c>
      <c r="K512" s="26">
        <v>17</v>
      </c>
      <c r="L512" s="26"/>
      <c r="M512" s="26">
        <v>21</v>
      </c>
      <c r="N512" s="26">
        <v>11</v>
      </c>
      <c r="O512" s="26"/>
      <c r="P512" s="26">
        <v>8</v>
      </c>
      <c r="Q512" s="70">
        <v>3</v>
      </c>
      <c r="R512" s="26">
        <v>96</v>
      </c>
    </row>
    <row r="513" spans="1:18" x14ac:dyDescent="0.35">
      <c r="A513" s="69">
        <v>52210130</v>
      </c>
      <c r="B513" s="69" t="s">
        <v>2017</v>
      </c>
      <c r="C513" s="69" t="s">
        <v>2018</v>
      </c>
      <c r="D513" s="69">
        <v>9960046474</v>
      </c>
      <c r="E513" s="69" t="s">
        <v>2019</v>
      </c>
      <c r="F513" s="69" t="s">
        <v>206</v>
      </c>
      <c r="G513" s="26">
        <v>37</v>
      </c>
      <c r="H513" s="26">
        <v>6</v>
      </c>
      <c r="I513" s="26">
        <v>63</v>
      </c>
      <c r="J513" s="26">
        <v>92</v>
      </c>
      <c r="K513" s="26">
        <v>43</v>
      </c>
      <c r="L513" s="26">
        <v>14</v>
      </c>
      <c r="M513" s="26">
        <v>22</v>
      </c>
      <c r="N513" s="26">
        <v>29</v>
      </c>
      <c r="O513" s="26">
        <v>12</v>
      </c>
      <c r="P513" s="26">
        <v>11</v>
      </c>
      <c r="Q513" s="70">
        <v>8</v>
      </c>
      <c r="R513" s="26">
        <v>95</v>
      </c>
    </row>
    <row r="514" spans="1:18" x14ac:dyDescent="0.35">
      <c r="A514" s="69">
        <v>52210131</v>
      </c>
      <c r="B514" s="69" t="s">
        <v>2020</v>
      </c>
      <c r="C514" s="69" t="s">
        <v>2021</v>
      </c>
      <c r="D514" s="69">
        <v>9420077454</v>
      </c>
      <c r="E514" s="69" t="s">
        <v>2022</v>
      </c>
      <c r="F514" s="69" t="s">
        <v>206</v>
      </c>
      <c r="G514" s="26">
        <v>49</v>
      </c>
      <c r="H514" s="26">
        <v>8</v>
      </c>
      <c r="I514" s="26">
        <v>44</v>
      </c>
      <c r="J514" s="26">
        <v>105</v>
      </c>
      <c r="K514" s="26">
        <v>43</v>
      </c>
      <c r="L514" s="26">
        <v>42</v>
      </c>
      <c r="M514" s="26">
        <v>22</v>
      </c>
      <c r="N514" s="26">
        <v>10</v>
      </c>
      <c r="O514" s="26">
        <v>7</v>
      </c>
      <c r="P514" s="26">
        <v>24</v>
      </c>
      <c r="Q514" s="70">
        <v>7</v>
      </c>
      <c r="R514" s="26">
        <v>95</v>
      </c>
    </row>
    <row r="515" spans="1:18" x14ac:dyDescent="0.35">
      <c r="A515" s="69">
        <v>52210137</v>
      </c>
      <c r="B515" s="69" t="s">
        <v>2023</v>
      </c>
      <c r="C515" s="69" t="s">
        <v>2024</v>
      </c>
      <c r="D515" s="69">
        <v>9850714585</v>
      </c>
      <c r="E515" s="69" t="s">
        <v>2025</v>
      </c>
      <c r="F515" s="69" t="s">
        <v>206</v>
      </c>
      <c r="G515" s="26"/>
      <c r="H515" s="26">
        <v>16</v>
      </c>
      <c r="I515" s="26"/>
      <c r="J515" s="26">
        <v>87</v>
      </c>
      <c r="K515" s="26">
        <v>7</v>
      </c>
      <c r="L515" s="26"/>
      <c r="M515" s="26"/>
      <c r="N515" s="26">
        <v>5</v>
      </c>
      <c r="O515" s="26"/>
      <c r="P515" s="26">
        <v>21</v>
      </c>
      <c r="Q515" s="70">
        <v>8</v>
      </c>
      <c r="R515" s="26">
        <v>95</v>
      </c>
    </row>
    <row r="516" spans="1:18" x14ac:dyDescent="0.35">
      <c r="A516" s="69">
        <v>52210139</v>
      </c>
      <c r="B516" s="69" t="s">
        <v>2026</v>
      </c>
      <c r="C516" s="69" t="s">
        <v>2027</v>
      </c>
      <c r="D516" s="69">
        <v>9890907580</v>
      </c>
      <c r="E516" s="69" t="s">
        <v>2028</v>
      </c>
      <c r="F516" s="69" t="s">
        <v>206</v>
      </c>
      <c r="G516" s="26">
        <v>13</v>
      </c>
      <c r="H516" s="26"/>
      <c r="I516" s="26">
        <v>20</v>
      </c>
      <c r="J516" s="26">
        <v>21</v>
      </c>
      <c r="K516" s="26">
        <v>20</v>
      </c>
      <c r="L516" s="26">
        <v>3</v>
      </c>
      <c r="M516" s="26">
        <v>8</v>
      </c>
      <c r="N516" s="26"/>
      <c r="O516" s="26">
        <v>9</v>
      </c>
      <c r="P516" s="26">
        <v>0</v>
      </c>
      <c r="Q516" s="70">
        <v>0</v>
      </c>
      <c r="R516" s="26">
        <v>95</v>
      </c>
    </row>
    <row r="517" spans="1:18" x14ac:dyDescent="0.35">
      <c r="A517" s="69">
        <v>52210140</v>
      </c>
      <c r="B517" s="69" t="s">
        <v>2029</v>
      </c>
      <c r="C517" s="69" t="s">
        <v>2030</v>
      </c>
      <c r="D517" s="69">
        <v>8805345971</v>
      </c>
      <c r="E517" s="69" t="s">
        <v>2031</v>
      </c>
      <c r="F517" s="69" t="s">
        <v>206</v>
      </c>
      <c r="G517" s="26"/>
      <c r="H517" s="26"/>
      <c r="I517" s="26"/>
      <c r="J517" s="26">
        <v>8</v>
      </c>
      <c r="K517" s="26"/>
      <c r="L517" s="26">
        <v>2</v>
      </c>
      <c r="M517" s="26"/>
      <c r="N517" s="26"/>
      <c r="O517" s="26">
        <v>13</v>
      </c>
      <c r="P517" s="26">
        <v>16</v>
      </c>
      <c r="Q517" s="70">
        <v>0</v>
      </c>
      <c r="R517" s="26">
        <v>94</v>
      </c>
    </row>
    <row r="518" spans="1:18" x14ac:dyDescent="0.35">
      <c r="A518" s="69">
        <v>52210142</v>
      </c>
      <c r="B518" s="69" t="s">
        <v>2032</v>
      </c>
      <c r="C518" s="69" t="s">
        <v>2033</v>
      </c>
      <c r="D518" s="69">
        <v>9421738559</v>
      </c>
      <c r="E518" s="69" t="s">
        <v>2034</v>
      </c>
      <c r="F518" s="69" t="s">
        <v>206</v>
      </c>
      <c r="G518" s="26">
        <v>27</v>
      </c>
      <c r="H518" s="26"/>
      <c r="I518" s="26">
        <v>53</v>
      </c>
      <c r="J518" s="26">
        <v>76</v>
      </c>
      <c r="K518" s="26">
        <v>38</v>
      </c>
      <c r="L518" s="26"/>
      <c r="M518" s="26">
        <v>17</v>
      </c>
      <c r="N518" s="26">
        <v>20</v>
      </c>
      <c r="O518" s="26">
        <v>53</v>
      </c>
      <c r="P518" s="26">
        <v>8</v>
      </c>
      <c r="Q518" s="70">
        <v>0</v>
      </c>
      <c r="R518" s="26">
        <v>94</v>
      </c>
    </row>
    <row r="519" spans="1:18" x14ac:dyDescent="0.35">
      <c r="A519" s="69">
        <v>52210143</v>
      </c>
      <c r="B519" s="69" t="s">
        <v>2035</v>
      </c>
      <c r="C519" s="69" t="s">
        <v>2036</v>
      </c>
      <c r="D519" s="69">
        <v>9595169968</v>
      </c>
      <c r="E519" s="69" t="s">
        <v>2037</v>
      </c>
      <c r="F519" s="69" t="s">
        <v>206</v>
      </c>
      <c r="G519" s="26"/>
      <c r="H519" s="26"/>
      <c r="I519" s="26"/>
      <c r="J519" s="26"/>
      <c r="K519" s="26"/>
      <c r="L519" s="26"/>
      <c r="M519" s="26"/>
      <c r="N519" s="26">
        <v>15</v>
      </c>
      <c r="O519" s="26">
        <v>6</v>
      </c>
      <c r="P519" s="26">
        <v>18</v>
      </c>
      <c r="Q519" s="70">
        <v>0</v>
      </c>
      <c r="R519" s="26">
        <v>93</v>
      </c>
    </row>
    <row r="520" spans="1:18" x14ac:dyDescent="0.35">
      <c r="A520" s="69">
        <v>52210146</v>
      </c>
      <c r="B520" s="69" t="s">
        <v>2038</v>
      </c>
      <c r="C520" s="69" t="s">
        <v>2039</v>
      </c>
      <c r="D520" s="69">
        <v>9420189580</v>
      </c>
      <c r="E520" s="69" t="s">
        <v>2040</v>
      </c>
      <c r="F520" s="69" t="s">
        <v>206</v>
      </c>
      <c r="G520" s="26">
        <v>19</v>
      </c>
      <c r="H520" s="26">
        <v>5</v>
      </c>
      <c r="I520" s="26">
        <v>10</v>
      </c>
      <c r="J520" s="26">
        <v>8</v>
      </c>
      <c r="K520" s="26">
        <v>17</v>
      </c>
      <c r="L520" s="26">
        <v>1</v>
      </c>
      <c r="M520" s="26"/>
      <c r="N520" s="26">
        <v>4</v>
      </c>
      <c r="O520" s="26">
        <v>13</v>
      </c>
      <c r="P520" s="26">
        <v>12</v>
      </c>
      <c r="Q520" s="70">
        <v>3</v>
      </c>
      <c r="R520" s="26">
        <v>92</v>
      </c>
    </row>
    <row r="521" spans="1:18" x14ac:dyDescent="0.35">
      <c r="A521" s="69">
        <v>52210148</v>
      </c>
      <c r="B521" s="69" t="s">
        <v>2041</v>
      </c>
      <c r="C521" s="69" t="s">
        <v>2042</v>
      </c>
      <c r="D521" s="69">
        <v>9730195814</v>
      </c>
      <c r="E521" s="69" t="s">
        <v>2043</v>
      </c>
      <c r="F521" s="69" t="s">
        <v>206</v>
      </c>
      <c r="G521" s="26">
        <v>21</v>
      </c>
      <c r="H521" s="26"/>
      <c r="I521" s="26">
        <v>41</v>
      </c>
      <c r="J521" s="26">
        <v>73</v>
      </c>
      <c r="K521" s="26">
        <v>30</v>
      </c>
      <c r="L521" s="26">
        <v>24</v>
      </c>
      <c r="M521" s="26">
        <v>27</v>
      </c>
      <c r="N521" s="26">
        <v>17</v>
      </c>
      <c r="O521" s="26">
        <v>12</v>
      </c>
      <c r="P521" s="26">
        <v>12</v>
      </c>
      <c r="Q521" s="70">
        <v>13</v>
      </c>
      <c r="R521" s="26">
        <v>92</v>
      </c>
    </row>
    <row r="522" spans="1:18" x14ac:dyDescent="0.35">
      <c r="A522" s="69">
        <v>52210150</v>
      </c>
      <c r="B522" s="69" t="s">
        <v>2044</v>
      </c>
      <c r="C522" s="69" t="s">
        <v>2045</v>
      </c>
      <c r="D522" s="69">
        <v>9850330989</v>
      </c>
      <c r="E522" s="69" t="s">
        <v>2046</v>
      </c>
      <c r="F522" s="69" t="s">
        <v>206</v>
      </c>
      <c r="G522" s="26"/>
      <c r="H522" s="26"/>
      <c r="I522" s="26"/>
      <c r="J522" s="26"/>
      <c r="K522" s="26">
        <v>17</v>
      </c>
      <c r="L522" s="26"/>
      <c r="M522" s="26"/>
      <c r="N522" s="26"/>
      <c r="O522" s="26">
        <v>0</v>
      </c>
      <c r="P522" s="26">
        <v>0</v>
      </c>
      <c r="Q522" s="70">
        <v>13</v>
      </c>
      <c r="R522" s="26">
        <v>92</v>
      </c>
    </row>
    <row r="523" spans="1:18" x14ac:dyDescent="0.35">
      <c r="A523" s="69">
        <v>52210154</v>
      </c>
      <c r="B523" s="69" t="s">
        <v>2047</v>
      </c>
      <c r="C523" s="69" t="s">
        <v>2048</v>
      </c>
      <c r="D523" s="69">
        <v>9860474645</v>
      </c>
      <c r="E523" s="69" t="s">
        <v>2049</v>
      </c>
      <c r="F523" s="69" t="s">
        <v>206</v>
      </c>
      <c r="G523" s="26"/>
      <c r="H523" s="26">
        <v>2</v>
      </c>
      <c r="I523" s="26">
        <v>4</v>
      </c>
      <c r="J523" s="26">
        <v>30</v>
      </c>
      <c r="K523" s="26"/>
      <c r="L523" s="26">
        <v>15</v>
      </c>
      <c r="M523" s="26">
        <v>1</v>
      </c>
      <c r="N523" s="26">
        <v>0</v>
      </c>
      <c r="O523" s="26">
        <v>0</v>
      </c>
      <c r="P523" s="26">
        <v>9</v>
      </c>
      <c r="Q523" s="70">
        <v>0</v>
      </c>
      <c r="R523" s="26">
        <v>92</v>
      </c>
    </row>
    <row r="524" spans="1:18" x14ac:dyDescent="0.35">
      <c r="A524" s="69">
        <v>52210155</v>
      </c>
      <c r="B524" s="69" t="s">
        <v>2050</v>
      </c>
      <c r="C524" s="69" t="s">
        <v>2051</v>
      </c>
      <c r="D524" s="69">
        <v>9403312283</v>
      </c>
      <c r="E524" s="69" t="s">
        <v>2052</v>
      </c>
      <c r="F524" s="69" t="s">
        <v>206</v>
      </c>
      <c r="G524" s="26">
        <v>7</v>
      </c>
      <c r="H524" s="26">
        <v>6</v>
      </c>
      <c r="I524" s="26">
        <v>29</v>
      </c>
      <c r="J524" s="26">
        <v>26</v>
      </c>
      <c r="K524" s="26"/>
      <c r="L524" s="26"/>
      <c r="M524" s="26">
        <v>20</v>
      </c>
      <c r="N524" s="26">
        <v>10</v>
      </c>
      <c r="O524" s="26"/>
      <c r="P524" s="26">
        <v>4</v>
      </c>
      <c r="Q524" s="70">
        <v>1</v>
      </c>
      <c r="R524" s="26">
        <v>91</v>
      </c>
    </row>
    <row r="525" spans="1:18" x14ac:dyDescent="0.35">
      <c r="A525" s="69">
        <v>52210157</v>
      </c>
      <c r="B525" s="69" t="s">
        <v>2053</v>
      </c>
      <c r="C525" s="69" t="s">
        <v>2054</v>
      </c>
      <c r="D525" s="69">
        <v>9326277444</v>
      </c>
      <c r="E525" s="69" t="s">
        <v>2055</v>
      </c>
      <c r="F525" s="69" t="s">
        <v>206</v>
      </c>
      <c r="G525" s="26">
        <v>39</v>
      </c>
      <c r="H525" s="26"/>
      <c r="I525" s="26">
        <v>51</v>
      </c>
      <c r="J525" s="26">
        <v>48</v>
      </c>
      <c r="K525" s="26">
        <v>36</v>
      </c>
      <c r="L525" s="26">
        <v>17</v>
      </c>
      <c r="M525" s="26">
        <v>17</v>
      </c>
      <c r="N525" s="26">
        <v>32</v>
      </c>
      <c r="O525" s="26"/>
      <c r="P525" s="26">
        <v>20</v>
      </c>
      <c r="Q525" s="70">
        <v>4</v>
      </c>
      <c r="R525" s="26">
        <v>91</v>
      </c>
    </row>
    <row r="526" spans="1:18" x14ac:dyDescent="0.35">
      <c r="A526" s="69">
        <v>52210159</v>
      </c>
      <c r="B526" s="69" t="s">
        <v>2056</v>
      </c>
      <c r="C526" s="69" t="s">
        <v>2057</v>
      </c>
      <c r="D526" s="69">
        <v>9371893252</v>
      </c>
      <c r="E526" s="69" t="s">
        <v>2058</v>
      </c>
      <c r="F526" s="69" t="s">
        <v>206</v>
      </c>
      <c r="G526" s="26"/>
      <c r="H526" s="26">
        <v>7</v>
      </c>
      <c r="I526" s="26"/>
      <c r="J526" s="26">
        <v>72</v>
      </c>
      <c r="K526" s="26">
        <v>3</v>
      </c>
      <c r="L526" s="26"/>
      <c r="M526" s="26"/>
      <c r="N526" s="26">
        <v>4</v>
      </c>
      <c r="O526" s="26"/>
      <c r="P526" s="26">
        <v>9</v>
      </c>
      <c r="Q526" s="70">
        <v>4</v>
      </c>
      <c r="R526" s="26">
        <v>91</v>
      </c>
    </row>
    <row r="527" spans="1:18" x14ac:dyDescent="0.35">
      <c r="A527" s="69">
        <v>52210163</v>
      </c>
      <c r="B527" s="69" t="s">
        <v>2059</v>
      </c>
      <c r="C527" s="69" t="s">
        <v>2060</v>
      </c>
      <c r="D527" s="69">
        <v>9765021393</v>
      </c>
      <c r="E527" s="69" t="s">
        <v>2061</v>
      </c>
      <c r="F527" s="69" t="s">
        <v>206</v>
      </c>
      <c r="G527" s="26"/>
      <c r="H527" s="26"/>
      <c r="I527" s="26"/>
      <c r="J527" s="26">
        <v>51</v>
      </c>
      <c r="K527" s="26">
        <v>17</v>
      </c>
      <c r="L527" s="26"/>
      <c r="M527" s="26"/>
      <c r="N527" s="26">
        <v>18</v>
      </c>
      <c r="O527" s="26"/>
      <c r="P527" s="26">
        <v>14</v>
      </c>
      <c r="Q527" s="70">
        <v>0</v>
      </c>
      <c r="R527" s="26">
        <v>91</v>
      </c>
    </row>
    <row r="528" spans="1:18" x14ac:dyDescent="0.35">
      <c r="A528" s="69">
        <v>52210164</v>
      </c>
      <c r="B528" s="69" t="s">
        <v>2062</v>
      </c>
      <c r="C528" s="69" t="s">
        <v>2063</v>
      </c>
      <c r="D528" s="69">
        <v>9923910105</v>
      </c>
      <c r="E528" s="69" t="s">
        <v>2064</v>
      </c>
      <c r="F528" s="69" t="s">
        <v>206</v>
      </c>
      <c r="G528" s="26">
        <v>13</v>
      </c>
      <c r="H528" s="26"/>
      <c r="I528" s="26"/>
      <c r="J528" s="26">
        <v>24</v>
      </c>
      <c r="K528" s="26">
        <v>20</v>
      </c>
      <c r="L528" s="26">
        <v>6</v>
      </c>
      <c r="M528" s="26"/>
      <c r="N528" s="26">
        <v>19</v>
      </c>
      <c r="O528" s="26"/>
      <c r="P528" s="26">
        <v>8</v>
      </c>
      <c r="Q528" s="70">
        <v>0</v>
      </c>
      <c r="R528" s="26">
        <v>91</v>
      </c>
    </row>
    <row r="529" spans="1:18" x14ac:dyDescent="0.35">
      <c r="A529" s="69">
        <v>52210167</v>
      </c>
      <c r="B529" s="69" t="s">
        <v>2065</v>
      </c>
      <c r="C529" s="69" t="s">
        <v>2066</v>
      </c>
      <c r="D529" s="69">
        <v>9421787095</v>
      </c>
      <c r="E529" s="69" t="s">
        <v>2067</v>
      </c>
      <c r="F529" s="69" t="s">
        <v>206</v>
      </c>
      <c r="G529" s="26"/>
      <c r="H529" s="26">
        <v>24</v>
      </c>
      <c r="I529" s="26"/>
      <c r="J529" s="26">
        <v>28</v>
      </c>
      <c r="K529" s="26"/>
      <c r="L529" s="26"/>
      <c r="M529" s="26"/>
      <c r="N529" s="26"/>
      <c r="O529" s="26"/>
      <c r="P529" s="26">
        <v>0</v>
      </c>
      <c r="Q529" s="70">
        <v>0</v>
      </c>
      <c r="R529" s="26">
        <v>91</v>
      </c>
    </row>
    <row r="530" spans="1:18" x14ac:dyDescent="0.35">
      <c r="A530" s="69">
        <v>52210168</v>
      </c>
      <c r="B530" s="69" t="s">
        <v>2068</v>
      </c>
      <c r="C530" s="69" t="s">
        <v>2069</v>
      </c>
      <c r="D530" s="69">
        <v>9890856227</v>
      </c>
      <c r="E530" s="69" t="s">
        <v>2070</v>
      </c>
      <c r="F530" s="69" t="s">
        <v>206</v>
      </c>
      <c r="G530" s="26"/>
      <c r="H530" s="26"/>
      <c r="I530" s="26"/>
      <c r="J530" s="26">
        <v>60</v>
      </c>
      <c r="K530" s="26">
        <v>5</v>
      </c>
      <c r="L530" s="26">
        <v>6</v>
      </c>
      <c r="M530" s="26"/>
      <c r="N530" s="26">
        <v>4</v>
      </c>
      <c r="O530" s="26">
        <v>2</v>
      </c>
      <c r="P530" s="26">
        <v>2</v>
      </c>
      <c r="Q530" s="70">
        <v>2</v>
      </c>
      <c r="R530" s="26">
        <v>91</v>
      </c>
    </row>
    <row r="531" spans="1:18" x14ac:dyDescent="0.35">
      <c r="A531" s="69">
        <v>52210187</v>
      </c>
      <c r="B531" s="69" t="s">
        <v>2071</v>
      </c>
      <c r="C531" s="69" t="s">
        <v>2072</v>
      </c>
      <c r="D531" s="69">
        <v>8149940542</v>
      </c>
      <c r="E531" s="69" t="s">
        <v>2073</v>
      </c>
      <c r="F531" s="69" t="s">
        <v>206</v>
      </c>
      <c r="G531" s="26">
        <v>10</v>
      </c>
      <c r="H531" s="26"/>
      <c r="I531" s="26">
        <v>4</v>
      </c>
      <c r="J531" s="26">
        <v>55</v>
      </c>
      <c r="K531" s="26">
        <v>18</v>
      </c>
      <c r="L531" s="26">
        <v>3</v>
      </c>
      <c r="M531" s="26">
        <v>4</v>
      </c>
      <c r="N531" s="26">
        <v>11</v>
      </c>
      <c r="O531" s="26">
        <v>5</v>
      </c>
      <c r="P531" s="26">
        <v>0</v>
      </c>
      <c r="Q531" s="70">
        <v>32</v>
      </c>
      <c r="R531" s="26">
        <v>90</v>
      </c>
    </row>
    <row r="532" spans="1:18" x14ac:dyDescent="0.35">
      <c r="A532" s="69">
        <v>52210190</v>
      </c>
      <c r="B532" s="69" t="s">
        <v>2074</v>
      </c>
      <c r="C532" s="69" t="s">
        <v>2075</v>
      </c>
      <c r="D532" s="69">
        <v>9890101680</v>
      </c>
      <c r="E532" s="69" t="s">
        <v>2076</v>
      </c>
      <c r="F532" s="69" t="s">
        <v>206</v>
      </c>
      <c r="G532" s="26"/>
      <c r="H532" s="26"/>
      <c r="I532" s="26"/>
      <c r="J532" s="26">
        <v>1</v>
      </c>
      <c r="K532" s="26"/>
      <c r="L532" s="26"/>
      <c r="M532" s="26"/>
      <c r="N532" s="26">
        <v>2</v>
      </c>
      <c r="O532" s="26">
        <v>1</v>
      </c>
      <c r="P532" s="26">
        <v>0</v>
      </c>
      <c r="Q532" s="70">
        <v>0</v>
      </c>
      <c r="R532" s="26">
        <v>90</v>
      </c>
    </row>
    <row r="533" spans="1:18" x14ac:dyDescent="0.35">
      <c r="A533" s="69">
        <v>52210192</v>
      </c>
      <c r="B533" s="69" t="s">
        <v>2077</v>
      </c>
      <c r="C533" s="69" t="s">
        <v>2078</v>
      </c>
      <c r="D533" s="69">
        <v>9423608907</v>
      </c>
      <c r="E533" s="69" t="s">
        <v>2079</v>
      </c>
      <c r="F533" s="69" t="s">
        <v>206</v>
      </c>
      <c r="G533" s="26">
        <v>17</v>
      </c>
      <c r="H533" s="26"/>
      <c r="I533" s="26">
        <v>32</v>
      </c>
      <c r="J533" s="26">
        <v>88</v>
      </c>
      <c r="K533" s="26">
        <v>32</v>
      </c>
      <c r="L533" s="26">
        <v>9</v>
      </c>
      <c r="M533" s="26"/>
      <c r="N533" s="26"/>
      <c r="O533" s="26">
        <v>13</v>
      </c>
      <c r="P533" s="26">
        <v>9</v>
      </c>
      <c r="Q533" s="70">
        <v>0</v>
      </c>
      <c r="R533" s="26">
        <v>89</v>
      </c>
    </row>
    <row r="534" spans="1:18" x14ac:dyDescent="0.35">
      <c r="A534" s="69">
        <v>52210193</v>
      </c>
      <c r="B534" s="69" t="s">
        <v>2080</v>
      </c>
      <c r="C534" s="69" t="s">
        <v>2081</v>
      </c>
      <c r="D534" s="69">
        <v>9960919646</v>
      </c>
      <c r="E534" s="69" t="s">
        <v>2082</v>
      </c>
      <c r="F534" s="69" t="s">
        <v>206</v>
      </c>
      <c r="G534" s="26"/>
      <c r="H534" s="26"/>
      <c r="I534" s="26"/>
      <c r="J534" s="26">
        <v>14</v>
      </c>
      <c r="K534" s="26"/>
      <c r="L534" s="26"/>
      <c r="M534" s="26">
        <v>0</v>
      </c>
      <c r="N534" s="26">
        <v>18</v>
      </c>
      <c r="O534" s="26"/>
      <c r="P534" s="26">
        <v>0</v>
      </c>
      <c r="Q534" s="70">
        <v>0</v>
      </c>
      <c r="R534" s="26">
        <v>89</v>
      </c>
    </row>
    <row r="535" spans="1:18" x14ac:dyDescent="0.35">
      <c r="A535" s="69">
        <v>52210195</v>
      </c>
      <c r="B535" s="69" t="s">
        <v>2083</v>
      </c>
      <c r="C535" s="69" t="s">
        <v>2084</v>
      </c>
      <c r="D535" s="69">
        <v>9403169771</v>
      </c>
      <c r="E535" s="69" t="s">
        <v>2085</v>
      </c>
      <c r="F535" s="69" t="s">
        <v>206</v>
      </c>
      <c r="G535" s="26">
        <v>15</v>
      </c>
      <c r="H535" s="26"/>
      <c r="I535" s="26"/>
      <c r="J535" s="26">
        <v>79</v>
      </c>
      <c r="K535" s="26">
        <v>25</v>
      </c>
      <c r="L535" s="26">
        <v>15</v>
      </c>
      <c r="M535" s="26">
        <v>10</v>
      </c>
      <c r="N535" s="26">
        <v>0</v>
      </c>
      <c r="O535" s="26">
        <v>20</v>
      </c>
      <c r="P535" s="26">
        <v>3</v>
      </c>
      <c r="Q535" s="70">
        <v>3</v>
      </c>
      <c r="R535" s="26">
        <v>89</v>
      </c>
    </row>
    <row r="536" spans="1:18" x14ac:dyDescent="0.35">
      <c r="A536" s="69">
        <v>52210204</v>
      </c>
      <c r="B536" s="69" t="s">
        <v>2086</v>
      </c>
      <c r="C536" s="69" t="s">
        <v>2087</v>
      </c>
      <c r="D536" s="69">
        <v>8055115977</v>
      </c>
      <c r="E536" s="69" t="s">
        <v>2088</v>
      </c>
      <c r="F536" s="69" t="s">
        <v>206</v>
      </c>
      <c r="G536" s="26">
        <v>8</v>
      </c>
      <c r="H536" s="26">
        <v>6</v>
      </c>
      <c r="I536" s="26">
        <v>11</v>
      </c>
      <c r="J536" s="26">
        <v>11</v>
      </c>
      <c r="K536" s="26">
        <v>22</v>
      </c>
      <c r="L536" s="26"/>
      <c r="M536" s="26">
        <v>11</v>
      </c>
      <c r="N536" s="26">
        <v>0</v>
      </c>
      <c r="O536" s="26">
        <v>10</v>
      </c>
      <c r="P536" s="26">
        <v>7</v>
      </c>
      <c r="Q536" s="70">
        <v>1</v>
      </c>
      <c r="R536" s="26">
        <v>89</v>
      </c>
    </row>
    <row r="537" spans="1:18" x14ac:dyDescent="0.35">
      <c r="A537" s="69">
        <v>52210206</v>
      </c>
      <c r="B537" s="69" t="s">
        <v>2089</v>
      </c>
      <c r="C537" s="69" t="s">
        <v>2090</v>
      </c>
      <c r="D537" s="69">
        <v>9665185171</v>
      </c>
      <c r="E537" s="69" t="s">
        <v>2091</v>
      </c>
      <c r="F537" s="69" t="s">
        <v>206</v>
      </c>
      <c r="G537" s="26">
        <v>14</v>
      </c>
      <c r="H537" s="26">
        <v>3</v>
      </c>
      <c r="I537" s="26">
        <v>70</v>
      </c>
      <c r="J537" s="26">
        <v>47</v>
      </c>
      <c r="K537" s="26">
        <v>17</v>
      </c>
      <c r="L537" s="26">
        <v>9</v>
      </c>
      <c r="M537" s="26">
        <v>6</v>
      </c>
      <c r="N537" s="26">
        <v>4</v>
      </c>
      <c r="O537" s="26">
        <v>2</v>
      </c>
      <c r="P537" s="26">
        <v>0</v>
      </c>
      <c r="Q537" s="70">
        <v>0</v>
      </c>
      <c r="R537" s="26">
        <v>89</v>
      </c>
    </row>
    <row r="538" spans="1:18" x14ac:dyDescent="0.35">
      <c r="A538" s="69">
        <v>52210208</v>
      </c>
      <c r="B538" s="69" t="s">
        <v>2092</v>
      </c>
      <c r="C538" s="69" t="s">
        <v>2093</v>
      </c>
      <c r="D538" s="69">
        <v>9579276524</v>
      </c>
      <c r="E538" s="69" t="s">
        <v>2094</v>
      </c>
      <c r="F538" s="69" t="s">
        <v>206</v>
      </c>
      <c r="G538" s="26"/>
      <c r="H538" s="26">
        <v>8</v>
      </c>
      <c r="I538" s="26"/>
      <c r="J538" s="26">
        <v>32</v>
      </c>
      <c r="K538" s="26">
        <v>8</v>
      </c>
      <c r="L538" s="26">
        <v>10</v>
      </c>
      <c r="M538" s="26">
        <v>3</v>
      </c>
      <c r="N538" s="26"/>
      <c r="O538" s="26">
        <v>4</v>
      </c>
      <c r="P538" s="26">
        <v>1</v>
      </c>
      <c r="Q538" s="70">
        <v>0</v>
      </c>
      <c r="R538" s="26">
        <v>89</v>
      </c>
    </row>
    <row r="539" spans="1:18" x14ac:dyDescent="0.35">
      <c r="A539" s="69">
        <v>52210223</v>
      </c>
      <c r="B539" s="69" t="s">
        <v>2095</v>
      </c>
      <c r="C539" s="69" t="s">
        <v>2096</v>
      </c>
      <c r="D539" s="69">
        <v>9423393780</v>
      </c>
      <c r="E539" s="69" t="s">
        <v>2097</v>
      </c>
      <c r="F539" s="69" t="s">
        <v>206</v>
      </c>
      <c r="G539" s="26"/>
      <c r="H539" s="26"/>
      <c r="I539" s="26">
        <v>4</v>
      </c>
      <c r="J539" s="26">
        <v>5</v>
      </c>
      <c r="K539" s="26">
        <v>4</v>
      </c>
      <c r="L539" s="26">
        <v>2</v>
      </c>
      <c r="M539" s="26">
        <v>2</v>
      </c>
      <c r="N539" s="26">
        <v>10</v>
      </c>
      <c r="O539" s="26">
        <v>14</v>
      </c>
      <c r="P539" s="26">
        <v>4</v>
      </c>
      <c r="Q539" s="70">
        <v>3</v>
      </c>
      <c r="R539" s="26">
        <v>88</v>
      </c>
    </row>
    <row r="540" spans="1:18" x14ac:dyDescent="0.35">
      <c r="A540" s="69">
        <v>54210001</v>
      </c>
      <c r="B540" s="69" t="s">
        <v>2098</v>
      </c>
      <c r="C540" s="69" t="s">
        <v>2099</v>
      </c>
      <c r="D540" s="69">
        <v>9923776408</v>
      </c>
      <c r="E540" s="69" t="s">
        <v>2100</v>
      </c>
      <c r="F540" s="69" t="s">
        <v>206</v>
      </c>
      <c r="G540" s="26">
        <v>48</v>
      </c>
      <c r="H540" s="26">
        <v>24</v>
      </c>
      <c r="I540" s="26">
        <v>68</v>
      </c>
      <c r="J540" s="26">
        <v>162</v>
      </c>
      <c r="K540" s="26">
        <v>60</v>
      </c>
      <c r="L540" s="26">
        <v>20</v>
      </c>
      <c r="M540" s="26">
        <v>26</v>
      </c>
      <c r="N540" s="26">
        <v>25</v>
      </c>
      <c r="O540" s="26"/>
      <c r="P540" s="26">
        <v>45</v>
      </c>
      <c r="Q540" s="70">
        <v>13</v>
      </c>
      <c r="R540" s="26">
        <v>88</v>
      </c>
    </row>
    <row r="541" spans="1:18" x14ac:dyDescent="0.35">
      <c r="A541" s="69">
        <v>54210002</v>
      </c>
      <c r="B541" s="69" t="s">
        <v>1993</v>
      </c>
      <c r="C541" s="69" t="s">
        <v>2102</v>
      </c>
      <c r="D541" s="69">
        <v>9890503200</v>
      </c>
      <c r="E541" s="69" t="s">
        <v>2103</v>
      </c>
      <c r="F541" s="69" t="s">
        <v>206</v>
      </c>
      <c r="G541" s="26">
        <v>39</v>
      </c>
      <c r="H541" s="26">
        <v>19</v>
      </c>
      <c r="I541" s="26">
        <v>67</v>
      </c>
      <c r="J541" s="26">
        <v>20</v>
      </c>
      <c r="K541" s="26">
        <v>108</v>
      </c>
      <c r="L541" s="26"/>
      <c r="M541" s="26">
        <v>110</v>
      </c>
      <c r="N541" s="26">
        <v>12</v>
      </c>
      <c r="O541" s="26"/>
      <c r="P541" s="26">
        <v>73</v>
      </c>
      <c r="Q541" s="70">
        <v>0</v>
      </c>
      <c r="R541" s="26">
        <v>88</v>
      </c>
    </row>
    <row r="542" spans="1:18" x14ac:dyDescent="0.35">
      <c r="A542" s="69">
        <v>54210004</v>
      </c>
      <c r="B542" s="69" t="s">
        <v>2104</v>
      </c>
      <c r="C542" s="69" t="s">
        <v>2105</v>
      </c>
      <c r="D542" s="69">
        <v>9765323428</v>
      </c>
      <c r="E542" s="69" t="s">
        <v>2106</v>
      </c>
      <c r="F542" s="69" t="s">
        <v>206</v>
      </c>
      <c r="G542" s="26">
        <v>23</v>
      </c>
      <c r="H542" s="26"/>
      <c r="I542" s="26">
        <v>58</v>
      </c>
      <c r="J542" s="26">
        <v>11</v>
      </c>
      <c r="K542" s="26">
        <v>9</v>
      </c>
      <c r="L542" s="26"/>
      <c r="M542" s="26">
        <v>6</v>
      </c>
      <c r="N542" s="26">
        <v>10</v>
      </c>
      <c r="O542" s="26">
        <v>8</v>
      </c>
      <c r="P542" s="26">
        <v>8</v>
      </c>
      <c r="Q542" s="70">
        <v>5</v>
      </c>
      <c r="R542" s="26">
        <v>87</v>
      </c>
    </row>
    <row r="543" spans="1:18" x14ac:dyDescent="0.35">
      <c r="A543" s="69">
        <v>54210007</v>
      </c>
      <c r="B543" s="69" t="s">
        <v>2107</v>
      </c>
      <c r="C543" s="69" t="s">
        <v>2108</v>
      </c>
      <c r="D543" s="69">
        <v>9823870310</v>
      </c>
      <c r="E543" s="69" t="s">
        <v>2109</v>
      </c>
      <c r="F543" s="69" t="s">
        <v>206</v>
      </c>
      <c r="G543" s="26">
        <v>32</v>
      </c>
      <c r="H543" s="26">
        <v>10</v>
      </c>
      <c r="I543" s="26">
        <v>51</v>
      </c>
      <c r="J543" s="26">
        <v>244</v>
      </c>
      <c r="K543" s="26">
        <v>16</v>
      </c>
      <c r="L543" s="26">
        <v>7</v>
      </c>
      <c r="M543" s="26">
        <v>7</v>
      </c>
      <c r="N543" s="26">
        <v>3</v>
      </c>
      <c r="O543" s="26"/>
      <c r="P543" s="26">
        <v>21</v>
      </c>
      <c r="Q543" s="70">
        <v>10</v>
      </c>
      <c r="R543" s="26">
        <v>87</v>
      </c>
    </row>
    <row r="544" spans="1:18" x14ac:dyDescent="0.35">
      <c r="A544" s="69">
        <v>54210008</v>
      </c>
      <c r="B544" s="69" t="s">
        <v>2110</v>
      </c>
      <c r="C544" s="69" t="s">
        <v>2111</v>
      </c>
      <c r="D544" s="69">
        <v>9370508484</v>
      </c>
      <c r="E544" s="69" t="s">
        <v>2112</v>
      </c>
      <c r="F544" s="69" t="s">
        <v>206</v>
      </c>
      <c r="G544" s="26">
        <v>90</v>
      </c>
      <c r="H544" s="26">
        <v>11</v>
      </c>
      <c r="I544" s="26">
        <v>131</v>
      </c>
      <c r="J544" s="26">
        <v>67</v>
      </c>
      <c r="K544" s="26">
        <v>35</v>
      </c>
      <c r="L544" s="26"/>
      <c r="M544" s="26">
        <v>70</v>
      </c>
      <c r="N544" s="26">
        <v>41</v>
      </c>
      <c r="O544" s="26">
        <v>24</v>
      </c>
      <c r="P544" s="26">
        <v>38</v>
      </c>
      <c r="Q544" s="70">
        <v>21</v>
      </c>
      <c r="R544" s="26">
        <v>87</v>
      </c>
    </row>
    <row r="545" spans="1:18" x14ac:dyDescent="0.35">
      <c r="A545" s="69">
        <v>54210009</v>
      </c>
      <c r="B545" s="69" t="s">
        <v>2113</v>
      </c>
      <c r="C545" s="69" t="s">
        <v>2114</v>
      </c>
      <c r="D545" s="69">
        <v>9764706777</v>
      </c>
      <c r="E545" s="69" t="s">
        <v>2115</v>
      </c>
      <c r="F545" s="69" t="s">
        <v>206</v>
      </c>
      <c r="G545" s="26">
        <v>20</v>
      </c>
      <c r="H545" s="26">
        <v>7</v>
      </c>
      <c r="I545" s="26">
        <v>53</v>
      </c>
      <c r="J545" s="26">
        <v>35</v>
      </c>
      <c r="K545" s="26">
        <v>3</v>
      </c>
      <c r="L545" s="26"/>
      <c r="M545" s="26">
        <v>21</v>
      </c>
      <c r="N545" s="26">
        <v>8</v>
      </c>
      <c r="O545" s="26">
        <v>0</v>
      </c>
      <c r="P545" s="26">
        <v>12</v>
      </c>
      <c r="Q545" s="70">
        <v>4</v>
      </c>
      <c r="R545" s="26">
        <v>86</v>
      </c>
    </row>
    <row r="546" spans="1:18" x14ac:dyDescent="0.35">
      <c r="A546" s="69">
        <v>54210010</v>
      </c>
      <c r="B546" s="69" t="s">
        <v>2116</v>
      </c>
      <c r="C546" s="69" t="s">
        <v>2117</v>
      </c>
      <c r="D546" s="69">
        <v>9049759187</v>
      </c>
      <c r="E546" s="69" t="s">
        <v>2118</v>
      </c>
      <c r="F546" s="69" t="s">
        <v>206</v>
      </c>
      <c r="G546" s="26">
        <v>14</v>
      </c>
      <c r="H546" s="26">
        <v>15</v>
      </c>
      <c r="I546" s="26">
        <v>81</v>
      </c>
      <c r="J546" s="26">
        <v>17</v>
      </c>
      <c r="K546" s="26">
        <v>42</v>
      </c>
      <c r="L546" s="26"/>
      <c r="M546" s="26"/>
      <c r="N546" s="26">
        <v>0</v>
      </c>
      <c r="O546" s="26"/>
      <c r="P546" s="26">
        <v>26</v>
      </c>
      <c r="Q546" s="70">
        <v>0</v>
      </c>
      <c r="R546" s="26">
        <v>85</v>
      </c>
    </row>
    <row r="547" spans="1:18" x14ac:dyDescent="0.35">
      <c r="A547" s="69">
        <v>54210011</v>
      </c>
      <c r="B547" s="69" t="s">
        <v>2119</v>
      </c>
      <c r="C547" s="69" t="s">
        <v>2120</v>
      </c>
      <c r="D547" s="69">
        <v>9423186499</v>
      </c>
      <c r="E547" s="69" t="s">
        <v>2121</v>
      </c>
      <c r="F547" s="69" t="s">
        <v>206</v>
      </c>
      <c r="G547" s="26">
        <v>69</v>
      </c>
      <c r="H547" s="26">
        <v>24</v>
      </c>
      <c r="I547" s="26">
        <v>73</v>
      </c>
      <c r="J547" s="26">
        <v>62</v>
      </c>
      <c r="K547" s="26">
        <v>67</v>
      </c>
      <c r="L547" s="26">
        <v>19</v>
      </c>
      <c r="M547" s="26">
        <v>23</v>
      </c>
      <c r="N547" s="26">
        <v>16</v>
      </c>
      <c r="O547" s="26">
        <v>27</v>
      </c>
      <c r="P547" s="26">
        <v>23</v>
      </c>
      <c r="Q547" s="70">
        <v>10</v>
      </c>
      <c r="R547" s="26">
        <v>85</v>
      </c>
    </row>
    <row r="548" spans="1:18" x14ac:dyDescent="0.35">
      <c r="A548" s="69">
        <v>54210023</v>
      </c>
      <c r="B548" s="69" t="s">
        <v>2122</v>
      </c>
      <c r="C548" s="69" t="s">
        <v>2123</v>
      </c>
      <c r="D548" s="69">
        <v>9326810962</v>
      </c>
      <c r="E548" s="69" t="s">
        <v>2124</v>
      </c>
      <c r="F548" s="69" t="s">
        <v>206</v>
      </c>
      <c r="G548" s="26"/>
      <c r="H548" s="26">
        <v>29</v>
      </c>
      <c r="I548" s="26">
        <v>36</v>
      </c>
      <c r="J548" s="26">
        <v>28</v>
      </c>
      <c r="K548" s="26"/>
      <c r="L548" s="26">
        <v>36</v>
      </c>
      <c r="M548" s="26">
        <v>0</v>
      </c>
      <c r="N548" s="26">
        <v>33</v>
      </c>
      <c r="O548" s="26"/>
      <c r="P548" s="26">
        <v>13</v>
      </c>
      <c r="Q548" s="70">
        <v>0</v>
      </c>
      <c r="R548" s="26">
        <v>84</v>
      </c>
    </row>
    <row r="549" spans="1:18" x14ac:dyDescent="0.35">
      <c r="A549" s="69">
        <v>54210054</v>
      </c>
      <c r="B549" s="69" t="s">
        <v>2125</v>
      </c>
      <c r="C549" s="69" t="s">
        <v>2126</v>
      </c>
      <c r="D549" s="69">
        <v>9271225340</v>
      </c>
      <c r="E549" s="69" t="s">
        <v>2127</v>
      </c>
      <c r="F549" s="69" t="s">
        <v>206</v>
      </c>
      <c r="G549" s="26">
        <v>13</v>
      </c>
      <c r="H549" s="26">
        <v>8</v>
      </c>
      <c r="I549" s="26">
        <v>26</v>
      </c>
      <c r="J549" s="26">
        <v>38</v>
      </c>
      <c r="K549" s="26">
        <v>7</v>
      </c>
      <c r="L549" s="26">
        <v>6</v>
      </c>
      <c r="M549" s="26">
        <v>6</v>
      </c>
      <c r="N549" s="26">
        <v>3</v>
      </c>
      <c r="O549" s="26">
        <v>4</v>
      </c>
      <c r="P549" s="26">
        <v>5</v>
      </c>
      <c r="Q549" s="70">
        <v>4</v>
      </c>
      <c r="R549" s="26">
        <v>84</v>
      </c>
    </row>
    <row r="550" spans="1:18" x14ac:dyDescent="0.35">
      <c r="A550" s="69">
        <v>54210055</v>
      </c>
      <c r="B550" s="69" t="s">
        <v>2128</v>
      </c>
      <c r="C550" s="69" t="s">
        <v>2129</v>
      </c>
      <c r="D550" s="69">
        <v>9420618695</v>
      </c>
      <c r="E550" s="69" t="s">
        <v>2130</v>
      </c>
      <c r="F550" s="69" t="s">
        <v>206</v>
      </c>
      <c r="G550" s="26">
        <v>23</v>
      </c>
      <c r="H550" s="26">
        <v>25</v>
      </c>
      <c r="I550" s="26">
        <v>73</v>
      </c>
      <c r="J550" s="26">
        <v>40</v>
      </c>
      <c r="K550" s="26">
        <v>15</v>
      </c>
      <c r="L550" s="26">
        <v>11</v>
      </c>
      <c r="M550" s="26">
        <v>9</v>
      </c>
      <c r="N550" s="26">
        <v>4</v>
      </c>
      <c r="O550" s="26">
        <v>12</v>
      </c>
      <c r="P550" s="26">
        <v>8</v>
      </c>
      <c r="Q550" s="70">
        <v>1</v>
      </c>
      <c r="R550" s="26">
        <v>84</v>
      </c>
    </row>
    <row r="551" spans="1:18" x14ac:dyDescent="0.35">
      <c r="A551" s="69">
        <v>54210087</v>
      </c>
      <c r="B551" s="69" t="s">
        <v>2131</v>
      </c>
      <c r="C551" s="69" t="s">
        <v>2132</v>
      </c>
      <c r="D551" s="69">
        <v>9423617885</v>
      </c>
      <c r="E551" s="69" t="s">
        <v>2133</v>
      </c>
      <c r="F551" s="69" t="s">
        <v>206</v>
      </c>
      <c r="G551" s="26">
        <v>31</v>
      </c>
      <c r="H551" s="26">
        <v>2</v>
      </c>
      <c r="I551" s="26">
        <v>62</v>
      </c>
      <c r="J551" s="26">
        <v>19</v>
      </c>
      <c r="K551" s="26">
        <v>12</v>
      </c>
      <c r="L551" s="26">
        <v>7</v>
      </c>
      <c r="M551" s="26">
        <v>18</v>
      </c>
      <c r="N551" s="26">
        <v>10</v>
      </c>
      <c r="O551" s="26">
        <v>10</v>
      </c>
      <c r="P551" s="26">
        <v>23</v>
      </c>
      <c r="Q551" s="70">
        <v>5</v>
      </c>
      <c r="R551" s="26">
        <v>84</v>
      </c>
    </row>
    <row r="552" spans="1:18" x14ac:dyDescent="0.35">
      <c r="A552" s="69">
        <v>57210002</v>
      </c>
      <c r="B552" s="69" t="s">
        <v>2134</v>
      </c>
      <c r="C552" s="69" t="s">
        <v>2135</v>
      </c>
      <c r="D552" s="69">
        <v>9890223667</v>
      </c>
      <c r="E552" s="69" t="s">
        <v>2136</v>
      </c>
      <c r="F552" s="69" t="s">
        <v>206</v>
      </c>
      <c r="G552" s="26">
        <v>18</v>
      </c>
      <c r="H552" s="26"/>
      <c r="I552" s="26">
        <v>19</v>
      </c>
      <c r="J552" s="26">
        <v>121</v>
      </c>
      <c r="K552" s="26">
        <v>4</v>
      </c>
      <c r="L552" s="26">
        <v>33</v>
      </c>
      <c r="M552" s="26">
        <v>11</v>
      </c>
      <c r="N552" s="26">
        <v>11</v>
      </c>
      <c r="O552" s="26"/>
      <c r="P552" s="26">
        <v>15</v>
      </c>
      <c r="Q552" s="70">
        <v>4</v>
      </c>
      <c r="R552" s="26">
        <v>84</v>
      </c>
    </row>
    <row r="553" spans="1:18" x14ac:dyDescent="0.35">
      <c r="A553" s="69">
        <v>57210003</v>
      </c>
      <c r="B553" s="69" t="s">
        <v>2138</v>
      </c>
      <c r="C553" s="69" t="s">
        <v>2139</v>
      </c>
      <c r="D553" s="69">
        <v>9890143733</v>
      </c>
      <c r="E553" s="69" t="s">
        <v>2140</v>
      </c>
      <c r="F553" s="69" t="s">
        <v>206</v>
      </c>
      <c r="G553" s="26">
        <v>17</v>
      </c>
      <c r="H553" s="26"/>
      <c r="I553" s="26">
        <v>75</v>
      </c>
      <c r="J553" s="26">
        <v>164</v>
      </c>
      <c r="K553" s="26">
        <v>16</v>
      </c>
      <c r="L553" s="26"/>
      <c r="M553" s="26">
        <v>51</v>
      </c>
      <c r="N553" s="26">
        <v>13</v>
      </c>
      <c r="O553" s="26"/>
      <c r="P553" s="26">
        <v>17</v>
      </c>
      <c r="Q553" s="70">
        <v>9</v>
      </c>
      <c r="R553" s="26">
        <v>84</v>
      </c>
    </row>
    <row r="554" spans="1:18" x14ac:dyDescent="0.35">
      <c r="A554" s="69">
        <v>57210004</v>
      </c>
      <c r="B554" s="69" t="s">
        <v>2141</v>
      </c>
      <c r="C554" s="69" t="s">
        <v>2142</v>
      </c>
      <c r="D554" s="69">
        <v>9270076615</v>
      </c>
      <c r="E554" s="69" t="s">
        <v>2143</v>
      </c>
      <c r="F554" s="69" t="s">
        <v>206</v>
      </c>
      <c r="G554" s="26">
        <v>5</v>
      </c>
      <c r="H554" s="26">
        <v>3</v>
      </c>
      <c r="I554" s="26">
        <v>50</v>
      </c>
      <c r="J554" s="26">
        <v>49</v>
      </c>
      <c r="K554" s="26">
        <v>20</v>
      </c>
      <c r="L554" s="26">
        <v>11</v>
      </c>
      <c r="M554" s="26">
        <v>7</v>
      </c>
      <c r="N554" s="26">
        <v>1</v>
      </c>
      <c r="O554" s="26">
        <v>9</v>
      </c>
      <c r="P554" s="26">
        <v>5</v>
      </c>
      <c r="Q554" s="70">
        <v>10</v>
      </c>
      <c r="R554" s="26">
        <v>83</v>
      </c>
    </row>
    <row r="555" spans="1:18" x14ac:dyDescent="0.35">
      <c r="A555" s="69">
        <v>57210005</v>
      </c>
      <c r="B555" s="69" t="s">
        <v>2144</v>
      </c>
      <c r="C555" s="69" t="s">
        <v>2145</v>
      </c>
      <c r="D555" s="69">
        <v>9823378183</v>
      </c>
      <c r="E555" s="69" t="s">
        <v>2146</v>
      </c>
      <c r="F555" s="69" t="s">
        <v>206</v>
      </c>
      <c r="G555" s="26">
        <v>9</v>
      </c>
      <c r="H555" s="26">
        <v>3</v>
      </c>
      <c r="I555" s="26"/>
      <c r="J555" s="26">
        <v>32</v>
      </c>
      <c r="K555" s="26">
        <v>13</v>
      </c>
      <c r="L555" s="26">
        <v>7</v>
      </c>
      <c r="M555" s="26">
        <v>6</v>
      </c>
      <c r="N555" s="26"/>
      <c r="O555" s="26">
        <v>0</v>
      </c>
      <c r="P555" s="26">
        <v>14</v>
      </c>
      <c r="Q555" s="70">
        <v>0</v>
      </c>
      <c r="R555" s="26">
        <v>82</v>
      </c>
    </row>
    <row r="556" spans="1:18" x14ac:dyDescent="0.35">
      <c r="A556" s="69">
        <v>57210006</v>
      </c>
      <c r="B556" s="69" t="s">
        <v>2147</v>
      </c>
      <c r="C556" s="69" t="s">
        <v>2148</v>
      </c>
      <c r="D556" s="69">
        <v>9850069170</v>
      </c>
      <c r="E556" s="69" t="s">
        <v>2149</v>
      </c>
      <c r="F556" s="69" t="s">
        <v>206</v>
      </c>
      <c r="G556" s="26">
        <v>35</v>
      </c>
      <c r="H556" s="26">
        <v>9</v>
      </c>
      <c r="I556" s="26">
        <v>16</v>
      </c>
      <c r="J556" s="26">
        <v>90</v>
      </c>
      <c r="K556" s="26">
        <v>41</v>
      </c>
      <c r="L556" s="26">
        <v>15</v>
      </c>
      <c r="M556" s="26">
        <v>21</v>
      </c>
      <c r="N556" s="26">
        <v>20</v>
      </c>
      <c r="O556" s="26">
        <v>23</v>
      </c>
      <c r="P556" s="26">
        <v>7</v>
      </c>
      <c r="Q556" s="70">
        <v>0</v>
      </c>
      <c r="R556" s="26">
        <v>82</v>
      </c>
    </row>
    <row r="557" spans="1:18" x14ac:dyDescent="0.35">
      <c r="A557" s="69">
        <v>57210014</v>
      </c>
      <c r="B557" s="69" t="s">
        <v>2150</v>
      </c>
      <c r="C557" s="69" t="s">
        <v>2151</v>
      </c>
      <c r="D557" s="69">
        <v>9422774133</v>
      </c>
      <c r="E557" s="69" t="s">
        <v>2152</v>
      </c>
      <c r="F557" s="69" t="s">
        <v>206</v>
      </c>
      <c r="G557" s="26">
        <v>23</v>
      </c>
      <c r="H557" s="26">
        <v>5</v>
      </c>
      <c r="I557" s="26"/>
      <c r="J557" s="26">
        <v>81</v>
      </c>
      <c r="K557" s="26">
        <v>31</v>
      </c>
      <c r="L557" s="26">
        <v>12</v>
      </c>
      <c r="M557" s="26">
        <v>10</v>
      </c>
      <c r="N557" s="26">
        <v>13</v>
      </c>
      <c r="O557" s="26">
        <v>7</v>
      </c>
      <c r="P557" s="26">
        <v>5</v>
      </c>
      <c r="Q557" s="70">
        <v>3</v>
      </c>
      <c r="R557" s="26">
        <v>82</v>
      </c>
    </row>
    <row r="558" spans="1:18" x14ac:dyDescent="0.35">
      <c r="A558" s="69">
        <v>57210015</v>
      </c>
      <c r="B558" s="69" t="s">
        <v>2153</v>
      </c>
      <c r="C558" s="69" t="s">
        <v>2154</v>
      </c>
      <c r="D558" s="69">
        <v>9422250746</v>
      </c>
      <c r="E558" s="69" t="s">
        <v>2155</v>
      </c>
      <c r="F558" s="69" t="s">
        <v>206</v>
      </c>
      <c r="G558" s="26">
        <v>6</v>
      </c>
      <c r="H558" s="26">
        <v>2</v>
      </c>
      <c r="I558" s="26">
        <v>20</v>
      </c>
      <c r="J558" s="26">
        <v>30</v>
      </c>
      <c r="K558" s="26">
        <v>15</v>
      </c>
      <c r="L558" s="26">
        <v>8</v>
      </c>
      <c r="M558" s="26">
        <v>4</v>
      </c>
      <c r="N558" s="26">
        <v>7</v>
      </c>
      <c r="O558" s="26">
        <v>3</v>
      </c>
      <c r="P558" s="26">
        <v>5</v>
      </c>
      <c r="Q558" s="70">
        <v>1</v>
      </c>
      <c r="R558" s="26">
        <v>82</v>
      </c>
    </row>
    <row r="559" spans="1:18" x14ac:dyDescent="0.35">
      <c r="A559" s="69">
        <v>57210016</v>
      </c>
      <c r="B559" s="69" t="s">
        <v>2156</v>
      </c>
      <c r="C559" s="69" t="s">
        <v>2157</v>
      </c>
      <c r="D559" s="69">
        <v>9822847521</v>
      </c>
      <c r="E559" s="69" t="s">
        <v>2158</v>
      </c>
      <c r="F559" s="69" t="s">
        <v>206</v>
      </c>
      <c r="G559" s="26">
        <v>42</v>
      </c>
      <c r="H559" s="26">
        <v>16</v>
      </c>
      <c r="I559" s="26">
        <v>69</v>
      </c>
      <c r="J559" s="26">
        <v>232</v>
      </c>
      <c r="K559" s="26">
        <v>69</v>
      </c>
      <c r="L559" s="26">
        <v>12</v>
      </c>
      <c r="M559" s="26">
        <v>26</v>
      </c>
      <c r="N559" s="26">
        <v>19</v>
      </c>
      <c r="O559" s="26">
        <v>14</v>
      </c>
      <c r="P559" s="26">
        <v>11</v>
      </c>
      <c r="Q559" s="70">
        <v>9</v>
      </c>
      <c r="R559" s="26">
        <v>81</v>
      </c>
    </row>
    <row r="560" spans="1:18" x14ac:dyDescent="0.35">
      <c r="A560" s="69">
        <v>57210018</v>
      </c>
      <c r="B560" s="69" t="s">
        <v>2159</v>
      </c>
      <c r="C560" s="69" t="s">
        <v>2160</v>
      </c>
      <c r="D560" s="69">
        <v>9850092806</v>
      </c>
      <c r="E560" s="69" t="s">
        <v>2161</v>
      </c>
      <c r="F560" s="69" t="s">
        <v>206</v>
      </c>
      <c r="G560" s="26">
        <v>31</v>
      </c>
      <c r="H560" s="26">
        <v>12</v>
      </c>
      <c r="I560" s="26">
        <v>37</v>
      </c>
      <c r="J560" s="26">
        <v>75</v>
      </c>
      <c r="K560" s="26">
        <v>33</v>
      </c>
      <c r="L560" s="26">
        <v>8</v>
      </c>
      <c r="M560" s="26">
        <v>11</v>
      </c>
      <c r="N560" s="26">
        <v>20</v>
      </c>
      <c r="O560" s="26">
        <v>7</v>
      </c>
      <c r="P560" s="26">
        <v>11</v>
      </c>
      <c r="Q560" s="70">
        <v>6</v>
      </c>
      <c r="R560" s="26">
        <v>81</v>
      </c>
    </row>
    <row r="561" spans="1:18" x14ac:dyDescent="0.35">
      <c r="A561" s="69">
        <v>57210040</v>
      </c>
      <c r="B561" s="69" t="s">
        <v>1174</v>
      </c>
      <c r="C561" s="69" t="s">
        <v>2162</v>
      </c>
      <c r="D561" s="69">
        <v>9850753907</v>
      </c>
      <c r="E561" s="69" t="s">
        <v>2163</v>
      </c>
      <c r="F561" s="69" t="s">
        <v>206</v>
      </c>
      <c r="G561" s="26">
        <v>10</v>
      </c>
      <c r="H561" s="26"/>
      <c r="I561" s="26"/>
      <c r="J561" s="26">
        <v>119</v>
      </c>
      <c r="K561" s="26">
        <v>16</v>
      </c>
      <c r="L561" s="26"/>
      <c r="M561" s="26">
        <v>29</v>
      </c>
      <c r="N561" s="26"/>
      <c r="O561" s="26">
        <v>9</v>
      </c>
      <c r="P561" s="26">
        <v>15</v>
      </c>
      <c r="Q561" s="70">
        <v>0</v>
      </c>
      <c r="R561" s="26">
        <v>81</v>
      </c>
    </row>
    <row r="562" spans="1:18" x14ac:dyDescent="0.35">
      <c r="A562" s="69">
        <v>57210047</v>
      </c>
      <c r="B562" s="69" t="s">
        <v>2164</v>
      </c>
      <c r="C562" s="69" t="s">
        <v>2165</v>
      </c>
      <c r="D562" s="69">
        <v>9850961599</v>
      </c>
      <c r="E562" s="69" t="s">
        <v>2166</v>
      </c>
      <c r="F562" s="69" t="s">
        <v>206</v>
      </c>
      <c r="G562" s="26">
        <v>31</v>
      </c>
      <c r="H562" s="26">
        <v>21</v>
      </c>
      <c r="I562" s="26">
        <v>50</v>
      </c>
      <c r="J562" s="26">
        <v>102</v>
      </c>
      <c r="K562" s="26">
        <v>99</v>
      </c>
      <c r="L562" s="26">
        <v>47</v>
      </c>
      <c r="M562" s="26">
        <v>18</v>
      </c>
      <c r="N562" s="26">
        <v>26</v>
      </c>
      <c r="O562" s="26">
        <v>25</v>
      </c>
      <c r="P562" s="26">
        <v>7</v>
      </c>
      <c r="Q562" s="70">
        <v>6</v>
      </c>
      <c r="R562" s="26">
        <v>81</v>
      </c>
    </row>
    <row r="563" spans="1:18" x14ac:dyDescent="0.35">
      <c r="A563" s="69">
        <v>57210056</v>
      </c>
      <c r="B563" s="69" t="s">
        <v>2167</v>
      </c>
      <c r="C563" s="69" t="s">
        <v>2168</v>
      </c>
      <c r="D563" s="69">
        <v>9226838787</v>
      </c>
      <c r="E563" s="69" t="s">
        <v>2169</v>
      </c>
      <c r="F563" s="69" t="s">
        <v>206</v>
      </c>
      <c r="G563" s="26">
        <v>16</v>
      </c>
      <c r="H563" s="26"/>
      <c r="I563" s="26">
        <v>11</v>
      </c>
      <c r="J563" s="26">
        <v>55</v>
      </c>
      <c r="K563" s="26">
        <v>21</v>
      </c>
      <c r="L563" s="26">
        <v>4</v>
      </c>
      <c r="M563" s="26">
        <v>0</v>
      </c>
      <c r="N563" s="26">
        <v>15</v>
      </c>
      <c r="O563" s="26">
        <v>4</v>
      </c>
      <c r="P563" s="26">
        <v>1</v>
      </c>
      <c r="Q563" s="70">
        <v>2</v>
      </c>
      <c r="R563" s="26">
        <v>81</v>
      </c>
    </row>
    <row r="564" spans="1:18" x14ac:dyDescent="0.35">
      <c r="A564" s="69">
        <v>57210057</v>
      </c>
      <c r="B564" s="69" t="s">
        <v>2170</v>
      </c>
      <c r="C564" s="69" t="s">
        <v>2171</v>
      </c>
      <c r="D564" s="69">
        <v>9370233992</v>
      </c>
      <c r="E564" s="69" t="s">
        <v>2172</v>
      </c>
      <c r="F564" s="69" t="s">
        <v>206</v>
      </c>
      <c r="G564" s="26"/>
      <c r="H564" s="26">
        <v>24</v>
      </c>
      <c r="I564" s="26"/>
      <c r="J564" s="26">
        <v>47</v>
      </c>
      <c r="K564" s="26">
        <v>14</v>
      </c>
      <c r="L564" s="26"/>
      <c r="M564" s="26">
        <v>10</v>
      </c>
      <c r="N564" s="26">
        <v>0</v>
      </c>
      <c r="O564" s="26">
        <v>11</v>
      </c>
      <c r="P564" s="26">
        <v>0</v>
      </c>
      <c r="Q564" s="70">
        <v>14</v>
      </c>
      <c r="R564" s="26">
        <v>81</v>
      </c>
    </row>
    <row r="565" spans="1:18" x14ac:dyDescent="0.35">
      <c r="A565" s="69">
        <v>57210078</v>
      </c>
      <c r="B565" s="69" t="s">
        <v>2173</v>
      </c>
      <c r="C565" s="69" t="s">
        <v>2174</v>
      </c>
      <c r="D565" s="69">
        <v>9372710080</v>
      </c>
      <c r="E565" s="69" t="s">
        <v>2175</v>
      </c>
      <c r="F565" s="69" t="s">
        <v>206</v>
      </c>
      <c r="G565" s="26">
        <v>23</v>
      </c>
      <c r="H565" s="26"/>
      <c r="I565" s="26">
        <v>58</v>
      </c>
      <c r="J565" s="26">
        <v>107</v>
      </c>
      <c r="K565" s="26">
        <v>54</v>
      </c>
      <c r="L565" s="26"/>
      <c r="M565" s="26">
        <v>25</v>
      </c>
      <c r="N565" s="26"/>
      <c r="O565" s="26">
        <v>3</v>
      </c>
      <c r="P565" s="26">
        <v>13</v>
      </c>
      <c r="Q565" s="70">
        <v>22</v>
      </c>
      <c r="R565" s="26">
        <v>81</v>
      </c>
    </row>
    <row r="566" spans="1:18" x14ac:dyDescent="0.35">
      <c r="A566" s="69">
        <v>57210080</v>
      </c>
      <c r="B566" s="69" t="s">
        <v>2176</v>
      </c>
      <c r="C566" s="69" t="s">
        <v>2177</v>
      </c>
      <c r="D566" s="69">
        <v>9822006929</v>
      </c>
      <c r="E566" s="69" t="s">
        <v>2178</v>
      </c>
      <c r="F566" s="69" t="s">
        <v>206</v>
      </c>
      <c r="G566" s="26">
        <v>8</v>
      </c>
      <c r="H566" s="26"/>
      <c r="I566" s="26">
        <v>7</v>
      </c>
      <c r="J566" s="26">
        <v>15</v>
      </c>
      <c r="K566" s="26">
        <v>7</v>
      </c>
      <c r="L566" s="26">
        <v>4</v>
      </c>
      <c r="M566" s="26">
        <v>6</v>
      </c>
      <c r="N566" s="26"/>
      <c r="O566" s="26">
        <v>4</v>
      </c>
      <c r="P566" s="26">
        <v>3</v>
      </c>
      <c r="Q566" s="70">
        <v>2</v>
      </c>
      <c r="R566" s="26">
        <v>81</v>
      </c>
    </row>
    <row r="567" spans="1:18" x14ac:dyDescent="0.35">
      <c r="A567" s="69">
        <v>57210081</v>
      </c>
      <c r="B567" s="69" t="s">
        <v>2179</v>
      </c>
      <c r="C567" s="69" t="s">
        <v>2180</v>
      </c>
      <c r="D567" s="69">
        <v>9420227200</v>
      </c>
      <c r="E567" s="69" t="s">
        <v>2181</v>
      </c>
      <c r="F567" s="69" t="s">
        <v>206</v>
      </c>
      <c r="G567" s="26">
        <v>19</v>
      </c>
      <c r="H567" s="26"/>
      <c r="I567" s="26">
        <v>6</v>
      </c>
      <c r="J567" s="26">
        <v>30</v>
      </c>
      <c r="K567" s="26">
        <v>10</v>
      </c>
      <c r="L567" s="26">
        <v>7</v>
      </c>
      <c r="M567" s="26">
        <v>9</v>
      </c>
      <c r="N567" s="26">
        <v>8</v>
      </c>
      <c r="O567" s="26">
        <v>9</v>
      </c>
      <c r="P567" s="26">
        <v>6</v>
      </c>
      <c r="Q567" s="70">
        <v>5</v>
      </c>
      <c r="R567" s="26">
        <v>79</v>
      </c>
    </row>
    <row r="568" spans="1:18" x14ac:dyDescent="0.35">
      <c r="A568" s="69">
        <v>57210099</v>
      </c>
      <c r="B568" s="69" t="s">
        <v>2182</v>
      </c>
      <c r="C568" s="69" t="s">
        <v>2183</v>
      </c>
      <c r="D568" s="69">
        <v>9975156284</v>
      </c>
      <c r="E568" s="69" t="s">
        <v>2184</v>
      </c>
      <c r="F568" s="69" t="s">
        <v>206</v>
      </c>
      <c r="G568" s="26"/>
      <c r="H568" s="26">
        <v>11</v>
      </c>
      <c r="I568" s="26"/>
      <c r="J568" s="26">
        <v>91</v>
      </c>
      <c r="K568" s="26">
        <v>20</v>
      </c>
      <c r="L568" s="26">
        <v>4</v>
      </c>
      <c r="M568" s="26">
        <v>6</v>
      </c>
      <c r="N568" s="26">
        <v>12</v>
      </c>
      <c r="O568" s="26">
        <v>8</v>
      </c>
      <c r="P568" s="26">
        <v>2</v>
      </c>
      <c r="Q568" s="70">
        <v>4</v>
      </c>
      <c r="R568" s="26">
        <v>79</v>
      </c>
    </row>
    <row r="569" spans="1:18" x14ac:dyDescent="0.35">
      <c r="A569" s="69">
        <v>57210100</v>
      </c>
      <c r="B569" s="69" t="s">
        <v>2185</v>
      </c>
      <c r="C569" s="69" t="s">
        <v>2186</v>
      </c>
      <c r="D569" s="69">
        <v>9850255532</v>
      </c>
      <c r="E569" s="69" t="s">
        <v>2187</v>
      </c>
      <c r="F569" s="69" t="s">
        <v>206</v>
      </c>
      <c r="G569" s="26">
        <v>62</v>
      </c>
      <c r="H569" s="26"/>
      <c r="I569" s="26">
        <v>51</v>
      </c>
      <c r="J569" s="26">
        <v>358</v>
      </c>
      <c r="K569" s="26">
        <v>122</v>
      </c>
      <c r="L569" s="26"/>
      <c r="M569" s="26">
        <v>63</v>
      </c>
      <c r="N569" s="26">
        <v>29</v>
      </c>
      <c r="O569" s="26">
        <v>29</v>
      </c>
      <c r="P569" s="26">
        <v>21</v>
      </c>
      <c r="Q569" s="70">
        <v>11</v>
      </c>
      <c r="R569" s="26">
        <v>79</v>
      </c>
    </row>
    <row r="570" spans="1:18" x14ac:dyDescent="0.35">
      <c r="A570" s="69">
        <v>57210101</v>
      </c>
      <c r="B570" s="69" t="s">
        <v>2188</v>
      </c>
      <c r="C570" s="69" t="s">
        <v>2189</v>
      </c>
      <c r="D570" s="69">
        <v>9421505477</v>
      </c>
      <c r="E570" s="69" t="s">
        <v>2190</v>
      </c>
      <c r="F570" s="69" t="s">
        <v>206</v>
      </c>
      <c r="G570" s="26"/>
      <c r="H570" s="26"/>
      <c r="I570" s="26"/>
      <c r="J570" s="26"/>
      <c r="K570" s="26"/>
      <c r="L570" s="26"/>
      <c r="M570" s="26"/>
      <c r="N570" s="26"/>
      <c r="O570" s="26"/>
      <c r="P570" s="26">
        <v>0</v>
      </c>
      <c r="Q570" s="70">
        <v>0</v>
      </c>
      <c r="R570" s="26">
        <v>79</v>
      </c>
    </row>
    <row r="571" spans="1:18" x14ac:dyDescent="0.35">
      <c r="A571" s="69">
        <v>57210110</v>
      </c>
      <c r="B571" s="69" t="s">
        <v>2191</v>
      </c>
      <c r="C571" s="69" t="s">
        <v>2192</v>
      </c>
      <c r="D571" s="69">
        <v>9326039783</v>
      </c>
      <c r="E571" s="69" t="s">
        <v>2193</v>
      </c>
      <c r="F571" s="69" t="s">
        <v>206</v>
      </c>
      <c r="G571" s="26">
        <v>52</v>
      </c>
      <c r="H571" s="26"/>
      <c r="I571" s="26">
        <v>28</v>
      </c>
      <c r="J571" s="26">
        <v>206</v>
      </c>
      <c r="K571" s="26"/>
      <c r="L571" s="26">
        <v>87</v>
      </c>
      <c r="M571" s="26">
        <v>11</v>
      </c>
      <c r="N571" s="26">
        <v>66</v>
      </c>
      <c r="O571" s="26">
        <v>30</v>
      </c>
      <c r="P571" s="26">
        <v>16</v>
      </c>
      <c r="Q571" s="70">
        <v>14</v>
      </c>
      <c r="R571" s="26">
        <v>79</v>
      </c>
    </row>
    <row r="572" spans="1:18" x14ac:dyDescent="0.35">
      <c r="A572" s="69">
        <v>57210124</v>
      </c>
      <c r="B572" s="69" t="s">
        <v>2194</v>
      </c>
      <c r="C572" s="69" t="s">
        <v>2195</v>
      </c>
      <c r="D572" s="69">
        <v>9850142586</v>
      </c>
      <c r="E572" s="69" t="s">
        <v>2196</v>
      </c>
      <c r="F572" s="69" t="s">
        <v>206</v>
      </c>
      <c r="G572" s="26">
        <v>38</v>
      </c>
      <c r="H572" s="26"/>
      <c r="I572" s="26">
        <v>13</v>
      </c>
      <c r="J572" s="26">
        <v>198</v>
      </c>
      <c r="K572" s="26">
        <v>28</v>
      </c>
      <c r="L572" s="26">
        <v>24</v>
      </c>
      <c r="M572" s="26">
        <v>13</v>
      </c>
      <c r="N572" s="26">
        <v>10</v>
      </c>
      <c r="O572" s="26">
        <v>9</v>
      </c>
      <c r="P572" s="26">
        <v>18</v>
      </c>
      <c r="Q572" s="70">
        <v>8</v>
      </c>
      <c r="R572" s="26">
        <v>78</v>
      </c>
    </row>
    <row r="573" spans="1:18" x14ac:dyDescent="0.35">
      <c r="A573" s="69">
        <v>57210141</v>
      </c>
      <c r="B573" s="69" t="s">
        <v>2197</v>
      </c>
      <c r="C573" s="69" t="s">
        <v>2198</v>
      </c>
      <c r="D573" s="69">
        <v>9890363460</v>
      </c>
      <c r="E573" s="69" t="s">
        <v>2199</v>
      </c>
      <c r="F573" s="69" t="s">
        <v>206</v>
      </c>
      <c r="G573" s="26">
        <v>7</v>
      </c>
      <c r="H573" s="26">
        <v>2</v>
      </c>
      <c r="I573" s="26">
        <v>35</v>
      </c>
      <c r="J573" s="26">
        <v>93</v>
      </c>
      <c r="K573" s="26">
        <v>16</v>
      </c>
      <c r="L573" s="26">
        <v>7</v>
      </c>
      <c r="M573" s="26">
        <v>2</v>
      </c>
      <c r="N573" s="26">
        <v>11</v>
      </c>
      <c r="O573" s="26">
        <v>8</v>
      </c>
      <c r="P573" s="26">
        <v>10</v>
      </c>
      <c r="Q573" s="70">
        <v>0</v>
      </c>
      <c r="R573" s="26">
        <v>78</v>
      </c>
    </row>
    <row r="574" spans="1:18" x14ac:dyDescent="0.35">
      <c r="A574" s="69">
        <v>57210163</v>
      </c>
      <c r="B574" s="69" t="s">
        <v>2200</v>
      </c>
      <c r="C574" s="69" t="s">
        <v>2201</v>
      </c>
      <c r="D574" s="69">
        <v>9850855540</v>
      </c>
      <c r="E574" s="69" t="s">
        <v>2202</v>
      </c>
      <c r="F574" s="69" t="s">
        <v>206</v>
      </c>
      <c r="G574" s="26">
        <v>64</v>
      </c>
      <c r="H574" s="26">
        <v>10</v>
      </c>
      <c r="I574" s="26">
        <v>102</v>
      </c>
      <c r="J574" s="26">
        <v>176</v>
      </c>
      <c r="K574" s="26">
        <v>40</v>
      </c>
      <c r="L574" s="26">
        <v>21</v>
      </c>
      <c r="M574" s="26">
        <v>44</v>
      </c>
      <c r="N574" s="26">
        <v>44</v>
      </c>
      <c r="O574" s="26">
        <v>25</v>
      </c>
      <c r="P574" s="26">
        <v>17</v>
      </c>
      <c r="Q574" s="70">
        <v>0</v>
      </c>
      <c r="R574" s="26">
        <v>78</v>
      </c>
    </row>
    <row r="575" spans="1:18" x14ac:dyDescent="0.35">
      <c r="A575" s="69">
        <v>57210164</v>
      </c>
      <c r="B575" s="69" t="s">
        <v>2203</v>
      </c>
      <c r="C575" s="69" t="s">
        <v>2204</v>
      </c>
      <c r="D575" s="69">
        <v>9423200039</v>
      </c>
      <c r="E575" s="69" t="s">
        <v>2205</v>
      </c>
      <c r="F575" s="69" t="s">
        <v>206</v>
      </c>
      <c r="G575" s="26">
        <v>41</v>
      </c>
      <c r="H575" s="26">
        <v>2</v>
      </c>
      <c r="I575" s="26">
        <v>50</v>
      </c>
      <c r="J575" s="26">
        <v>33</v>
      </c>
      <c r="K575" s="26">
        <v>6</v>
      </c>
      <c r="L575" s="26">
        <v>6</v>
      </c>
      <c r="M575" s="26">
        <v>40</v>
      </c>
      <c r="N575" s="26">
        <v>3</v>
      </c>
      <c r="O575" s="26">
        <v>17</v>
      </c>
      <c r="P575" s="26">
        <v>11</v>
      </c>
      <c r="Q575" s="70">
        <v>1</v>
      </c>
      <c r="R575" s="26">
        <v>78</v>
      </c>
    </row>
    <row r="576" spans="1:18" x14ac:dyDescent="0.35">
      <c r="A576" s="69">
        <v>57210165</v>
      </c>
      <c r="B576" s="69" t="s">
        <v>2206</v>
      </c>
      <c r="C576" s="69" t="s">
        <v>2207</v>
      </c>
      <c r="D576" s="69">
        <v>9890955528</v>
      </c>
      <c r="E576" s="69" t="s">
        <v>2208</v>
      </c>
      <c r="F576" s="69" t="s">
        <v>206</v>
      </c>
      <c r="G576" s="26">
        <v>40</v>
      </c>
      <c r="H576" s="26">
        <v>17</v>
      </c>
      <c r="I576" s="26">
        <v>60</v>
      </c>
      <c r="J576" s="26">
        <v>119</v>
      </c>
      <c r="K576" s="26">
        <v>15</v>
      </c>
      <c r="L576" s="26"/>
      <c r="M576" s="26">
        <v>34</v>
      </c>
      <c r="N576" s="26">
        <v>0</v>
      </c>
      <c r="O576" s="26">
        <v>6</v>
      </c>
      <c r="P576" s="26">
        <v>14</v>
      </c>
      <c r="Q576" s="70">
        <v>7</v>
      </c>
      <c r="R576" s="26">
        <v>77</v>
      </c>
    </row>
    <row r="577" spans="1:18" x14ac:dyDescent="0.35">
      <c r="A577" s="69">
        <v>57210168</v>
      </c>
      <c r="B577" s="69" t="s">
        <v>736</v>
      </c>
      <c r="C577" s="69" t="s">
        <v>2209</v>
      </c>
      <c r="D577" s="69">
        <v>9890171893</v>
      </c>
      <c r="E577" s="69" t="s">
        <v>2210</v>
      </c>
      <c r="F577" s="69" t="s">
        <v>206</v>
      </c>
      <c r="G577" s="26">
        <v>82</v>
      </c>
      <c r="H577" s="26">
        <v>4</v>
      </c>
      <c r="I577" s="26">
        <v>52</v>
      </c>
      <c r="J577" s="26">
        <v>146</v>
      </c>
      <c r="K577" s="26">
        <v>43</v>
      </c>
      <c r="L577" s="26">
        <v>8</v>
      </c>
      <c r="M577" s="26">
        <v>15</v>
      </c>
      <c r="N577" s="26">
        <v>26</v>
      </c>
      <c r="O577" s="26">
        <v>6</v>
      </c>
      <c r="P577" s="26">
        <v>63</v>
      </c>
      <c r="Q577" s="70">
        <v>0</v>
      </c>
      <c r="R577" s="26">
        <v>76</v>
      </c>
    </row>
    <row r="578" spans="1:18" x14ac:dyDescent="0.35">
      <c r="A578" s="69">
        <v>57210169</v>
      </c>
      <c r="B578" s="69" t="s">
        <v>2211</v>
      </c>
      <c r="C578" s="69" t="s">
        <v>2212</v>
      </c>
      <c r="D578" s="69">
        <v>9372422229</v>
      </c>
      <c r="E578" s="69" t="s">
        <v>2213</v>
      </c>
      <c r="F578" s="69" t="s">
        <v>206</v>
      </c>
      <c r="G578" s="26">
        <v>20</v>
      </c>
      <c r="H578" s="26">
        <v>2</v>
      </c>
      <c r="I578" s="26">
        <v>41</v>
      </c>
      <c r="J578" s="26">
        <v>78</v>
      </c>
      <c r="K578" s="26">
        <v>18</v>
      </c>
      <c r="L578" s="26">
        <v>25</v>
      </c>
      <c r="M578" s="26">
        <v>28</v>
      </c>
      <c r="N578" s="26"/>
      <c r="O578" s="26">
        <v>12</v>
      </c>
      <c r="P578" s="26">
        <v>10</v>
      </c>
      <c r="Q578" s="70">
        <v>18</v>
      </c>
      <c r="R578" s="26">
        <v>76</v>
      </c>
    </row>
    <row r="579" spans="1:18" x14ac:dyDescent="0.35">
      <c r="A579" s="69">
        <v>57210170</v>
      </c>
      <c r="B579" s="69" t="s">
        <v>2214</v>
      </c>
      <c r="C579" s="69" t="s">
        <v>2215</v>
      </c>
      <c r="D579" s="69">
        <v>9822879008</v>
      </c>
      <c r="E579" s="69" t="s">
        <v>2216</v>
      </c>
      <c r="F579" s="69" t="s">
        <v>206</v>
      </c>
      <c r="G579" s="26"/>
      <c r="H579" s="26">
        <v>7</v>
      </c>
      <c r="I579" s="26"/>
      <c r="J579" s="26">
        <v>53</v>
      </c>
      <c r="K579" s="26">
        <v>11</v>
      </c>
      <c r="L579" s="26"/>
      <c r="M579" s="26"/>
      <c r="N579" s="26">
        <v>5</v>
      </c>
      <c r="O579" s="26"/>
      <c r="P579" s="26">
        <v>0</v>
      </c>
      <c r="Q579" s="70">
        <v>0</v>
      </c>
      <c r="R579" s="26">
        <v>76</v>
      </c>
    </row>
    <row r="580" spans="1:18" x14ac:dyDescent="0.35">
      <c r="A580" s="69">
        <v>57210171</v>
      </c>
      <c r="B580" s="69" t="s">
        <v>2217</v>
      </c>
      <c r="C580" s="69" t="s">
        <v>2218</v>
      </c>
      <c r="D580" s="69">
        <v>9823929402</v>
      </c>
      <c r="E580" s="69" t="s">
        <v>2219</v>
      </c>
      <c r="F580" s="69" t="s">
        <v>206</v>
      </c>
      <c r="G580" s="26"/>
      <c r="H580" s="26">
        <v>1</v>
      </c>
      <c r="I580" s="26"/>
      <c r="J580" s="26">
        <v>138</v>
      </c>
      <c r="K580" s="26">
        <v>20</v>
      </c>
      <c r="L580" s="26">
        <v>5</v>
      </c>
      <c r="M580" s="26">
        <v>5</v>
      </c>
      <c r="N580" s="26">
        <v>1</v>
      </c>
      <c r="O580" s="26"/>
      <c r="P580" s="26">
        <v>3</v>
      </c>
      <c r="Q580" s="70">
        <v>1</v>
      </c>
      <c r="R580" s="26">
        <v>75</v>
      </c>
    </row>
    <row r="581" spans="1:18" x14ac:dyDescent="0.35">
      <c r="A581" s="69">
        <v>57210172</v>
      </c>
      <c r="B581" s="69" t="s">
        <v>2220</v>
      </c>
      <c r="C581" s="69" t="s">
        <v>2221</v>
      </c>
      <c r="D581" s="69">
        <v>9890653907</v>
      </c>
      <c r="E581" s="69" t="s">
        <v>2222</v>
      </c>
      <c r="F581" s="69" t="s">
        <v>206</v>
      </c>
      <c r="G581" s="26">
        <v>14</v>
      </c>
      <c r="H581" s="26">
        <v>5</v>
      </c>
      <c r="I581" s="26"/>
      <c r="J581" s="26">
        <v>108</v>
      </c>
      <c r="K581" s="26">
        <v>15</v>
      </c>
      <c r="L581" s="26"/>
      <c r="M581" s="26">
        <v>10</v>
      </c>
      <c r="N581" s="26">
        <v>18</v>
      </c>
      <c r="O581" s="26">
        <v>14</v>
      </c>
      <c r="P581" s="26">
        <v>1</v>
      </c>
      <c r="Q581" s="70">
        <v>7</v>
      </c>
      <c r="R581" s="26">
        <v>75</v>
      </c>
    </row>
    <row r="582" spans="1:18" x14ac:dyDescent="0.35">
      <c r="A582" s="69">
        <v>57210176</v>
      </c>
      <c r="B582" s="69" t="s">
        <v>2223</v>
      </c>
      <c r="C582" s="69" t="s">
        <v>2224</v>
      </c>
      <c r="D582" s="69">
        <v>9049694646</v>
      </c>
      <c r="E582" s="69" t="s">
        <v>2225</v>
      </c>
      <c r="F582" s="69" t="s">
        <v>206</v>
      </c>
      <c r="G582" s="26"/>
      <c r="H582" s="26">
        <v>7</v>
      </c>
      <c r="I582" s="26"/>
      <c r="J582" s="26">
        <v>50</v>
      </c>
      <c r="K582" s="26"/>
      <c r="L582" s="26">
        <v>7</v>
      </c>
      <c r="M582" s="26">
        <v>3</v>
      </c>
      <c r="N582" s="26">
        <v>0</v>
      </c>
      <c r="O582" s="26">
        <v>6</v>
      </c>
      <c r="P582" s="26">
        <v>8</v>
      </c>
      <c r="Q582" s="70">
        <v>7</v>
      </c>
      <c r="R582" s="26">
        <v>74</v>
      </c>
    </row>
    <row r="583" spans="1:18" x14ac:dyDescent="0.35">
      <c r="A583" s="69">
        <v>57210177</v>
      </c>
      <c r="B583" s="69" t="s">
        <v>2226</v>
      </c>
      <c r="C583" s="69" t="s">
        <v>2227</v>
      </c>
      <c r="D583" s="69">
        <v>9922112206</v>
      </c>
      <c r="E583" s="69" t="s">
        <v>2228</v>
      </c>
      <c r="F583" s="69" t="s">
        <v>206</v>
      </c>
      <c r="G583" s="26">
        <v>3</v>
      </c>
      <c r="H583" s="26">
        <v>1</v>
      </c>
      <c r="I583" s="26">
        <v>27</v>
      </c>
      <c r="J583" s="26">
        <v>42</v>
      </c>
      <c r="K583" s="26">
        <v>14</v>
      </c>
      <c r="L583" s="26">
        <v>6</v>
      </c>
      <c r="M583" s="26">
        <v>11</v>
      </c>
      <c r="N583" s="26">
        <v>4</v>
      </c>
      <c r="O583" s="26">
        <v>4</v>
      </c>
      <c r="P583" s="26">
        <v>6</v>
      </c>
      <c r="Q583" s="70">
        <v>6</v>
      </c>
      <c r="R583" s="26">
        <v>74</v>
      </c>
    </row>
    <row r="584" spans="1:18" x14ac:dyDescent="0.35">
      <c r="A584" s="69">
        <v>57210179</v>
      </c>
      <c r="B584" s="69" t="s">
        <v>2229</v>
      </c>
      <c r="C584" s="69" t="s">
        <v>2230</v>
      </c>
      <c r="D584" s="69">
        <v>9623107426</v>
      </c>
      <c r="E584" s="69" t="s">
        <v>2231</v>
      </c>
      <c r="F584" s="69" t="s">
        <v>206</v>
      </c>
      <c r="G584" s="26">
        <v>2</v>
      </c>
      <c r="H584" s="26"/>
      <c r="I584" s="26">
        <v>9</v>
      </c>
      <c r="J584" s="26">
        <v>56</v>
      </c>
      <c r="K584" s="26">
        <v>10</v>
      </c>
      <c r="L584" s="26"/>
      <c r="M584" s="26">
        <v>9</v>
      </c>
      <c r="N584" s="26">
        <v>4</v>
      </c>
      <c r="O584" s="26">
        <v>5</v>
      </c>
      <c r="P584" s="26">
        <v>0</v>
      </c>
      <c r="Q584" s="70">
        <v>0</v>
      </c>
      <c r="R584" s="26">
        <v>73</v>
      </c>
    </row>
    <row r="585" spans="1:18" x14ac:dyDescent="0.35">
      <c r="A585" s="69">
        <v>57210180</v>
      </c>
      <c r="B585" s="69" t="s">
        <v>2232</v>
      </c>
      <c r="C585" s="69" t="s">
        <v>2233</v>
      </c>
      <c r="D585" s="69">
        <v>9420707442</v>
      </c>
      <c r="E585" s="69" t="s">
        <v>2234</v>
      </c>
      <c r="F585" s="69" t="s">
        <v>206</v>
      </c>
      <c r="G585" s="26">
        <v>18</v>
      </c>
      <c r="H585" s="26">
        <v>3</v>
      </c>
      <c r="I585" s="26">
        <v>10</v>
      </c>
      <c r="J585" s="26">
        <v>61</v>
      </c>
      <c r="K585" s="26">
        <v>15</v>
      </c>
      <c r="L585" s="26"/>
      <c r="M585" s="26">
        <v>20</v>
      </c>
      <c r="N585" s="26">
        <v>16</v>
      </c>
      <c r="O585" s="26">
        <v>5</v>
      </c>
      <c r="P585" s="26">
        <v>14</v>
      </c>
      <c r="Q585" s="70">
        <v>0</v>
      </c>
      <c r="R585" s="26">
        <v>73</v>
      </c>
    </row>
    <row r="586" spans="1:18" x14ac:dyDescent="0.35">
      <c r="A586" s="69">
        <v>57210187</v>
      </c>
      <c r="B586" s="69" t="s">
        <v>2235</v>
      </c>
      <c r="C586" s="69" t="s">
        <v>2236</v>
      </c>
      <c r="D586" s="69">
        <v>9225116059</v>
      </c>
      <c r="E586" s="69" t="s">
        <v>2237</v>
      </c>
      <c r="F586" s="69" t="s">
        <v>949</v>
      </c>
      <c r="G586" s="26">
        <v>10</v>
      </c>
      <c r="H586" s="26"/>
      <c r="I586" s="26">
        <v>11</v>
      </c>
      <c r="J586" s="26">
        <v>37</v>
      </c>
      <c r="K586" s="26">
        <v>38</v>
      </c>
      <c r="L586" s="26">
        <v>9</v>
      </c>
      <c r="M586" s="26">
        <v>24</v>
      </c>
      <c r="N586" s="26"/>
      <c r="O586" s="26">
        <v>0</v>
      </c>
      <c r="P586" s="26">
        <v>4</v>
      </c>
      <c r="Q586" s="70">
        <v>37</v>
      </c>
      <c r="R586" s="26">
        <v>73</v>
      </c>
    </row>
    <row r="587" spans="1:18" x14ac:dyDescent="0.35">
      <c r="A587" s="69">
        <v>57210194</v>
      </c>
      <c r="B587" s="69" t="s">
        <v>2238</v>
      </c>
      <c r="C587" s="69" t="s">
        <v>2239</v>
      </c>
      <c r="D587" s="69">
        <v>9423258939</v>
      </c>
      <c r="E587" s="69" t="s">
        <v>2240</v>
      </c>
      <c r="F587" s="69" t="s">
        <v>949</v>
      </c>
      <c r="G587" s="26">
        <v>13</v>
      </c>
      <c r="H587" s="26"/>
      <c r="I587" s="26">
        <v>84</v>
      </c>
      <c r="J587" s="26">
        <v>20</v>
      </c>
      <c r="K587" s="26">
        <v>3</v>
      </c>
      <c r="L587" s="26"/>
      <c r="M587" s="26"/>
      <c r="N587" s="26">
        <v>4</v>
      </c>
      <c r="O587" s="26">
        <v>10</v>
      </c>
      <c r="P587" s="26">
        <v>4</v>
      </c>
      <c r="Q587" s="70">
        <v>0</v>
      </c>
      <c r="R587" s="26">
        <v>73</v>
      </c>
    </row>
    <row r="588" spans="1:18" x14ac:dyDescent="0.35">
      <c r="A588" s="69">
        <v>57210198</v>
      </c>
      <c r="B588" s="69" t="s">
        <v>2241</v>
      </c>
      <c r="C588" s="69" t="s">
        <v>2242</v>
      </c>
      <c r="D588" s="69">
        <v>9226775587</v>
      </c>
      <c r="E588" s="69" t="s">
        <v>2243</v>
      </c>
      <c r="F588" s="69" t="s">
        <v>949</v>
      </c>
      <c r="G588" s="26">
        <v>15</v>
      </c>
      <c r="H588" s="26">
        <v>2</v>
      </c>
      <c r="I588" s="26"/>
      <c r="J588" s="26">
        <v>80</v>
      </c>
      <c r="K588" s="26">
        <v>31</v>
      </c>
      <c r="L588" s="26">
        <v>12</v>
      </c>
      <c r="M588" s="26">
        <v>6</v>
      </c>
      <c r="N588" s="26">
        <v>5</v>
      </c>
      <c r="O588" s="26">
        <v>8</v>
      </c>
      <c r="P588" s="26">
        <v>3</v>
      </c>
      <c r="Q588" s="70">
        <v>0</v>
      </c>
      <c r="R588" s="26">
        <v>73</v>
      </c>
    </row>
    <row r="589" spans="1:18" x14ac:dyDescent="0.35">
      <c r="A589" s="69">
        <v>57210225</v>
      </c>
      <c r="B589" s="69" t="s">
        <v>2244</v>
      </c>
      <c r="C589" s="69" t="s">
        <v>2245</v>
      </c>
      <c r="D589" s="69">
        <v>9325199507</v>
      </c>
      <c r="E589" s="69" t="s">
        <v>2246</v>
      </c>
      <c r="F589" s="69" t="s">
        <v>949</v>
      </c>
      <c r="G589" s="26">
        <v>30</v>
      </c>
      <c r="H589" s="26"/>
      <c r="I589" s="26">
        <v>34</v>
      </c>
      <c r="J589" s="26">
        <v>57</v>
      </c>
      <c r="K589" s="26">
        <v>21</v>
      </c>
      <c r="L589" s="26"/>
      <c r="M589" s="26">
        <v>24</v>
      </c>
      <c r="N589" s="26"/>
      <c r="O589" s="26"/>
      <c r="P589" s="26">
        <v>34</v>
      </c>
      <c r="Q589" s="70">
        <v>0</v>
      </c>
      <c r="R589" s="26">
        <v>72</v>
      </c>
    </row>
    <row r="590" spans="1:18" x14ac:dyDescent="0.35">
      <c r="A590" s="69">
        <v>57210227</v>
      </c>
      <c r="B590" s="69" t="s">
        <v>2247</v>
      </c>
      <c r="C590" s="69" t="s">
        <v>2248</v>
      </c>
      <c r="D590" s="69">
        <v>9209204378</v>
      </c>
      <c r="E590" s="69" t="s">
        <v>2249</v>
      </c>
      <c r="F590" s="69" t="s">
        <v>949</v>
      </c>
      <c r="G590" s="26">
        <v>40</v>
      </c>
      <c r="H590" s="26">
        <v>7</v>
      </c>
      <c r="I590" s="26">
        <v>58</v>
      </c>
      <c r="J590" s="26">
        <v>79</v>
      </c>
      <c r="K590" s="26">
        <v>45</v>
      </c>
      <c r="L590" s="26">
        <v>18</v>
      </c>
      <c r="M590" s="26">
        <v>20</v>
      </c>
      <c r="N590" s="26">
        <v>24</v>
      </c>
      <c r="O590" s="26">
        <v>14</v>
      </c>
      <c r="P590" s="26">
        <v>15</v>
      </c>
      <c r="Q590" s="70">
        <v>6</v>
      </c>
      <c r="R590" s="26">
        <v>71</v>
      </c>
    </row>
    <row r="591" spans="1:18" x14ac:dyDescent="0.35">
      <c r="A591" s="69">
        <v>57210228</v>
      </c>
      <c r="B591" s="69" t="s">
        <v>2250</v>
      </c>
      <c r="C591" s="69" t="s">
        <v>2251</v>
      </c>
      <c r="D591" s="69">
        <v>9822196217</v>
      </c>
      <c r="E591" s="69" t="s">
        <v>2252</v>
      </c>
      <c r="F591" s="69" t="s">
        <v>949</v>
      </c>
      <c r="G591" s="26">
        <v>25</v>
      </c>
      <c r="H591" s="26">
        <v>11</v>
      </c>
      <c r="I591" s="26"/>
      <c r="J591" s="26">
        <v>49</v>
      </c>
      <c r="K591" s="26">
        <v>18</v>
      </c>
      <c r="L591" s="26"/>
      <c r="M591" s="26">
        <v>17</v>
      </c>
      <c r="N591" s="26">
        <v>13</v>
      </c>
      <c r="O591" s="26">
        <v>5</v>
      </c>
      <c r="P591" s="26">
        <v>7</v>
      </c>
      <c r="Q591" s="70">
        <v>0</v>
      </c>
      <c r="R591" s="26">
        <v>71</v>
      </c>
    </row>
    <row r="592" spans="1:18" x14ac:dyDescent="0.35">
      <c r="A592" s="69">
        <v>57210236</v>
      </c>
      <c r="B592" s="69" t="s">
        <v>2167</v>
      </c>
      <c r="C592" s="69" t="s">
        <v>2253</v>
      </c>
      <c r="D592" s="69">
        <v>9226838787</v>
      </c>
      <c r="E592" s="69" t="s">
        <v>2169</v>
      </c>
      <c r="F592" s="69" t="s">
        <v>949</v>
      </c>
      <c r="G592" s="26"/>
      <c r="H592" s="26"/>
      <c r="I592" s="26">
        <v>10</v>
      </c>
      <c r="J592" s="26">
        <v>38</v>
      </c>
      <c r="K592" s="26">
        <v>11</v>
      </c>
      <c r="L592" s="26">
        <v>2</v>
      </c>
      <c r="M592" s="26"/>
      <c r="N592" s="26">
        <v>1</v>
      </c>
      <c r="O592" s="26">
        <v>3</v>
      </c>
      <c r="P592" s="26">
        <v>2</v>
      </c>
      <c r="Q592" s="70">
        <v>0</v>
      </c>
      <c r="R592" s="26">
        <v>69</v>
      </c>
    </row>
    <row r="593" spans="1:18" x14ac:dyDescent="0.35">
      <c r="A593" s="69">
        <v>57210241</v>
      </c>
      <c r="B593" s="69" t="s">
        <v>2254</v>
      </c>
      <c r="C593" s="69" t="s">
        <v>2255</v>
      </c>
      <c r="D593" s="69">
        <v>9822950516</v>
      </c>
      <c r="E593" s="69" t="s">
        <v>2256</v>
      </c>
      <c r="F593" s="69" t="s">
        <v>949</v>
      </c>
      <c r="G593" s="26"/>
      <c r="H593" s="26"/>
      <c r="I593" s="26">
        <v>3</v>
      </c>
      <c r="J593" s="26">
        <v>15</v>
      </c>
      <c r="K593" s="26"/>
      <c r="L593" s="26">
        <v>6</v>
      </c>
      <c r="M593" s="26">
        <v>0</v>
      </c>
      <c r="N593" s="26"/>
      <c r="O593" s="26"/>
      <c r="P593" s="26">
        <v>0</v>
      </c>
      <c r="Q593" s="70">
        <v>0</v>
      </c>
      <c r="R593" s="26">
        <v>69</v>
      </c>
    </row>
    <row r="594" spans="1:18" x14ac:dyDescent="0.35">
      <c r="A594" s="69">
        <v>57210243</v>
      </c>
      <c r="B594" s="69" t="s">
        <v>2257</v>
      </c>
      <c r="C594" s="69" t="s">
        <v>2258</v>
      </c>
      <c r="D594" s="69">
        <v>9890418120</v>
      </c>
      <c r="E594" s="69" t="s">
        <v>2259</v>
      </c>
      <c r="F594" s="69" t="s">
        <v>1370</v>
      </c>
      <c r="G594" s="26">
        <v>8</v>
      </c>
      <c r="H594" s="26">
        <v>2</v>
      </c>
      <c r="I594" s="26">
        <v>33</v>
      </c>
      <c r="J594" s="26">
        <v>37</v>
      </c>
      <c r="K594" s="26">
        <v>6</v>
      </c>
      <c r="L594" s="26">
        <v>3</v>
      </c>
      <c r="M594" s="26">
        <v>9</v>
      </c>
      <c r="N594" s="26">
        <v>7</v>
      </c>
      <c r="O594" s="26">
        <v>2</v>
      </c>
      <c r="P594" s="26">
        <v>3</v>
      </c>
      <c r="Q594" s="70">
        <v>3</v>
      </c>
      <c r="R594" s="26">
        <v>69</v>
      </c>
    </row>
    <row r="595" spans="1:18" x14ac:dyDescent="0.35">
      <c r="A595" s="69">
        <v>57210252</v>
      </c>
      <c r="B595" s="69" t="s">
        <v>2260</v>
      </c>
      <c r="C595" s="69" t="s">
        <v>2261</v>
      </c>
      <c r="D595" s="69">
        <v>9423969269</v>
      </c>
      <c r="E595" s="69" t="s">
        <v>2262</v>
      </c>
      <c r="F595" s="69" t="s">
        <v>1040</v>
      </c>
      <c r="G595" s="26">
        <v>11</v>
      </c>
      <c r="H595" s="26"/>
      <c r="I595" s="26">
        <v>20</v>
      </c>
      <c r="J595" s="26">
        <v>33</v>
      </c>
      <c r="K595" s="26">
        <v>7</v>
      </c>
      <c r="L595" s="26">
        <v>6</v>
      </c>
      <c r="M595" s="26">
        <v>5</v>
      </c>
      <c r="N595" s="26">
        <v>7</v>
      </c>
      <c r="O595" s="26">
        <v>5</v>
      </c>
      <c r="P595" s="26">
        <v>5</v>
      </c>
      <c r="Q595" s="70">
        <v>1</v>
      </c>
      <c r="R595" s="26">
        <v>67</v>
      </c>
    </row>
    <row r="596" spans="1:18" x14ac:dyDescent="0.35">
      <c r="A596" s="69">
        <v>57210260</v>
      </c>
      <c r="B596" s="69" t="s">
        <v>2263</v>
      </c>
      <c r="C596" s="69" t="s">
        <v>2264</v>
      </c>
      <c r="D596" s="69">
        <v>9422248045</v>
      </c>
      <c r="E596" s="69" t="s">
        <v>2265</v>
      </c>
      <c r="F596" s="69" t="s">
        <v>1040</v>
      </c>
      <c r="G596" s="26">
        <v>62</v>
      </c>
      <c r="H596" s="26"/>
      <c r="I596" s="26">
        <v>20</v>
      </c>
      <c r="J596" s="26">
        <v>151</v>
      </c>
      <c r="K596" s="26">
        <v>118</v>
      </c>
      <c r="L596" s="26">
        <v>13</v>
      </c>
      <c r="M596" s="26">
        <v>40</v>
      </c>
      <c r="N596" s="26">
        <v>8</v>
      </c>
      <c r="O596" s="26"/>
      <c r="P596" s="26">
        <v>21</v>
      </c>
      <c r="Q596" s="70">
        <v>0</v>
      </c>
      <c r="R596" s="26">
        <v>67</v>
      </c>
    </row>
    <row r="597" spans="1:18" x14ac:dyDescent="0.35">
      <c r="A597" s="69">
        <v>57210262</v>
      </c>
      <c r="B597" s="69" t="s">
        <v>2266</v>
      </c>
      <c r="C597" s="69" t="s">
        <v>2267</v>
      </c>
      <c r="D597" s="69">
        <v>9881148899</v>
      </c>
      <c r="E597" s="69" t="s">
        <v>2268</v>
      </c>
      <c r="F597" s="69" t="s">
        <v>1040</v>
      </c>
      <c r="G597" s="26">
        <v>6</v>
      </c>
      <c r="H597" s="26">
        <v>4</v>
      </c>
      <c r="I597" s="26"/>
      <c r="J597" s="26">
        <v>76</v>
      </c>
      <c r="K597" s="26"/>
      <c r="L597" s="26"/>
      <c r="M597" s="26">
        <v>8</v>
      </c>
      <c r="N597" s="26">
        <v>2</v>
      </c>
      <c r="O597" s="26"/>
      <c r="P597" s="26">
        <v>13</v>
      </c>
      <c r="Q597" s="70">
        <v>0</v>
      </c>
      <c r="R597" s="26">
        <v>67</v>
      </c>
    </row>
    <row r="598" spans="1:18" x14ac:dyDescent="0.35">
      <c r="A598" s="69">
        <v>57210264</v>
      </c>
      <c r="B598" s="69" t="s">
        <v>2269</v>
      </c>
      <c r="C598" s="69" t="s">
        <v>2270</v>
      </c>
      <c r="D598" s="69">
        <v>9960399582</v>
      </c>
      <c r="E598" s="69" t="s">
        <v>2271</v>
      </c>
      <c r="F598" s="69" t="s">
        <v>1040</v>
      </c>
      <c r="G598" s="26">
        <v>5</v>
      </c>
      <c r="H598" s="26">
        <v>7</v>
      </c>
      <c r="I598" s="26"/>
      <c r="J598" s="26">
        <v>66</v>
      </c>
      <c r="K598" s="26">
        <v>15</v>
      </c>
      <c r="L598" s="26"/>
      <c r="M598" s="26">
        <v>9</v>
      </c>
      <c r="N598" s="26">
        <v>0</v>
      </c>
      <c r="O598" s="26">
        <v>9</v>
      </c>
      <c r="P598" s="26">
        <v>10</v>
      </c>
      <c r="Q598" s="70">
        <v>6</v>
      </c>
      <c r="R598" s="26">
        <v>66</v>
      </c>
    </row>
    <row r="599" spans="1:18" x14ac:dyDescent="0.35">
      <c r="A599" s="69">
        <v>57210270</v>
      </c>
      <c r="B599" s="69" t="s">
        <v>2272</v>
      </c>
      <c r="C599" s="69" t="s">
        <v>2273</v>
      </c>
      <c r="D599" s="69">
        <v>9325945526</v>
      </c>
      <c r="E599" s="69" t="s">
        <v>2274</v>
      </c>
      <c r="F599" s="69" t="s">
        <v>1040</v>
      </c>
      <c r="G599" s="26">
        <v>16</v>
      </c>
      <c r="H599" s="26"/>
      <c r="I599" s="26"/>
      <c r="J599" s="26">
        <v>14</v>
      </c>
      <c r="K599" s="26">
        <v>14</v>
      </c>
      <c r="L599" s="26"/>
      <c r="M599" s="26"/>
      <c r="N599" s="26"/>
      <c r="O599" s="26"/>
      <c r="P599" s="26">
        <v>0</v>
      </c>
      <c r="Q599" s="70">
        <v>0</v>
      </c>
      <c r="R599" s="26">
        <v>66</v>
      </c>
    </row>
    <row r="600" spans="1:18" x14ac:dyDescent="0.35">
      <c r="A600" s="69">
        <v>57210272</v>
      </c>
      <c r="B600" s="69" t="s">
        <v>2275</v>
      </c>
      <c r="C600" s="69" t="s">
        <v>2276</v>
      </c>
      <c r="D600" s="69">
        <v>9226901596</v>
      </c>
      <c r="E600" s="69" t="s">
        <v>2277</v>
      </c>
      <c r="F600" s="69" t="s">
        <v>1040</v>
      </c>
      <c r="G600" s="26"/>
      <c r="H600" s="26"/>
      <c r="I600" s="26"/>
      <c r="J600" s="26">
        <v>41</v>
      </c>
      <c r="K600" s="26">
        <v>25</v>
      </c>
      <c r="L600" s="26"/>
      <c r="M600" s="26">
        <v>11</v>
      </c>
      <c r="N600" s="26">
        <v>10</v>
      </c>
      <c r="O600" s="26">
        <v>3</v>
      </c>
      <c r="P600" s="26">
        <v>0</v>
      </c>
      <c r="Q600" s="70">
        <v>17</v>
      </c>
      <c r="R600" s="26">
        <v>66</v>
      </c>
    </row>
    <row r="601" spans="1:18" x14ac:dyDescent="0.35">
      <c r="A601" s="69">
        <v>57210273</v>
      </c>
      <c r="B601" s="69" t="s">
        <v>2278</v>
      </c>
      <c r="C601" s="69" t="s">
        <v>2279</v>
      </c>
      <c r="D601" s="69">
        <v>9011968616</v>
      </c>
      <c r="E601" s="69" t="s">
        <v>2280</v>
      </c>
      <c r="F601" s="69" t="s">
        <v>1040</v>
      </c>
      <c r="G601" s="26">
        <v>9</v>
      </c>
      <c r="H601" s="26"/>
      <c r="I601" s="26"/>
      <c r="J601" s="26">
        <v>71</v>
      </c>
      <c r="K601" s="26">
        <v>13</v>
      </c>
      <c r="L601" s="26">
        <v>1</v>
      </c>
      <c r="M601" s="26">
        <v>13</v>
      </c>
      <c r="N601" s="26">
        <v>2</v>
      </c>
      <c r="O601" s="26">
        <v>4</v>
      </c>
      <c r="P601" s="26">
        <v>1</v>
      </c>
      <c r="Q601" s="70">
        <v>3</v>
      </c>
      <c r="R601" s="26">
        <v>66</v>
      </c>
    </row>
    <row r="602" spans="1:18" x14ac:dyDescent="0.35">
      <c r="A602" s="69">
        <v>57210282</v>
      </c>
      <c r="B602" s="69" t="s">
        <v>2134</v>
      </c>
      <c r="C602" s="69" t="s">
        <v>2281</v>
      </c>
      <c r="D602" s="69">
        <v>9890223667</v>
      </c>
      <c r="E602" s="69" t="s">
        <v>2136</v>
      </c>
      <c r="F602" s="69" t="s">
        <v>1040</v>
      </c>
      <c r="G602" s="26"/>
      <c r="H602" s="26"/>
      <c r="I602" s="26"/>
      <c r="J602" s="26">
        <v>32</v>
      </c>
      <c r="K602" s="26"/>
      <c r="L602" s="26">
        <v>16</v>
      </c>
      <c r="M602" s="26">
        <v>25</v>
      </c>
      <c r="N602" s="26">
        <v>3</v>
      </c>
      <c r="O602" s="26"/>
      <c r="P602" s="26">
        <v>6</v>
      </c>
      <c r="Q602" s="70">
        <v>2</v>
      </c>
      <c r="R602" s="26">
        <v>66</v>
      </c>
    </row>
    <row r="603" spans="1:18" x14ac:dyDescent="0.35">
      <c r="A603" s="69">
        <v>57210284</v>
      </c>
      <c r="B603" s="69" t="s">
        <v>2282</v>
      </c>
      <c r="C603" s="69" t="s">
        <v>2283</v>
      </c>
      <c r="D603" s="69">
        <v>9890030270</v>
      </c>
      <c r="E603" s="69" t="s">
        <v>2284</v>
      </c>
      <c r="F603" s="69" t="s">
        <v>1040</v>
      </c>
      <c r="G603" s="26"/>
      <c r="H603" s="26"/>
      <c r="I603" s="26">
        <v>36</v>
      </c>
      <c r="J603" s="26">
        <v>54</v>
      </c>
      <c r="K603" s="26">
        <v>18</v>
      </c>
      <c r="L603" s="26"/>
      <c r="M603" s="26"/>
      <c r="N603" s="26">
        <v>4</v>
      </c>
      <c r="O603" s="26"/>
      <c r="P603" s="26">
        <v>0</v>
      </c>
      <c r="Q603" s="70">
        <v>0</v>
      </c>
      <c r="R603" s="26">
        <v>65</v>
      </c>
    </row>
    <row r="604" spans="1:18" x14ac:dyDescent="0.35">
      <c r="A604" s="69">
        <v>57210289</v>
      </c>
      <c r="B604" s="69" t="s">
        <v>2285</v>
      </c>
      <c r="C604" s="69" t="s">
        <v>2286</v>
      </c>
      <c r="D604" s="69">
        <v>9545754511</v>
      </c>
      <c r="E604" s="69" t="s">
        <v>2287</v>
      </c>
      <c r="F604" s="69" t="s">
        <v>1040</v>
      </c>
      <c r="G604" s="26"/>
      <c r="H604" s="26"/>
      <c r="I604" s="26"/>
      <c r="J604" s="26">
        <v>39</v>
      </c>
      <c r="K604" s="26">
        <v>4</v>
      </c>
      <c r="L604" s="26">
        <v>4</v>
      </c>
      <c r="M604" s="26"/>
      <c r="N604" s="26">
        <v>2</v>
      </c>
      <c r="O604" s="26">
        <v>3</v>
      </c>
      <c r="P604" s="26">
        <v>0</v>
      </c>
      <c r="Q604" s="70">
        <v>0</v>
      </c>
      <c r="R604" s="26">
        <v>64</v>
      </c>
    </row>
    <row r="605" spans="1:18" x14ac:dyDescent="0.35">
      <c r="A605" s="69">
        <v>57210293</v>
      </c>
      <c r="B605" s="69" t="s">
        <v>2288</v>
      </c>
      <c r="C605" s="69" t="s">
        <v>2289</v>
      </c>
      <c r="D605" s="69">
        <v>9767890998</v>
      </c>
      <c r="E605" s="69" t="s">
        <v>2290</v>
      </c>
      <c r="F605" s="69" t="s">
        <v>1040</v>
      </c>
      <c r="G605" s="26">
        <v>57</v>
      </c>
      <c r="H605" s="26"/>
      <c r="I605" s="26">
        <v>56</v>
      </c>
      <c r="J605" s="26">
        <v>94</v>
      </c>
      <c r="K605" s="26">
        <v>19</v>
      </c>
      <c r="L605" s="26">
        <v>8</v>
      </c>
      <c r="M605" s="26">
        <v>22</v>
      </c>
      <c r="N605" s="26">
        <v>26</v>
      </c>
      <c r="O605" s="26"/>
      <c r="P605" s="26">
        <v>43</v>
      </c>
      <c r="Q605" s="70">
        <v>25</v>
      </c>
      <c r="R605" s="26">
        <v>63</v>
      </c>
    </row>
    <row r="606" spans="1:18" x14ac:dyDescent="0.35">
      <c r="A606" s="69">
        <v>57210297</v>
      </c>
      <c r="B606" s="69" t="s">
        <v>2291</v>
      </c>
      <c r="C606" s="69" t="s">
        <v>2292</v>
      </c>
      <c r="D606" s="69">
        <v>9371527340</v>
      </c>
      <c r="E606" s="69" t="s">
        <v>2293</v>
      </c>
      <c r="F606" s="69" t="s">
        <v>1040</v>
      </c>
      <c r="G606" s="26"/>
      <c r="H606" s="26">
        <v>16</v>
      </c>
      <c r="I606" s="26">
        <v>11</v>
      </c>
      <c r="J606" s="26">
        <v>64</v>
      </c>
      <c r="K606" s="26">
        <v>8</v>
      </c>
      <c r="L606" s="26">
        <v>10</v>
      </c>
      <c r="M606" s="26">
        <v>8</v>
      </c>
      <c r="N606" s="26">
        <v>6</v>
      </c>
      <c r="O606" s="26">
        <v>2</v>
      </c>
      <c r="P606" s="26">
        <v>9</v>
      </c>
      <c r="Q606" s="70">
        <v>2</v>
      </c>
      <c r="R606" s="26">
        <v>63</v>
      </c>
    </row>
    <row r="607" spans="1:18" x14ac:dyDescent="0.35">
      <c r="A607" s="69">
        <v>57210302</v>
      </c>
      <c r="B607" s="69" t="s">
        <v>2294</v>
      </c>
      <c r="C607" s="69" t="s">
        <v>2295</v>
      </c>
      <c r="D607" s="69">
        <v>9890866383</v>
      </c>
      <c r="E607" s="69" t="s">
        <v>2296</v>
      </c>
      <c r="F607" s="69" t="s">
        <v>582</v>
      </c>
      <c r="G607" s="26">
        <v>7</v>
      </c>
      <c r="H607" s="26">
        <v>3</v>
      </c>
      <c r="I607" s="26">
        <v>13</v>
      </c>
      <c r="J607" s="26">
        <v>44</v>
      </c>
      <c r="K607" s="26">
        <v>7</v>
      </c>
      <c r="L607" s="26">
        <v>2</v>
      </c>
      <c r="M607" s="26">
        <v>2</v>
      </c>
      <c r="N607" s="26">
        <v>4</v>
      </c>
      <c r="O607" s="26">
        <v>2</v>
      </c>
      <c r="P607" s="26">
        <v>0</v>
      </c>
      <c r="Q607" s="70">
        <v>0</v>
      </c>
      <c r="R607" s="26">
        <v>62</v>
      </c>
    </row>
    <row r="608" spans="1:18" x14ac:dyDescent="0.35">
      <c r="A608" s="69">
        <v>57210306</v>
      </c>
      <c r="B608" s="69" t="s">
        <v>2297</v>
      </c>
      <c r="C608" s="69" t="s">
        <v>2298</v>
      </c>
      <c r="D608" s="69">
        <v>9850255532</v>
      </c>
      <c r="E608" s="69" t="s">
        <v>2187</v>
      </c>
      <c r="F608" s="69" t="s">
        <v>582</v>
      </c>
      <c r="G608" s="26">
        <v>42</v>
      </c>
      <c r="H608" s="26"/>
      <c r="I608" s="26"/>
      <c r="J608" s="26">
        <v>216</v>
      </c>
      <c r="K608" s="26">
        <v>47</v>
      </c>
      <c r="L608" s="26"/>
      <c r="M608" s="26">
        <v>42</v>
      </c>
      <c r="N608" s="26">
        <v>8</v>
      </c>
      <c r="O608" s="26"/>
      <c r="P608" s="26">
        <v>24</v>
      </c>
      <c r="Q608" s="70">
        <v>0</v>
      </c>
      <c r="R608" s="26">
        <v>62</v>
      </c>
    </row>
    <row r="609" spans="1:18" x14ac:dyDescent="0.35">
      <c r="A609" s="69">
        <v>57210312</v>
      </c>
      <c r="B609" s="69" t="s">
        <v>2299</v>
      </c>
      <c r="C609" s="69" t="s">
        <v>2300</v>
      </c>
      <c r="D609" s="69">
        <v>9890244702</v>
      </c>
      <c r="E609" s="69" t="s">
        <v>2301</v>
      </c>
      <c r="F609" s="69" t="s">
        <v>1644</v>
      </c>
      <c r="G609" s="26">
        <v>13</v>
      </c>
      <c r="H609" s="26">
        <v>3</v>
      </c>
      <c r="I609" s="26">
        <v>34</v>
      </c>
      <c r="J609" s="26">
        <v>25</v>
      </c>
      <c r="K609" s="26"/>
      <c r="L609" s="26"/>
      <c r="M609" s="26">
        <v>4</v>
      </c>
      <c r="N609" s="26">
        <v>6</v>
      </c>
      <c r="O609" s="26">
        <v>3</v>
      </c>
      <c r="P609" s="26">
        <v>16</v>
      </c>
      <c r="Q609" s="70">
        <v>1</v>
      </c>
      <c r="R609" s="26">
        <v>61</v>
      </c>
    </row>
    <row r="610" spans="1:18" x14ac:dyDescent="0.35">
      <c r="A610" s="69">
        <v>57210319</v>
      </c>
      <c r="B610" s="69" t="s">
        <v>2302</v>
      </c>
      <c r="C610" s="69" t="s">
        <v>2303</v>
      </c>
      <c r="D610" s="69">
        <v>9890607073</v>
      </c>
      <c r="E610" s="69" t="s">
        <v>2304</v>
      </c>
      <c r="F610" s="69" t="s">
        <v>1644</v>
      </c>
      <c r="G610" s="26">
        <v>8</v>
      </c>
      <c r="H610" s="26"/>
      <c r="I610" s="26"/>
      <c r="J610" s="26">
        <v>109</v>
      </c>
      <c r="K610" s="26">
        <v>24</v>
      </c>
      <c r="L610" s="26">
        <v>8</v>
      </c>
      <c r="M610" s="26"/>
      <c r="N610" s="26">
        <v>2</v>
      </c>
      <c r="O610" s="26">
        <v>5</v>
      </c>
      <c r="P610" s="26">
        <v>8</v>
      </c>
      <c r="Q610" s="70">
        <v>0</v>
      </c>
      <c r="R610" s="26">
        <v>61</v>
      </c>
    </row>
    <row r="611" spans="1:18" x14ac:dyDescent="0.35">
      <c r="A611" s="69">
        <v>57210326</v>
      </c>
      <c r="B611" s="69" t="s">
        <v>2305</v>
      </c>
      <c r="C611" s="69" t="s">
        <v>2306</v>
      </c>
      <c r="D611" s="69">
        <v>9420227200</v>
      </c>
      <c r="E611" s="69" t="s">
        <v>2181</v>
      </c>
      <c r="F611" s="69" t="s">
        <v>1644</v>
      </c>
      <c r="G611" s="26">
        <v>10</v>
      </c>
      <c r="H611" s="26"/>
      <c r="I611" s="26">
        <v>11</v>
      </c>
      <c r="J611" s="26">
        <v>41</v>
      </c>
      <c r="K611" s="26">
        <v>14</v>
      </c>
      <c r="L611" s="26">
        <v>6</v>
      </c>
      <c r="M611" s="26">
        <v>4</v>
      </c>
      <c r="N611" s="26">
        <v>4</v>
      </c>
      <c r="O611" s="26">
        <v>5</v>
      </c>
      <c r="P611" s="26">
        <v>2</v>
      </c>
      <c r="Q611" s="70">
        <v>2</v>
      </c>
      <c r="R611" s="26">
        <v>61</v>
      </c>
    </row>
    <row r="612" spans="1:18" x14ac:dyDescent="0.35">
      <c r="A612" s="69">
        <v>57210349</v>
      </c>
      <c r="B612" s="69" t="s">
        <v>736</v>
      </c>
      <c r="C612" s="69" t="s">
        <v>2307</v>
      </c>
      <c r="D612" s="69">
        <v>9923888234</v>
      </c>
      <c r="E612" s="69" t="s">
        <v>2308</v>
      </c>
      <c r="F612" s="69" t="s">
        <v>211</v>
      </c>
      <c r="G612" s="26">
        <v>6</v>
      </c>
      <c r="H612" s="26"/>
      <c r="I612" s="26"/>
      <c r="J612" s="26">
        <v>65</v>
      </c>
      <c r="K612" s="26">
        <v>40</v>
      </c>
      <c r="L612" s="26"/>
      <c r="M612" s="26"/>
      <c r="N612" s="26">
        <v>7</v>
      </c>
      <c r="O612" s="26">
        <v>8</v>
      </c>
      <c r="P612" s="26">
        <v>0</v>
      </c>
      <c r="Q612" s="70">
        <v>14</v>
      </c>
      <c r="R612" s="26">
        <v>61</v>
      </c>
    </row>
    <row r="613" spans="1:18" x14ac:dyDescent="0.35">
      <c r="A613" s="69">
        <v>57210360</v>
      </c>
      <c r="B613" s="69" t="s">
        <v>2309</v>
      </c>
      <c r="C613" s="69" t="s">
        <v>2310</v>
      </c>
      <c r="D613" s="69">
        <v>9923291564</v>
      </c>
      <c r="E613" s="69" t="s">
        <v>2311</v>
      </c>
      <c r="F613" s="69" t="s">
        <v>211</v>
      </c>
      <c r="G613" s="26"/>
      <c r="H613" s="26"/>
      <c r="I613" s="26">
        <v>7</v>
      </c>
      <c r="J613" s="26">
        <v>18</v>
      </c>
      <c r="K613" s="26">
        <v>6</v>
      </c>
      <c r="L613" s="26">
        <v>10</v>
      </c>
      <c r="M613" s="26">
        <v>6</v>
      </c>
      <c r="N613" s="26">
        <v>2</v>
      </c>
      <c r="O613" s="26">
        <v>2</v>
      </c>
      <c r="P613" s="26">
        <v>3</v>
      </c>
      <c r="Q613" s="70">
        <v>1</v>
      </c>
      <c r="R613" s="26">
        <v>60</v>
      </c>
    </row>
    <row r="614" spans="1:18" x14ac:dyDescent="0.35">
      <c r="A614" s="69">
        <v>57210376</v>
      </c>
      <c r="B614" s="69" t="s">
        <v>2312</v>
      </c>
      <c r="C614" s="69" t="s">
        <v>2313</v>
      </c>
      <c r="D614" s="69">
        <v>9890292336</v>
      </c>
      <c r="E614" s="69" t="s">
        <v>2314</v>
      </c>
      <c r="F614" s="69" t="s">
        <v>211</v>
      </c>
      <c r="G614" s="26">
        <v>21</v>
      </c>
      <c r="H614" s="26"/>
      <c r="I614" s="26">
        <v>8</v>
      </c>
      <c r="J614" s="26">
        <v>126</v>
      </c>
      <c r="K614" s="26">
        <v>16</v>
      </c>
      <c r="L614" s="26"/>
      <c r="M614" s="26"/>
      <c r="N614" s="26">
        <v>38</v>
      </c>
      <c r="O614" s="26">
        <v>10</v>
      </c>
      <c r="P614" s="26">
        <v>6</v>
      </c>
      <c r="Q614" s="70">
        <v>1</v>
      </c>
      <c r="R614" s="26">
        <v>60</v>
      </c>
    </row>
    <row r="615" spans="1:18" x14ac:dyDescent="0.35">
      <c r="A615" s="69">
        <v>57210382</v>
      </c>
      <c r="B615" s="69" t="s">
        <v>2315</v>
      </c>
      <c r="C615" s="69" t="s">
        <v>2316</v>
      </c>
      <c r="D615" s="69">
        <v>7588173033</v>
      </c>
      <c r="E615" s="69" t="s">
        <v>2317</v>
      </c>
      <c r="F615" s="69" t="s">
        <v>211</v>
      </c>
      <c r="G615" s="26"/>
      <c r="H615" s="26"/>
      <c r="I615" s="26">
        <v>21</v>
      </c>
      <c r="J615" s="26">
        <v>39</v>
      </c>
      <c r="K615" s="26">
        <v>11</v>
      </c>
      <c r="L615" s="26">
        <v>5</v>
      </c>
      <c r="M615" s="26">
        <v>7</v>
      </c>
      <c r="N615" s="26">
        <v>9</v>
      </c>
      <c r="O615" s="26">
        <v>3</v>
      </c>
      <c r="P615" s="26">
        <v>6</v>
      </c>
      <c r="Q615" s="70">
        <v>0</v>
      </c>
      <c r="R615" s="26">
        <v>60</v>
      </c>
    </row>
    <row r="616" spans="1:18" x14ac:dyDescent="0.35">
      <c r="A616" s="69">
        <v>57210383</v>
      </c>
      <c r="B616" s="69" t="s">
        <v>2318</v>
      </c>
      <c r="C616" s="69" t="s">
        <v>2319</v>
      </c>
      <c r="D616" s="69">
        <v>9762425487</v>
      </c>
      <c r="E616" s="69" t="s">
        <v>2320</v>
      </c>
      <c r="F616" s="69" t="s">
        <v>211</v>
      </c>
      <c r="G616" s="26">
        <v>12</v>
      </c>
      <c r="H616" s="26">
        <v>2</v>
      </c>
      <c r="I616" s="26"/>
      <c r="J616" s="26">
        <v>87</v>
      </c>
      <c r="K616" s="26">
        <v>17</v>
      </c>
      <c r="L616" s="26">
        <v>8</v>
      </c>
      <c r="M616" s="26">
        <v>20</v>
      </c>
      <c r="N616" s="26">
        <v>7</v>
      </c>
      <c r="O616" s="26">
        <v>12</v>
      </c>
      <c r="P616" s="26">
        <v>10</v>
      </c>
      <c r="Q616" s="70">
        <v>2</v>
      </c>
      <c r="R616" s="26">
        <v>59</v>
      </c>
    </row>
    <row r="617" spans="1:18" x14ac:dyDescent="0.35">
      <c r="A617" s="69">
        <v>57210387</v>
      </c>
      <c r="B617" s="69" t="s">
        <v>2321</v>
      </c>
      <c r="C617" s="69" t="s">
        <v>2322</v>
      </c>
      <c r="D617" s="69">
        <v>8605627708</v>
      </c>
      <c r="E617" s="69" t="s">
        <v>2323</v>
      </c>
      <c r="F617" s="69" t="s">
        <v>211</v>
      </c>
      <c r="G617" s="26">
        <v>10</v>
      </c>
      <c r="H617" s="26"/>
      <c r="I617" s="26">
        <v>14</v>
      </c>
      <c r="J617" s="26">
        <v>34</v>
      </c>
      <c r="K617" s="26"/>
      <c r="L617" s="26">
        <v>6</v>
      </c>
      <c r="M617" s="26"/>
      <c r="N617" s="26"/>
      <c r="O617" s="26">
        <v>0</v>
      </c>
      <c r="P617" s="26">
        <v>18</v>
      </c>
      <c r="Q617" s="70">
        <v>7</v>
      </c>
      <c r="R617" s="26">
        <v>59</v>
      </c>
    </row>
    <row r="618" spans="1:18" x14ac:dyDescent="0.35">
      <c r="A618" s="69">
        <v>57210390</v>
      </c>
      <c r="B618" s="69" t="s">
        <v>1342</v>
      </c>
      <c r="C618" s="69" t="s">
        <v>2324</v>
      </c>
      <c r="D618" s="69">
        <v>9623541026</v>
      </c>
      <c r="E618" s="69" t="s">
        <v>2325</v>
      </c>
      <c r="F618" s="69" t="s">
        <v>211</v>
      </c>
      <c r="G618" s="26">
        <v>4</v>
      </c>
      <c r="H618" s="26"/>
      <c r="I618" s="26"/>
      <c r="J618" s="26">
        <v>92</v>
      </c>
      <c r="K618" s="26">
        <v>7</v>
      </c>
      <c r="L618" s="26">
        <v>8</v>
      </c>
      <c r="M618" s="26">
        <v>4</v>
      </c>
      <c r="N618" s="26"/>
      <c r="O618" s="26">
        <v>4</v>
      </c>
      <c r="P618" s="26">
        <v>1</v>
      </c>
      <c r="Q618" s="70">
        <v>0</v>
      </c>
      <c r="R618" s="26">
        <v>58</v>
      </c>
    </row>
    <row r="619" spans="1:18" x14ac:dyDescent="0.35">
      <c r="A619" s="69">
        <v>57210391</v>
      </c>
      <c r="B619" s="69" t="s">
        <v>2326</v>
      </c>
      <c r="C619" s="69" t="s">
        <v>2327</v>
      </c>
      <c r="D619" s="69">
        <v>9158826880</v>
      </c>
      <c r="E619" s="69" t="s">
        <v>2328</v>
      </c>
      <c r="F619" s="69" t="s">
        <v>211</v>
      </c>
      <c r="G619" s="26">
        <v>4</v>
      </c>
      <c r="H619" s="26">
        <v>5</v>
      </c>
      <c r="I619" s="26">
        <v>3</v>
      </c>
      <c r="J619" s="26">
        <v>26</v>
      </c>
      <c r="K619" s="26"/>
      <c r="L619" s="26">
        <v>0</v>
      </c>
      <c r="M619" s="26">
        <v>3</v>
      </c>
      <c r="N619" s="26">
        <v>2</v>
      </c>
      <c r="O619" s="26">
        <v>1</v>
      </c>
      <c r="P619" s="26">
        <v>4</v>
      </c>
      <c r="Q619" s="70">
        <v>1</v>
      </c>
      <c r="R619" s="26">
        <v>58</v>
      </c>
    </row>
    <row r="620" spans="1:18" x14ac:dyDescent="0.35">
      <c r="A620" s="69">
        <v>58210003</v>
      </c>
      <c r="B620" s="69" t="s">
        <v>935</v>
      </c>
      <c r="C620" s="69" t="s">
        <v>2329</v>
      </c>
      <c r="D620" s="69">
        <v>9869214286</v>
      </c>
      <c r="E620" s="69" t="s">
        <v>2330</v>
      </c>
      <c r="F620" s="69" t="s">
        <v>211</v>
      </c>
      <c r="G620" s="26">
        <v>113</v>
      </c>
      <c r="H620" s="26"/>
      <c r="I620" s="26">
        <v>52</v>
      </c>
      <c r="J620" s="26">
        <v>237</v>
      </c>
      <c r="K620" s="26">
        <v>124</v>
      </c>
      <c r="L620" s="26">
        <v>65</v>
      </c>
      <c r="M620" s="26">
        <v>81</v>
      </c>
      <c r="N620" s="26">
        <v>54</v>
      </c>
      <c r="O620" s="26"/>
      <c r="P620" s="26">
        <v>65</v>
      </c>
      <c r="Q620" s="70">
        <v>19</v>
      </c>
      <c r="R620" s="26">
        <v>58</v>
      </c>
    </row>
    <row r="621" spans="1:18" x14ac:dyDescent="0.35">
      <c r="A621" s="69">
        <v>58210004</v>
      </c>
      <c r="B621" s="69" t="s">
        <v>935</v>
      </c>
      <c r="C621" s="69" t="s">
        <v>2331</v>
      </c>
      <c r="D621" s="69">
        <v>8108128870</v>
      </c>
      <c r="E621" s="69" t="s">
        <v>2332</v>
      </c>
      <c r="F621" s="69" t="s">
        <v>211</v>
      </c>
      <c r="G621" s="26">
        <v>40</v>
      </c>
      <c r="H621" s="26"/>
      <c r="I621" s="26">
        <v>51</v>
      </c>
      <c r="J621" s="26">
        <v>60</v>
      </c>
      <c r="K621" s="26">
        <v>40</v>
      </c>
      <c r="L621" s="26">
        <v>56</v>
      </c>
      <c r="M621" s="26">
        <v>24</v>
      </c>
      <c r="N621" s="26">
        <v>20</v>
      </c>
      <c r="O621" s="26"/>
      <c r="P621" s="26">
        <v>24</v>
      </c>
      <c r="Q621" s="70">
        <v>15</v>
      </c>
      <c r="R621" s="26">
        <v>58</v>
      </c>
    </row>
    <row r="622" spans="1:18" x14ac:dyDescent="0.35">
      <c r="A622" s="69">
        <v>58210005</v>
      </c>
      <c r="B622" s="69" t="s">
        <v>2333</v>
      </c>
      <c r="C622" s="69" t="s">
        <v>2334</v>
      </c>
      <c r="D622" s="69">
        <v>9820977608</v>
      </c>
      <c r="E622" s="69" t="s">
        <v>2335</v>
      </c>
      <c r="F622" s="69" t="s">
        <v>211</v>
      </c>
      <c r="G622" s="26">
        <v>4</v>
      </c>
      <c r="H622" s="26"/>
      <c r="I622" s="26">
        <v>7</v>
      </c>
      <c r="J622" s="26"/>
      <c r="K622" s="26">
        <v>13</v>
      </c>
      <c r="L622" s="26">
        <v>11</v>
      </c>
      <c r="M622" s="26">
        <v>11</v>
      </c>
      <c r="N622" s="26">
        <v>5</v>
      </c>
      <c r="O622" s="26">
        <v>5</v>
      </c>
      <c r="P622" s="26">
        <v>4</v>
      </c>
      <c r="Q622" s="70">
        <v>0</v>
      </c>
      <c r="R622" s="26">
        <v>58</v>
      </c>
    </row>
    <row r="623" spans="1:18" x14ac:dyDescent="0.35">
      <c r="A623" s="69">
        <v>58210027</v>
      </c>
      <c r="B623" s="69" t="s">
        <v>935</v>
      </c>
      <c r="C623" s="69" t="s">
        <v>2336</v>
      </c>
      <c r="D623" s="69">
        <v>9869214286</v>
      </c>
      <c r="E623" s="69" t="s">
        <v>2337</v>
      </c>
      <c r="F623" s="69" t="s">
        <v>211</v>
      </c>
      <c r="G623" s="26">
        <v>67</v>
      </c>
      <c r="H623" s="26"/>
      <c r="I623" s="26">
        <v>55</v>
      </c>
      <c r="J623" s="26">
        <v>224</v>
      </c>
      <c r="K623" s="26">
        <v>85</v>
      </c>
      <c r="L623" s="26">
        <v>58</v>
      </c>
      <c r="M623" s="26">
        <v>67</v>
      </c>
      <c r="N623" s="26">
        <v>42</v>
      </c>
      <c r="O623" s="26"/>
      <c r="P623" s="26">
        <v>79</v>
      </c>
      <c r="Q623" s="70">
        <v>36</v>
      </c>
      <c r="R623" s="26">
        <v>57</v>
      </c>
    </row>
    <row r="624" spans="1:18" x14ac:dyDescent="0.35">
      <c r="A624" s="69">
        <v>58210045</v>
      </c>
      <c r="B624" s="69" t="s">
        <v>1177</v>
      </c>
      <c r="C624" s="69" t="s">
        <v>2338</v>
      </c>
      <c r="D624" s="69">
        <v>9820737731</v>
      </c>
      <c r="E624" s="69" t="s">
        <v>2339</v>
      </c>
      <c r="F624" s="69" t="s">
        <v>2458</v>
      </c>
      <c r="G624" s="26">
        <v>22</v>
      </c>
      <c r="H624" s="26"/>
      <c r="I624" s="26">
        <v>15</v>
      </c>
      <c r="J624" s="26">
        <v>70</v>
      </c>
      <c r="K624" s="26">
        <v>14</v>
      </c>
      <c r="L624" s="26">
        <v>13</v>
      </c>
      <c r="M624" s="26">
        <v>15</v>
      </c>
      <c r="N624" s="26">
        <v>9</v>
      </c>
      <c r="O624" s="26"/>
      <c r="P624" s="26">
        <v>15</v>
      </c>
      <c r="Q624" s="70">
        <v>6</v>
      </c>
      <c r="R624" s="26">
        <v>57</v>
      </c>
    </row>
    <row r="625" spans="1:18" x14ac:dyDescent="0.35">
      <c r="A625" s="69">
        <v>58210055</v>
      </c>
      <c r="B625" s="69" t="s">
        <v>935</v>
      </c>
      <c r="C625" s="69" t="s">
        <v>2340</v>
      </c>
      <c r="D625" s="69">
        <v>8108128870</v>
      </c>
      <c r="E625" s="69" t="s">
        <v>2332</v>
      </c>
      <c r="F625" s="69" t="s">
        <v>2458</v>
      </c>
      <c r="G625" s="26">
        <v>29</v>
      </c>
      <c r="H625" s="26"/>
      <c r="I625" s="26">
        <v>53</v>
      </c>
      <c r="J625" s="26">
        <v>51</v>
      </c>
      <c r="K625" s="26">
        <v>30</v>
      </c>
      <c r="L625" s="26">
        <v>35</v>
      </c>
      <c r="M625" s="26">
        <v>21</v>
      </c>
      <c r="N625" s="26"/>
      <c r="O625" s="26"/>
      <c r="P625" s="26">
        <v>28</v>
      </c>
      <c r="Q625" s="70">
        <v>0</v>
      </c>
      <c r="R625" s="26">
        <v>57</v>
      </c>
    </row>
    <row r="626" spans="1:18" x14ac:dyDescent="0.35">
      <c r="A626" s="69">
        <v>58210056</v>
      </c>
      <c r="B626" s="69" t="s">
        <v>935</v>
      </c>
      <c r="C626" s="69" t="s">
        <v>2341</v>
      </c>
      <c r="D626" s="69">
        <v>9702868333</v>
      </c>
      <c r="E626" s="69" t="s">
        <v>2342</v>
      </c>
      <c r="F626" s="69" t="s">
        <v>2458</v>
      </c>
      <c r="G626" s="26"/>
      <c r="H626" s="26"/>
      <c r="I626" s="26">
        <v>30</v>
      </c>
      <c r="J626" s="26">
        <v>57</v>
      </c>
      <c r="K626" s="26"/>
      <c r="L626" s="26">
        <v>24</v>
      </c>
      <c r="M626" s="26">
        <v>18</v>
      </c>
      <c r="N626" s="26">
        <v>8</v>
      </c>
      <c r="O626" s="26">
        <v>0</v>
      </c>
      <c r="P626" s="26">
        <v>19</v>
      </c>
      <c r="Q626" s="70">
        <v>6</v>
      </c>
      <c r="R626" s="26">
        <v>57</v>
      </c>
    </row>
    <row r="627" spans="1:18" x14ac:dyDescent="0.35">
      <c r="A627" s="69">
        <v>58210077</v>
      </c>
      <c r="B627" s="69" t="s">
        <v>2343</v>
      </c>
      <c r="C627" s="69" t="s">
        <v>2344</v>
      </c>
      <c r="D627" s="69">
        <v>9224120003</v>
      </c>
      <c r="E627" s="69" t="s">
        <v>2345</v>
      </c>
      <c r="F627" s="69" t="s">
        <v>2458</v>
      </c>
      <c r="G627" s="26">
        <v>17</v>
      </c>
      <c r="H627" s="26"/>
      <c r="I627" s="26">
        <v>13</v>
      </c>
      <c r="J627" s="26">
        <v>13</v>
      </c>
      <c r="K627" s="26"/>
      <c r="L627" s="26">
        <v>23</v>
      </c>
      <c r="M627" s="26">
        <v>6</v>
      </c>
      <c r="N627" s="26">
        <v>4</v>
      </c>
      <c r="O627" s="26">
        <v>14</v>
      </c>
      <c r="P627" s="26">
        <v>6</v>
      </c>
      <c r="Q627" s="70">
        <v>5</v>
      </c>
      <c r="R627" s="26">
        <v>56</v>
      </c>
    </row>
    <row r="628" spans="1:18" x14ac:dyDescent="0.35">
      <c r="A628" s="69">
        <v>64210002</v>
      </c>
      <c r="B628" s="69" t="s">
        <v>2346</v>
      </c>
      <c r="C628" s="69" t="s">
        <v>2347</v>
      </c>
      <c r="D628" s="69">
        <v>9422152763</v>
      </c>
      <c r="E628" s="69" t="s">
        <v>2348</v>
      </c>
      <c r="F628" s="69" t="s">
        <v>2458</v>
      </c>
      <c r="G628" s="26">
        <v>30</v>
      </c>
      <c r="H628" s="26"/>
      <c r="I628" s="26">
        <v>55</v>
      </c>
      <c r="J628" s="26">
        <v>34</v>
      </c>
      <c r="K628" s="26">
        <v>61</v>
      </c>
      <c r="L628" s="26">
        <v>21</v>
      </c>
      <c r="M628" s="26">
        <v>14</v>
      </c>
      <c r="N628" s="26">
        <v>3</v>
      </c>
      <c r="O628" s="26">
        <v>16</v>
      </c>
      <c r="P628" s="26">
        <v>15</v>
      </c>
      <c r="Q628" s="70">
        <v>3</v>
      </c>
      <c r="R628" s="26">
        <v>55</v>
      </c>
    </row>
    <row r="629" spans="1:18" x14ac:dyDescent="0.35">
      <c r="A629" s="69">
        <v>64210003</v>
      </c>
      <c r="B629" s="69" t="s">
        <v>2350</v>
      </c>
      <c r="C629" s="69" t="s">
        <v>2351</v>
      </c>
      <c r="D629" s="69">
        <v>9421734503</v>
      </c>
      <c r="E629" s="69" t="s">
        <v>2352</v>
      </c>
      <c r="F629" s="69" t="s">
        <v>2458</v>
      </c>
      <c r="G629" s="26">
        <v>9</v>
      </c>
      <c r="H629" s="26">
        <v>1</v>
      </c>
      <c r="I629" s="26">
        <v>3</v>
      </c>
      <c r="J629" s="26">
        <v>39</v>
      </c>
      <c r="K629" s="26"/>
      <c r="L629" s="26"/>
      <c r="M629" s="26">
        <v>1</v>
      </c>
      <c r="N629" s="26">
        <v>9</v>
      </c>
      <c r="O629" s="26"/>
      <c r="P629" s="26">
        <v>13</v>
      </c>
      <c r="Q629" s="70">
        <v>2</v>
      </c>
      <c r="R629" s="26">
        <v>54</v>
      </c>
    </row>
    <row r="630" spans="1:18" x14ac:dyDescent="0.35">
      <c r="A630" s="69">
        <v>64210030</v>
      </c>
      <c r="B630" s="69" t="s">
        <v>2092</v>
      </c>
      <c r="C630" s="69" t="s">
        <v>2353</v>
      </c>
      <c r="D630" s="69">
        <v>9422137615</v>
      </c>
      <c r="E630" s="69" t="s">
        <v>2354</v>
      </c>
      <c r="F630" s="69" t="s">
        <v>2458</v>
      </c>
      <c r="G630" s="26"/>
      <c r="H630" s="26">
        <v>6</v>
      </c>
      <c r="I630" s="26"/>
      <c r="J630" s="26">
        <v>12</v>
      </c>
      <c r="K630" s="26">
        <v>5</v>
      </c>
      <c r="L630" s="26"/>
      <c r="M630" s="26">
        <v>9</v>
      </c>
      <c r="N630" s="26">
        <v>6</v>
      </c>
      <c r="O630" s="26"/>
      <c r="P630" s="26">
        <v>0</v>
      </c>
      <c r="Q630" s="70">
        <v>0</v>
      </c>
      <c r="R630" s="26">
        <v>54</v>
      </c>
    </row>
    <row r="631" spans="1:18" x14ac:dyDescent="0.35">
      <c r="A631" s="69">
        <v>64210061</v>
      </c>
      <c r="B631" s="69" t="s">
        <v>2355</v>
      </c>
      <c r="C631" s="69" t="s">
        <v>2356</v>
      </c>
      <c r="D631" s="69">
        <v>9421729222</v>
      </c>
      <c r="E631" s="69" t="s">
        <v>2357</v>
      </c>
      <c r="F631" s="69" t="s">
        <v>2458</v>
      </c>
      <c r="G631" s="26">
        <v>24</v>
      </c>
      <c r="H631" s="26"/>
      <c r="I631" s="26"/>
      <c r="J631" s="26">
        <v>85</v>
      </c>
      <c r="K631" s="26"/>
      <c r="L631" s="26"/>
      <c r="M631" s="26"/>
      <c r="N631" s="26">
        <v>32</v>
      </c>
      <c r="O631" s="26"/>
      <c r="P631" s="26">
        <v>0</v>
      </c>
      <c r="Q631" s="70">
        <v>28</v>
      </c>
      <c r="R631" s="26">
        <v>54</v>
      </c>
    </row>
    <row r="632" spans="1:18" x14ac:dyDescent="0.35">
      <c r="A632" s="69">
        <v>64210064</v>
      </c>
      <c r="B632" s="69" t="s">
        <v>2358</v>
      </c>
      <c r="C632" s="69" t="s">
        <v>2359</v>
      </c>
      <c r="D632" s="69">
        <v>8055253446</v>
      </c>
      <c r="E632" s="69" t="s">
        <v>2360</v>
      </c>
      <c r="F632" s="69" t="s">
        <v>2458</v>
      </c>
      <c r="G632" s="26"/>
      <c r="H632" s="26">
        <v>21</v>
      </c>
      <c r="I632" s="26">
        <v>53</v>
      </c>
      <c r="J632" s="26">
        <v>48</v>
      </c>
      <c r="K632" s="26"/>
      <c r="L632" s="26"/>
      <c r="M632" s="26">
        <v>17</v>
      </c>
      <c r="N632" s="26">
        <v>0</v>
      </c>
      <c r="O632" s="26">
        <v>31</v>
      </c>
      <c r="P632" s="26">
        <v>20</v>
      </c>
      <c r="Q632" s="70">
        <v>5</v>
      </c>
      <c r="R632" s="26">
        <v>53</v>
      </c>
    </row>
    <row r="633" spans="1:18" x14ac:dyDescent="0.35">
      <c r="A633" s="69">
        <v>67210002</v>
      </c>
      <c r="B633" s="69" t="s">
        <v>2238</v>
      </c>
      <c r="C633" s="69" t="s">
        <v>2361</v>
      </c>
      <c r="D633" s="69">
        <v>9764004659</v>
      </c>
      <c r="E633" s="69" t="s">
        <v>2362</v>
      </c>
      <c r="F633" s="69" t="s">
        <v>2458</v>
      </c>
      <c r="G633" s="26">
        <v>11</v>
      </c>
      <c r="H633" s="26">
        <v>3</v>
      </c>
      <c r="I633" s="26"/>
      <c r="J633" s="26">
        <v>143</v>
      </c>
      <c r="K633" s="26">
        <v>23</v>
      </c>
      <c r="L633" s="26">
        <v>16</v>
      </c>
      <c r="M633" s="26">
        <v>18</v>
      </c>
      <c r="N633" s="26">
        <v>3</v>
      </c>
      <c r="O633" s="26">
        <v>1</v>
      </c>
      <c r="P633" s="26">
        <v>18</v>
      </c>
      <c r="Q633" s="70">
        <v>1</v>
      </c>
      <c r="R633" s="26">
        <v>53</v>
      </c>
    </row>
    <row r="634" spans="1:18" x14ac:dyDescent="0.35">
      <c r="A634" s="69">
        <v>67210005</v>
      </c>
      <c r="B634" s="69" t="s">
        <v>2363</v>
      </c>
      <c r="C634" s="69" t="s">
        <v>2364</v>
      </c>
      <c r="D634" s="69">
        <v>9822414672</v>
      </c>
      <c r="E634" s="69" t="s">
        <v>2365</v>
      </c>
      <c r="F634" s="69" t="s">
        <v>2458</v>
      </c>
      <c r="G634" s="26">
        <v>15</v>
      </c>
      <c r="H634" s="26">
        <v>1</v>
      </c>
      <c r="I634" s="26"/>
      <c r="J634" s="26">
        <v>37</v>
      </c>
      <c r="K634" s="26">
        <v>8</v>
      </c>
      <c r="L634" s="26"/>
      <c r="M634" s="26">
        <v>16</v>
      </c>
      <c r="N634" s="26">
        <v>7</v>
      </c>
      <c r="O634" s="26">
        <v>7</v>
      </c>
      <c r="P634" s="26">
        <v>0</v>
      </c>
      <c r="Q634" s="70">
        <v>0</v>
      </c>
      <c r="R634" s="26">
        <v>52</v>
      </c>
    </row>
    <row r="635" spans="1:18" x14ac:dyDescent="0.35">
      <c r="A635" s="69">
        <v>67210006</v>
      </c>
      <c r="B635" s="69" t="s">
        <v>2366</v>
      </c>
      <c r="C635" s="69" t="s">
        <v>2367</v>
      </c>
      <c r="D635" s="69">
        <v>9822693698</v>
      </c>
      <c r="E635" s="69" t="s">
        <v>2368</v>
      </c>
      <c r="F635" s="69" t="s">
        <v>2458</v>
      </c>
      <c r="G635" s="26">
        <v>23</v>
      </c>
      <c r="H635" s="26">
        <v>7</v>
      </c>
      <c r="I635" s="26">
        <v>86</v>
      </c>
      <c r="J635" s="26">
        <v>69</v>
      </c>
      <c r="K635" s="26">
        <v>9</v>
      </c>
      <c r="L635" s="26">
        <v>10</v>
      </c>
      <c r="M635" s="26">
        <v>11</v>
      </c>
      <c r="N635" s="26">
        <v>13</v>
      </c>
      <c r="O635" s="26">
        <v>7</v>
      </c>
      <c r="P635" s="26">
        <v>10</v>
      </c>
      <c r="Q635" s="70">
        <v>3</v>
      </c>
      <c r="R635" s="26">
        <v>52</v>
      </c>
    </row>
    <row r="636" spans="1:18" x14ac:dyDescent="0.35">
      <c r="A636" s="69">
        <v>67210011</v>
      </c>
      <c r="B636" s="69" t="s">
        <v>1232</v>
      </c>
      <c r="C636" s="69" t="s">
        <v>2369</v>
      </c>
      <c r="D636" s="69">
        <v>8421317122</v>
      </c>
      <c r="E636" s="69" t="s">
        <v>2370</v>
      </c>
      <c r="F636" s="69" t="s">
        <v>2458</v>
      </c>
      <c r="G636" s="26"/>
      <c r="H636" s="26">
        <v>8</v>
      </c>
      <c r="I636" s="26">
        <v>54</v>
      </c>
      <c r="J636" s="26">
        <v>27</v>
      </c>
      <c r="K636" s="26">
        <v>12</v>
      </c>
      <c r="L636" s="26"/>
      <c r="M636" s="26">
        <v>12</v>
      </c>
      <c r="N636" s="26">
        <v>0</v>
      </c>
      <c r="O636" s="26">
        <v>11</v>
      </c>
      <c r="P636" s="26">
        <v>7</v>
      </c>
      <c r="Q636" s="70">
        <v>3</v>
      </c>
      <c r="R636" s="26">
        <v>52</v>
      </c>
    </row>
    <row r="637" spans="1:18" x14ac:dyDescent="0.35">
      <c r="A637" s="69">
        <v>67210028</v>
      </c>
      <c r="B637" s="69" t="s">
        <v>2371</v>
      </c>
      <c r="C637" s="69" t="s">
        <v>2372</v>
      </c>
      <c r="D637" s="69">
        <v>9420129348</v>
      </c>
      <c r="E637" s="69" t="s">
        <v>2373</v>
      </c>
      <c r="F637" s="69" t="s">
        <v>2458</v>
      </c>
      <c r="G637" s="26"/>
      <c r="H637" s="26"/>
      <c r="I637" s="26"/>
      <c r="J637" s="26"/>
      <c r="K637" s="26">
        <v>7</v>
      </c>
      <c r="L637" s="26"/>
      <c r="M637" s="26"/>
      <c r="N637" s="26">
        <v>1</v>
      </c>
      <c r="O637" s="26"/>
      <c r="P637" s="26">
        <v>25</v>
      </c>
      <c r="Q637" s="70">
        <v>2</v>
      </c>
      <c r="R637" s="26">
        <v>52</v>
      </c>
    </row>
    <row r="638" spans="1:18" x14ac:dyDescent="0.35">
      <c r="A638" s="69">
        <v>67210029</v>
      </c>
      <c r="B638" s="69" t="s">
        <v>2374</v>
      </c>
      <c r="C638" s="69" t="s">
        <v>2375</v>
      </c>
      <c r="D638" s="69">
        <v>9890436868</v>
      </c>
      <c r="E638" s="69" t="s">
        <v>2376</v>
      </c>
      <c r="F638" s="69" t="s">
        <v>2458</v>
      </c>
      <c r="G638" s="26"/>
      <c r="H638" s="26">
        <v>32</v>
      </c>
      <c r="I638" s="26"/>
      <c r="J638" s="26">
        <v>221</v>
      </c>
      <c r="K638" s="26">
        <v>27</v>
      </c>
      <c r="L638" s="26"/>
      <c r="M638" s="26">
        <v>35</v>
      </c>
      <c r="N638" s="26">
        <v>12</v>
      </c>
      <c r="O638" s="26">
        <v>9</v>
      </c>
      <c r="P638" s="26">
        <v>24</v>
      </c>
      <c r="Q638" s="70">
        <v>3</v>
      </c>
      <c r="R638" s="26">
        <v>52</v>
      </c>
    </row>
    <row r="639" spans="1:18" x14ac:dyDescent="0.35">
      <c r="A639" s="69">
        <v>67210058</v>
      </c>
      <c r="B639" s="69" t="s">
        <v>2377</v>
      </c>
      <c r="C639" s="69" t="s">
        <v>2378</v>
      </c>
      <c r="D639" s="69">
        <v>9765141310</v>
      </c>
      <c r="E639" s="69" t="s">
        <v>2379</v>
      </c>
      <c r="F639" s="69" t="s">
        <v>2458</v>
      </c>
      <c r="G639" s="26">
        <v>21</v>
      </c>
      <c r="H639" s="26">
        <v>6</v>
      </c>
      <c r="I639" s="26">
        <v>122</v>
      </c>
      <c r="J639" s="26">
        <v>33</v>
      </c>
      <c r="K639" s="26">
        <v>1</v>
      </c>
      <c r="L639" s="26">
        <v>3</v>
      </c>
      <c r="M639" s="26">
        <v>6</v>
      </c>
      <c r="N639" s="26">
        <v>1</v>
      </c>
      <c r="O639" s="26">
        <v>0</v>
      </c>
      <c r="P639" s="26">
        <v>3</v>
      </c>
      <c r="Q639" s="70">
        <v>0</v>
      </c>
      <c r="R639" s="26">
        <v>52</v>
      </c>
    </row>
    <row r="640" spans="1:18" x14ac:dyDescent="0.35">
      <c r="A640" s="69">
        <v>67210063</v>
      </c>
      <c r="B640" s="69" t="s">
        <v>2380</v>
      </c>
      <c r="C640" s="69" t="s">
        <v>2381</v>
      </c>
      <c r="D640" s="69">
        <v>9860050071</v>
      </c>
      <c r="E640" s="69" t="s">
        <v>2382</v>
      </c>
      <c r="F640" s="69" t="s">
        <v>2458</v>
      </c>
      <c r="G640" s="26">
        <v>20</v>
      </c>
      <c r="H640" s="26">
        <v>8</v>
      </c>
      <c r="I640" s="26">
        <v>97</v>
      </c>
      <c r="J640" s="26">
        <v>26</v>
      </c>
      <c r="K640" s="26">
        <v>7</v>
      </c>
      <c r="L640" s="26">
        <v>6</v>
      </c>
      <c r="M640" s="26">
        <v>7</v>
      </c>
      <c r="N640" s="26">
        <v>12</v>
      </c>
      <c r="O640" s="26">
        <v>9</v>
      </c>
      <c r="P640" s="26">
        <v>12</v>
      </c>
      <c r="Q640" s="70">
        <v>12</v>
      </c>
      <c r="R640" s="26">
        <v>52</v>
      </c>
    </row>
    <row r="641" spans="1:18" x14ac:dyDescent="0.35">
      <c r="A641" s="69">
        <v>67210064</v>
      </c>
      <c r="B641" s="69" t="s">
        <v>2383</v>
      </c>
      <c r="C641" s="69" t="s">
        <v>2384</v>
      </c>
      <c r="D641" s="69">
        <v>9860342172</v>
      </c>
      <c r="E641" s="69" t="s">
        <v>2385</v>
      </c>
      <c r="F641" s="69" t="s">
        <v>2458</v>
      </c>
      <c r="G641" s="26"/>
      <c r="H641" s="26"/>
      <c r="I641" s="26">
        <v>82</v>
      </c>
      <c r="J641" s="26">
        <v>97</v>
      </c>
      <c r="K641" s="26">
        <v>14</v>
      </c>
      <c r="L641" s="26"/>
      <c r="M641" s="26">
        <v>10</v>
      </c>
      <c r="N641" s="26">
        <v>6</v>
      </c>
      <c r="O641" s="26">
        <v>5</v>
      </c>
      <c r="P641" s="26">
        <v>3</v>
      </c>
      <c r="Q641" s="70">
        <v>2</v>
      </c>
      <c r="R641" s="26">
        <v>51</v>
      </c>
    </row>
    <row r="642" spans="1:18" x14ac:dyDescent="0.35">
      <c r="A642" s="69">
        <v>67210075</v>
      </c>
      <c r="B642" s="69" t="s">
        <v>2386</v>
      </c>
      <c r="C642" s="69" t="s">
        <v>2387</v>
      </c>
      <c r="D642" s="69">
        <v>9922445711</v>
      </c>
      <c r="E642" s="69" t="s">
        <v>2388</v>
      </c>
      <c r="F642" s="69" t="s">
        <v>2458</v>
      </c>
      <c r="G642" s="26">
        <v>23</v>
      </c>
      <c r="H642" s="26">
        <v>8</v>
      </c>
      <c r="I642" s="26">
        <v>54</v>
      </c>
      <c r="J642" s="26">
        <v>37</v>
      </c>
      <c r="K642" s="26">
        <v>9</v>
      </c>
      <c r="L642" s="26">
        <v>7</v>
      </c>
      <c r="M642" s="26">
        <v>9</v>
      </c>
      <c r="N642" s="26">
        <v>9</v>
      </c>
      <c r="O642" s="26">
        <v>1</v>
      </c>
      <c r="P642" s="26">
        <v>10</v>
      </c>
      <c r="Q642" s="70">
        <v>0</v>
      </c>
      <c r="R642" s="26">
        <v>49</v>
      </c>
    </row>
    <row r="643" spans="1:18" x14ac:dyDescent="0.35">
      <c r="A643" s="69">
        <v>67210076</v>
      </c>
      <c r="B643" s="69" t="s">
        <v>2389</v>
      </c>
      <c r="C643" s="69" t="s">
        <v>2390</v>
      </c>
      <c r="D643" s="69">
        <v>9960616470</v>
      </c>
      <c r="E643" s="69" t="s">
        <v>2391</v>
      </c>
      <c r="F643" s="69" t="s">
        <v>2458</v>
      </c>
      <c r="G643" s="26">
        <v>26</v>
      </c>
      <c r="H643" s="26"/>
      <c r="I643" s="26"/>
      <c r="J643" s="26">
        <v>32</v>
      </c>
      <c r="K643" s="26"/>
      <c r="L643" s="26"/>
      <c r="M643" s="26"/>
      <c r="N643" s="26"/>
      <c r="O643" s="26"/>
      <c r="P643" s="26">
        <v>15</v>
      </c>
      <c r="Q643" s="70">
        <v>0</v>
      </c>
      <c r="R643" s="26">
        <v>49</v>
      </c>
    </row>
    <row r="644" spans="1:18" x14ac:dyDescent="0.35">
      <c r="A644" s="69">
        <v>67210079</v>
      </c>
      <c r="B644" s="69" t="s">
        <v>2392</v>
      </c>
      <c r="C644" s="69" t="s">
        <v>2393</v>
      </c>
      <c r="D644" s="69">
        <v>9822095895</v>
      </c>
      <c r="E644" s="69" t="s">
        <v>2394</v>
      </c>
      <c r="F644" s="69" t="s">
        <v>2458</v>
      </c>
      <c r="G644" s="26">
        <v>11</v>
      </c>
      <c r="H644" s="26"/>
      <c r="I644" s="26">
        <v>14</v>
      </c>
      <c r="J644" s="26">
        <v>3</v>
      </c>
      <c r="K644" s="26"/>
      <c r="L644" s="26"/>
      <c r="M644" s="26">
        <v>3</v>
      </c>
      <c r="N644" s="26">
        <v>3</v>
      </c>
      <c r="O644" s="26">
        <v>2</v>
      </c>
      <c r="P644" s="26">
        <v>8</v>
      </c>
      <c r="Q644" s="70">
        <v>2</v>
      </c>
      <c r="R644" s="26">
        <v>48</v>
      </c>
    </row>
    <row r="645" spans="1:18" x14ac:dyDescent="0.35">
      <c r="A645" s="69">
        <v>67210084</v>
      </c>
      <c r="B645" s="69" t="s">
        <v>2395</v>
      </c>
      <c r="C645" s="69" t="s">
        <v>2396</v>
      </c>
      <c r="D645" s="69">
        <v>9325028458</v>
      </c>
      <c r="E645" s="69" t="s">
        <v>2397</v>
      </c>
      <c r="F645" s="69" t="s">
        <v>2458</v>
      </c>
      <c r="G645" s="26">
        <v>16</v>
      </c>
      <c r="H645" s="26"/>
      <c r="I645" s="26"/>
      <c r="J645" s="26">
        <v>95</v>
      </c>
      <c r="K645" s="26">
        <v>3</v>
      </c>
      <c r="L645" s="26"/>
      <c r="M645" s="26"/>
      <c r="N645" s="26">
        <v>21</v>
      </c>
      <c r="O645" s="26">
        <v>0</v>
      </c>
      <c r="P645" s="26">
        <v>9</v>
      </c>
      <c r="Q645" s="70">
        <v>6</v>
      </c>
      <c r="R645" s="26">
        <v>48</v>
      </c>
    </row>
    <row r="646" spans="1:18" x14ac:dyDescent="0.35">
      <c r="A646" s="69">
        <v>67210085</v>
      </c>
      <c r="B646" s="69" t="s">
        <v>2398</v>
      </c>
      <c r="C646" s="69" t="s">
        <v>2399</v>
      </c>
      <c r="D646" s="69">
        <v>9890788448</v>
      </c>
      <c r="E646" s="69" t="s">
        <v>1276</v>
      </c>
      <c r="F646" s="69" t="s">
        <v>2458</v>
      </c>
      <c r="G646" s="26"/>
      <c r="H646" s="26">
        <v>8</v>
      </c>
      <c r="I646" s="26"/>
      <c r="J646" s="26">
        <v>67</v>
      </c>
      <c r="K646" s="26"/>
      <c r="L646" s="26">
        <v>6</v>
      </c>
      <c r="M646" s="26">
        <v>5</v>
      </c>
      <c r="N646" s="26">
        <v>3</v>
      </c>
      <c r="O646" s="26"/>
      <c r="P646" s="26">
        <v>2</v>
      </c>
      <c r="Q646" s="70">
        <v>5</v>
      </c>
      <c r="R646" s="26">
        <v>47</v>
      </c>
    </row>
    <row r="647" spans="1:18" x14ac:dyDescent="0.35">
      <c r="A647" s="69">
        <v>67210088</v>
      </c>
      <c r="B647" s="69" t="s">
        <v>2400</v>
      </c>
      <c r="C647" s="69" t="s">
        <v>2401</v>
      </c>
      <c r="D647" s="69">
        <v>8888556107</v>
      </c>
      <c r="E647" s="69" t="s">
        <v>2402</v>
      </c>
      <c r="F647" s="69" t="s">
        <v>2458</v>
      </c>
      <c r="G647" s="26">
        <v>30</v>
      </c>
      <c r="H647" s="26"/>
      <c r="I647" s="26">
        <v>3</v>
      </c>
      <c r="J647" s="26">
        <v>53</v>
      </c>
      <c r="K647" s="26">
        <v>11</v>
      </c>
      <c r="L647" s="26">
        <v>8</v>
      </c>
      <c r="M647" s="26">
        <v>11</v>
      </c>
      <c r="N647" s="26">
        <v>7</v>
      </c>
      <c r="O647" s="26">
        <v>6</v>
      </c>
      <c r="P647" s="26">
        <v>4</v>
      </c>
      <c r="Q647" s="70">
        <v>3</v>
      </c>
      <c r="R647" s="26">
        <v>47</v>
      </c>
    </row>
    <row r="648" spans="1:18" x14ac:dyDescent="0.35">
      <c r="A648" s="69">
        <v>67210089</v>
      </c>
      <c r="B648" s="69" t="s">
        <v>2403</v>
      </c>
      <c r="C648" s="69" t="s">
        <v>2404</v>
      </c>
      <c r="D648" s="69">
        <v>9423238122</v>
      </c>
      <c r="E648" s="69" t="s">
        <v>2405</v>
      </c>
      <c r="F648" s="69" t="s">
        <v>2458</v>
      </c>
      <c r="G648" s="26">
        <v>21</v>
      </c>
      <c r="H648" s="26">
        <v>11</v>
      </c>
      <c r="I648" s="26">
        <v>26</v>
      </c>
      <c r="J648" s="26">
        <v>115</v>
      </c>
      <c r="K648" s="26">
        <v>22</v>
      </c>
      <c r="L648" s="26"/>
      <c r="M648" s="26">
        <v>31</v>
      </c>
      <c r="N648" s="26">
        <v>16</v>
      </c>
      <c r="O648" s="26">
        <v>9</v>
      </c>
      <c r="P648" s="26">
        <v>11</v>
      </c>
      <c r="Q648" s="70">
        <v>9</v>
      </c>
      <c r="R648" s="26">
        <v>47</v>
      </c>
    </row>
    <row r="649" spans="1:18" x14ac:dyDescent="0.35">
      <c r="A649" s="69">
        <v>67210091</v>
      </c>
      <c r="B649" s="69" t="s">
        <v>534</v>
      </c>
      <c r="C649" s="69" t="s">
        <v>2406</v>
      </c>
      <c r="D649" s="69">
        <v>9850931235</v>
      </c>
      <c r="E649" s="69" t="s">
        <v>2407</v>
      </c>
      <c r="F649" s="69" t="s">
        <v>2458</v>
      </c>
      <c r="G649" s="26"/>
      <c r="H649" s="26">
        <v>7</v>
      </c>
      <c r="I649" s="26"/>
      <c r="J649" s="26">
        <v>39</v>
      </c>
      <c r="K649" s="26"/>
      <c r="L649" s="26">
        <v>0</v>
      </c>
      <c r="M649" s="26">
        <v>15</v>
      </c>
      <c r="N649" s="26">
        <v>0</v>
      </c>
      <c r="O649" s="26">
        <v>7</v>
      </c>
      <c r="P649" s="26">
        <v>6</v>
      </c>
      <c r="Q649" s="70">
        <v>0</v>
      </c>
      <c r="R649" s="26">
        <v>47</v>
      </c>
    </row>
    <row r="650" spans="1:18" x14ac:dyDescent="0.35">
      <c r="A650" s="69">
        <v>67210093</v>
      </c>
      <c r="B650" s="69" t="s">
        <v>2408</v>
      </c>
      <c r="C650" s="69" t="s">
        <v>2409</v>
      </c>
      <c r="D650" s="69">
        <v>9923810940</v>
      </c>
      <c r="E650" s="69" t="s">
        <v>2410</v>
      </c>
      <c r="F650" s="69" t="s">
        <v>2458</v>
      </c>
      <c r="G650" s="26">
        <v>16</v>
      </c>
      <c r="H650" s="26"/>
      <c r="I650" s="26">
        <v>32</v>
      </c>
      <c r="J650" s="26">
        <v>104</v>
      </c>
      <c r="K650" s="26">
        <v>50</v>
      </c>
      <c r="L650" s="26">
        <v>14</v>
      </c>
      <c r="M650" s="26">
        <v>21</v>
      </c>
      <c r="N650" s="26">
        <v>21</v>
      </c>
      <c r="O650" s="26">
        <v>12</v>
      </c>
      <c r="P650" s="26">
        <v>15</v>
      </c>
      <c r="Q650" s="70">
        <v>6</v>
      </c>
      <c r="R650" s="26">
        <v>46</v>
      </c>
    </row>
    <row r="651" spans="1:18" x14ac:dyDescent="0.35">
      <c r="A651" s="69">
        <v>67210111</v>
      </c>
      <c r="B651" s="69" t="s">
        <v>2411</v>
      </c>
      <c r="C651" s="69" t="s">
        <v>2412</v>
      </c>
      <c r="D651" s="69">
        <v>9527411701</v>
      </c>
      <c r="E651" s="69" t="s">
        <v>2413</v>
      </c>
      <c r="F651" s="69" t="s">
        <v>2458</v>
      </c>
      <c r="G651" s="26">
        <v>3</v>
      </c>
      <c r="H651" s="26"/>
      <c r="I651" s="26"/>
      <c r="J651" s="26">
        <v>91</v>
      </c>
      <c r="K651" s="26"/>
      <c r="L651" s="26">
        <v>11</v>
      </c>
      <c r="M651" s="26">
        <v>0</v>
      </c>
      <c r="N651" s="26">
        <v>2</v>
      </c>
      <c r="O651" s="26">
        <v>0</v>
      </c>
      <c r="P651" s="26">
        <v>2</v>
      </c>
      <c r="Q651" s="70">
        <v>2</v>
      </c>
      <c r="R651" s="26">
        <v>46</v>
      </c>
    </row>
    <row r="652" spans="1:18" x14ac:dyDescent="0.35">
      <c r="A652" s="69">
        <v>67210119</v>
      </c>
      <c r="B652" s="69" t="s">
        <v>2414</v>
      </c>
      <c r="C652" s="69" t="s">
        <v>2415</v>
      </c>
      <c r="D652" s="69">
        <v>9960445465</v>
      </c>
      <c r="E652" s="69" t="s">
        <v>2416</v>
      </c>
      <c r="F652" s="69" t="s">
        <v>2458</v>
      </c>
      <c r="G652" s="26">
        <v>3</v>
      </c>
      <c r="H652" s="26">
        <v>3</v>
      </c>
      <c r="I652" s="26">
        <v>4</v>
      </c>
      <c r="J652" s="26">
        <v>31</v>
      </c>
      <c r="K652" s="26">
        <v>9</v>
      </c>
      <c r="L652" s="26">
        <v>10</v>
      </c>
      <c r="M652" s="26">
        <v>2</v>
      </c>
      <c r="N652" s="26">
        <v>4</v>
      </c>
      <c r="O652" s="26">
        <v>3</v>
      </c>
      <c r="P652" s="26">
        <v>8</v>
      </c>
      <c r="Q652" s="70">
        <v>5</v>
      </c>
      <c r="R652" s="26">
        <v>46</v>
      </c>
    </row>
    <row r="653" spans="1:18" x14ac:dyDescent="0.35">
      <c r="A653" s="69">
        <v>67210120</v>
      </c>
      <c r="B653" s="69" t="s">
        <v>2417</v>
      </c>
      <c r="C653" s="69" t="s">
        <v>2418</v>
      </c>
      <c r="D653" s="69">
        <v>9922412044</v>
      </c>
      <c r="E653" s="69" t="s">
        <v>2419</v>
      </c>
      <c r="F653" s="69" t="s">
        <v>2458</v>
      </c>
      <c r="G653" s="26">
        <v>13</v>
      </c>
      <c r="H653" s="26">
        <v>5</v>
      </c>
      <c r="I653" s="26">
        <v>26</v>
      </c>
      <c r="J653" s="26">
        <v>163</v>
      </c>
      <c r="K653" s="26">
        <v>55</v>
      </c>
      <c r="L653" s="26">
        <v>17</v>
      </c>
      <c r="M653" s="26">
        <v>121</v>
      </c>
      <c r="N653" s="26">
        <v>73</v>
      </c>
      <c r="O653" s="26">
        <v>15</v>
      </c>
      <c r="P653" s="26">
        <v>81</v>
      </c>
      <c r="Q653" s="70">
        <v>0</v>
      </c>
      <c r="R653" s="26">
        <v>46</v>
      </c>
    </row>
    <row r="654" spans="1:18" x14ac:dyDescent="0.35">
      <c r="A654" s="69">
        <v>67210123</v>
      </c>
      <c r="B654" s="69" t="s">
        <v>2420</v>
      </c>
      <c r="C654" s="69" t="s">
        <v>2421</v>
      </c>
      <c r="D654" s="69">
        <v>9545996677</v>
      </c>
      <c r="E654" s="69" t="s">
        <v>2422</v>
      </c>
      <c r="F654" s="69" t="s">
        <v>2458</v>
      </c>
      <c r="G654" s="26"/>
      <c r="H654" s="26">
        <v>11</v>
      </c>
      <c r="I654" s="26">
        <v>70</v>
      </c>
      <c r="J654" s="26">
        <v>48</v>
      </c>
      <c r="K654" s="26"/>
      <c r="L654" s="26">
        <v>39</v>
      </c>
      <c r="M654" s="26">
        <v>11</v>
      </c>
      <c r="N654" s="26">
        <v>6</v>
      </c>
      <c r="O654" s="26">
        <v>8</v>
      </c>
      <c r="P654" s="26">
        <v>9</v>
      </c>
      <c r="Q654" s="70">
        <v>23</v>
      </c>
      <c r="R654" s="26">
        <v>46</v>
      </c>
    </row>
    <row r="655" spans="1:18" x14ac:dyDescent="0.35">
      <c r="A655" s="69">
        <v>67210125</v>
      </c>
      <c r="B655" s="69" t="s">
        <v>2423</v>
      </c>
      <c r="C655" s="69" t="s">
        <v>2424</v>
      </c>
      <c r="D655" s="69">
        <v>9923244063</v>
      </c>
      <c r="E655" s="69" t="s">
        <v>2394</v>
      </c>
      <c r="F655" s="69" t="s">
        <v>2458</v>
      </c>
      <c r="G655" s="26">
        <v>13</v>
      </c>
      <c r="H655" s="26">
        <v>9</v>
      </c>
      <c r="I655" s="26">
        <v>7</v>
      </c>
      <c r="J655" s="26">
        <v>26</v>
      </c>
      <c r="K655" s="26">
        <v>9</v>
      </c>
      <c r="L655" s="26">
        <v>1</v>
      </c>
      <c r="M655" s="26">
        <v>2</v>
      </c>
      <c r="N655" s="26"/>
      <c r="O655" s="26">
        <v>3</v>
      </c>
      <c r="P655" s="26">
        <v>3</v>
      </c>
      <c r="Q655" s="70">
        <v>1</v>
      </c>
      <c r="R655" s="26">
        <v>46</v>
      </c>
    </row>
    <row r="656" spans="1:18" x14ac:dyDescent="0.35">
      <c r="A656" s="69">
        <v>67210127</v>
      </c>
      <c r="B656" s="69" t="s">
        <v>2425</v>
      </c>
      <c r="C656" s="69" t="s">
        <v>2426</v>
      </c>
      <c r="D656" s="69">
        <v>9552142922</v>
      </c>
      <c r="E656" s="69" t="s">
        <v>2427</v>
      </c>
      <c r="F656" s="69" t="s">
        <v>2458</v>
      </c>
      <c r="G656" s="26">
        <v>10</v>
      </c>
      <c r="H656" s="26">
        <v>3</v>
      </c>
      <c r="I656" s="26">
        <v>17</v>
      </c>
      <c r="J656" s="26">
        <v>27</v>
      </c>
      <c r="K656" s="26">
        <v>16</v>
      </c>
      <c r="L656" s="26"/>
      <c r="M656" s="26">
        <v>13</v>
      </c>
      <c r="N656" s="26">
        <v>11</v>
      </c>
      <c r="O656" s="26">
        <v>5</v>
      </c>
      <c r="P656" s="26">
        <v>5</v>
      </c>
      <c r="Q656" s="70">
        <v>4</v>
      </c>
      <c r="R656" s="26">
        <v>45</v>
      </c>
    </row>
    <row r="657" spans="1:18" x14ac:dyDescent="0.35">
      <c r="A657" s="69">
        <v>67210128</v>
      </c>
      <c r="B657" s="69" t="s">
        <v>2428</v>
      </c>
      <c r="C657" s="69" t="s">
        <v>2429</v>
      </c>
      <c r="D657" s="69">
        <v>9850612151</v>
      </c>
      <c r="E657" s="69" t="s">
        <v>2430</v>
      </c>
      <c r="F657" s="69" t="s">
        <v>2458</v>
      </c>
      <c r="G657" s="26"/>
      <c r="H657" s="26"/>
      <c r="I657" s="26"/>
      <c r="J657" s="26">
        <v>96</v>
      </c>
      <c r="K657" s="26"/>
      <c r="L657" s="26">
        <v>44</v>
      </c>
      <c r="M657" s="26">
        <v>8</v>
      </c>
      <c r="N657" s="26">
        <v>6</v>
      </c>
      <c r="O657" s="26">
        <v>0</v>
      </c>
      <c r="P657" s="26">
        <v>5</v>
      </c>
      <c r="Q657" s="70">
        <v>1</v>
      </c>
      <c r="R657" s="26">
        <v>44</v>
      </c>
    </row>
    <row r="658" spans="1:18" x14ac:dyDescent="0.35">
      <c r="A658" s="69">
        <v>67210131</v>
      </c>
      <c r="B658" s="69" t="s">
        <v>2431</v>
      </c>
      <c r="C658" s="69" t="s">
        <v>2432</v>
      </c>
      <c r="D658" s="69">
        <v>9922673176</v>
      </c>
      <c r="E658" s="69" t="s">
        <v>2433</v>
      </c>
      <c r="F658" s="69" t="s">
        <v>2458</v>
      </c>
      <c r="G658" s="26">
        <v>16</v>
      </c>
      <c r="H658" s="26">
        <v>14</v>
      </c>
      <c r="I658" s="26"/>
      <c r="J658" s="26">
        <v>114</v>
      </c>
      <c r="K658" s="26">
        <v>13</v>
      </c>
      <c r="L658" s="26"/>
      <c r="M658" s="26">
        <v>8</v>
      </c>
      <c r="N658" s="26">
        <v>3</v>
      </c>
      <c r="O658" s="26">
        <v>11</v>
      </c>
      <c r="P658" s="26">
        <v>7</v>
      </c>
      <c r="Q658" s="70">
        <v>0</v>
      </c>
      <c r="R658" s="26">
        <v>43</v>
      </c>
    </row>
    <row r="659" spans="1:18" x14ac:dyDescent="0.35">
      <c r="A659" s="69">
        <v>67210144</v>
      </c>
      <c r="B659" s="69" t="s">
        <v>2434</v>
      </c>
      <c r="C659" s="69" t="s">
        <v>2435</v>
      </c>
      <c r="D659" s="69">
        <v>9923588604</v>
      </c>
      <c r="E659" s="69" t="s">
        <v>2436</v>
      </c>
      <c r="F659" s="69" t="s">
        <v>2458</v>
      </c>
      <c r="G659" s="26">
        <v>4</v>
      </c>
      <c r="H659" s="26">
        <v>2</v>
      </c>
      <c r="I659" s="26">
        <v>5</v>
      </c>
      <c r="J659" s="26">
        <v>12</v>
      </c>
      <c r="K659" s="26">
        <v>7</v>
      </c>
      <c r="L659" s="26">
        <v>4</v>
      </c>
      <c r="M659" s="26">
        <v>9</v>
      </c>
      <c r="N659" s="26">
        <v>2</v>
      </c>
      <c r="O659" s="26">
        <v>5</v>
      </c>
      <c r="P659" s="26">
        <v>2</v>
      </c>
      <c r="Q659" s="70">
        <v>2</v>
      </c>
      <c r="R659" s="26">
        <v>43</v>
      </c>
    </row>
    <row r="660" spans="1:18" x14ac:dyDescent="0.35">
      <c r="A660" s="69">
        <v>67210148</v>
      </c>
      <c r="B660" s="69" t="s">
        <v>2437</v>
      </c>
      <c r="C660" s="69" t="s">
        <v>2438</v>
      </c>
      <c r="D660" s="69">
        <v>9766590631</v>
      </c>
      <c r="E660" s="69" t="s">
        <v>2439</v>
      </c>
      <c r="F660" s="69" t="s">
        <v>2458</v>
      </c>
      <c r="G660" s="26">
        <v>7</v>
      </c>
      <c r="H660" s="26"/>
      <c r="I660" s="26"/>
      <c r="J660" s="26">
        <v>43</v>
      </c>
      <c r="K660" s="26">
        <v>15</v>
      </c>
      <c r="L660" s="26"/>
      <c r="M660" s="26">
        <v>20</v>
      </c>
      <c r="N660" s="26">
        <v>5</v>
      </c>
      <c r="O660" s="26">
        <v>3</v>
      </c>
      <c r="P660" s="26">
        <v>10</v>
      </c>
      <c r="Q660" s="70">
        <v>3</v>
      </c>
      <c r="R660" s="26">
        <v>42</v>
      </c>
    </row>
    <row r="661" spans="1:18" x14ac:dyDescent="0.35">
      <c r="A661" s="69">
        <v>68210005</v>
      </c>
      <c r="B661" s="69" t="s">
        <v>935</v>
      </c>
      <c r="C661" s="69" t="s">
        <v>2440</v>
      </c>
      <c r="D661" s="69">
        <v>9773951238</v>
      </c>
      <c r="E661" s="69" t="s">
        <v>2441</v>
      </c>
      <c r="F661" s="69" t="s">
        <v>2458</v>
      </c>
      <c r="G661" s="26">
        <v>29</v>
      </c>
      <c r="H661" s="26"/>
      <c r="I661" s="26">
        <v>52</v>
      </c>
      <c r="J661" s="26">
        <v>30</v>
      </c>
      <c r="K661" s="26">
        <v>22</v>
      </c>
      <c r="L661" s="26">
        <v>13</v>
      </c>
      <c r="M661" s="26">
        <v>8</v>
      </c>
      <c r="N661" s="26">
        <v>11</v>
      </c>
      <c r="O661" s="26">
        <v>15</v>
      </c>
      <c r="P661" s="26">
        <v>6</v>
      </c>
      <c r="Q661" s="70">
        <v>5</v>
      </c>
      <c r="R661" s="26">
        <v>42</v>
      </c>
    </row>
    <row r="662" spans="1:18" x14ac:dyDescent="0.35">
      <c r="A662" s="69">
        <v>68210006</v>
      </c>
      <c r="B662" s="69" t="s">
        <v>2442</v>
      </c>
      <c r="C662" s="69" t="s">
        <v>2443</v>
      </c>
      <c r="D662" s="69">
        <v>9869855785</v>
      </c>
      <c r="E662" s="69" t="s">
        <v>2444</v>
      </c>
      <c r="F662" s="69" t="s">
        <v>2458</v>
      </c>
      <c r="G662" s="26">
        <v>44</v>
      </c>
      <c r="H662" s="26">
        <v>5</v>
      </c>
      <c r="I662" s="26">
        <v>50</v>
      </c>
      <c r="J662" s="26">
        <v>199</v>
      </c>
      <c r="K662" s="26">
        <v>47</v>
      </c>
      <c r="L662" s="26">
        <v>121</v>
      </c>
      <c r="M662" s="26">
        <v>46</v>
      </c>
      <c r="N662" s="26">
        <v>30</v>
      </c>
      <c r="O662" s="26">
        <v>15</v>
      </c>
      <c r="P662" s="26">
        <v>17</v>
      </c>
      <c r="Q662" s="70">
        <v>6</v>
      </c>
      <c r="R662" s="26">
        <v>42</v>
      </c>
    </row>
    <row r="663" spans="1:18" x14ac:dyDescent="0.35">
      <c r="A663" s="69">
        <v>68210007</v>
      </c>
      <c r="B663" s="69" t="s">
        <v>935</v>
      </c>
      <c r="C663" s="69" t="s">
        <v>2445</v>
      </c>
      <c r="D663" s="69">
        <v>9324099979</v>
      </c>
      <c r="E663" s="69" t="s">
        <v>2446</v>
      </c>
      <c r="F663" s="69" t="s">
        <v>2458</v>
      </c>
      <c r="G663" s="26">
        <v>16</v>
      </c>
      <c r="H663" s="26"/>
      <c r="I663" s="26">
        <v>25</v>
      </c>
      <c r="J663" s="26"/>
      <c r="K663" s="26"/>
      <c r="L663" s="26">
        <v>30</v>
      </c>
      <c r="M663" s="26"/>
      <c r="N663" s="26">
        <v>23</v>
      </c>
      <c r="O663" s="26"/>
      <c r="P663" s="26">
        <v>16</v>
      </c>
      <c r="Q663" s="70">
        <v>6</v>
      </c>
      <c r="R663" s="26">
        <v>41</v>
      </c>
    </row>
    <row r="664" spans="1:18" x14ac:dyDescent="0.35">
      <c r="A664" s="69">
        <v>68210047</v>
      </c>
      <c r="B664" s="69" t="s">
        <v>935</v>
      </c>
      <c r="C664" s="69" t="s">
        <v>2447</v>
      </c>
      <c r="D664" s="69">
        <v>9322219070</v>
      </c>
      <c r="E664" s="69" t="s">
        <v>2448</v>
      </c>
      <c r="F664" s="69" t="s">
        <v>2458</v>
      </c>
      <c r="G664" s="26">
        <v>45</v>
      </c>
      <c r="H664" s="26"/>
      <c r="I664" s="26">
        <v>50</v>
      </c>
      <c r="J664" s="26">
        <v>115</v>
      </c>
      <c r="K664" s="26">
        <v>37</v>
      </c>
      <c r="L664" s="26">
        <v>41</v>
      </c>
      <c r="M664" s="26">
        <v>39</v>
      </c>
      <c r="N664" s="26">
        <v>25</v>
      </c>
      <c r="O664" s="26">
        <v>21</v>
      </c>
      <c r="P664" s="26">
        <v>30</v>
      </c>
      <c r="Q664" s="70">
        <v>27</v>
      </c>
      <c r="R664" s="26">
        <v>41</v>
      </c>
    </row>
    <row r="665" spans="1:18" x14ac:dyDescent="0.35">
      <c r="A665" s="69">
        <v>68210065</v>
      </c>
      <c r="B665" s="69" t="s">
        <v>2449</v>
      </c>
      <c r="C665" s="69" t="s">
        <v>2450</v>
      </c>
      <c r="D665" s="69">
        <v>9324882626</v>
      </c>
      <c r="E665" s="69" t="s">
        <v>2451</v>
      </c>
      <c r="F665" s="69" t="s">
        <v>2458</v>
      </c>
      <c r="G665" s="26">
        <v>14</v>
      </c>
      <c r="H665" s="26"/>
      <c r="I665" s="26">
        <v>25</v>
      </c>
      <c r="J665" s="26">
        <v>45</v>
      </c>
      <c r="K665" s="26">
        <v>8</v>
      </c>
      <c r="L665" s="26">
        <v>10</v>
      </c>
      <c r="M665" s="26">
        <v>9</v>
      </c>
      <c r="N665" s="26">
        <v>8</v>
      </c>
      <c r="O665" s="26">
        <v>14</v>
      </c>
      <c r="P665" s="26">
        <v>13</v>
      </c>
      <c r="Q665" s="70">
        <v>6</v>
      </c>
      <c r="R665" s="26">
        <v>41</v>
      </c>
    </row>
    <row r="666" spans="1:18" x14ac:dyDescent="0.35">
      <c r="A666" s="69">
        <v>68210101</v>
      </c>
      <c r="B666" s="69" t="s">
        <v>2452</v>
      </c>
      <c r="C666" s="69" t="s">
        <v>2453</v>
      </c>
      <c r="D666" s="69">
        <v>9702999835</v>
      </c>
      <c r="E666" s="69" t="s">
        <v>2454</v>
      </c>
      <c r="F666" s="69" t="s">
        <v>2458</v>
      </c>
      <c r="G666" s="26">
        <v>4</v>
      </c>
      <c r="H666" s="26">
        <v>2</v>
      </c>
      <c r="I666" s="26"/>
      <c r="J666" s="26">
        <v>5</v>
      </c>
      <c r="K666" s="26">
        <v>3</v>
      </c>
      <c r="L666" s="26">
        <v>2</v>
      </c>
      <c r="M666" s="26">
        <v>3</v>
      </c>
      <c r="N666" s="26"/>
      <c r="O666" s="26"/>
      <c r="P666" s="26">
        <v>0</v>
      </c>
      <c r="Q666" s="70">
        <v>2</v>
      </c>
      <c r="R666" s="26">
        <v>41</v>
      </c>
    </row>
    <row r="667" spans="1:18" x14ac:dyDescent="0.35">
      <c r="A667" s="69">
        <v>78210034</v>
      </c>
      <c r="B667" s="69" t="s">
        <v>2455</v>
      </c>
      <c r="C667" s="69" t="s">
        <v>2456</v>
      </c>
      <c r="D667" s="69">
        <v>9226736347</v>
      </c>
      <c r="E667" s="69" t="s">
        <v>2457</v>
      </c>
      <c r="F667" s="69" t="s">
        <v>2458</v>
      </c>
      <c r="G667" s="26"/>
      <c r="H667" s="26">
        <v>40</v>
      </c>
      <c r="I667" s="26">
        <v>83</v>
      </c>
      <c r="J667" s="26">
        <v>44</v>
      </c>
      <c r="K667" s="26">
        <v>10</v>
      </c>
      <c r="L667" s="26"/>
      <c r="M667" s="26">
        <v>12</v>
      </c>
      <c r="N667" s="26">
        <v>13</v>
      </c>
      <c r="O667" s="26">
        <v>5</v>
      </c>
      <c r="P667" s="26">
        <v>10</v>
      </c>
      <c r="Q667" s="70">
        <v>0</v>
      </c>
      <c r="R667" s="26">
        <v>40</v>
      </c>
    </row>
    <row r="668" spans="1:18" x14ac:dyDescent="0.35">
      <c r="A668" s="69">
        <v>78210046</v>
      </c>
      <c r="B668" s="69" t="s">
        <v>2459</v>
      </c>
      <c r="C668" s="69" t="s">
        <v>2460</v>
      </c>
      <c r="D668" s="69">
        <v>9222063530</v>
      </c>
      <c r="E668" s="69" t="s">
        <v>2461</v>
      </c>
      <c r="F668" s="69" t="s">
        <v>229</v>
      </c>
      <c r="G668" s="26"/>
      <c r="H668" s="26">
        <v>26</v>
      </c>
      <c r="I668" s="26">
        <v>10</v>
      </c>
      <c r="J668" s="26">
        <v>49</v>
      </c>
      <c r="K668" s="26">
        <v>9</v>
      </c>
      <c r="L668" s="26">
        <v>18</v>
      </c>
      <c r="M668" s="26">
        <v>9</v>
      </c>
      <c r="N668" s="26">
        <v>3</v>
      </c>
      <c r="O668" s="26">
        <v>1</v>
      </c>
      <c r="P668" s="26">
        <v>9</v>
      </c>
      <c r="Q668" s="70">
        <v>2</v>
      </c>
      <c r="R668" s="26">
        <v>40</v>
      </c>
    </row>
    <row r="669" spans="1:18" x14ac:dyDescent="0.35">
      <c r="A669" s="69">
        <v>78210059</v>
      </c>
      <c r="B669" s="69" t="s">
        <v>2462</v>
      </c>
      <c r="C669" s="69" t="s">
        <v>2463</v>
      </c>
      <c r="D669" s="69">
        <v>9820452122</v>
      </c>
      <c r="E669" s="69" t="s">
        <v>2464</v>
      </c>
      <c r="F669" s="69" t="s">
        <v>229</v>
      </c>
      <c r="G669" s="26">
        <v>7</v>
      </c>
      <c r="H669" s="26">
        <v>3</v>
      </c>
      <c r="I669" s="26">
        <v>12</v>
      </c>
      <c r="J669" s="26">
        <v>23</v>
      </c>
      <c r="K669" s="26">
        <v>6</v>
      </c>
      <c r="L669" s="26">
        <v>10</v>
      </c>
      <c r="M669" s="26">
        <v>6</v>
      </c>
      <c r="N669" s="26">
        <v>5</v>
      </c>
      <c r="O669" s="26"/>
      <c r="P669" s="26">
        <v>1</v>
      </c>
      <c r="Q669" s="70">
        <v>0</v>
      </c>
      <c r="R669" s="26">
        <v>39</v>
      </c>
    </row>
    <row r="670" spans="1:18" x14ac:dyDescent="0.35">
      <c r="A670" s="69">
        <v>78210066</v>
      </c>
      <c r="B670" s="69" t="s">
        <v>2465</v>
      </c>
      <c r="C670" s="69" t="s">
        <v>2466</v>
      </c>
      <c r="D670" s="69">
        <v>7709315242</v>
      </c>
      <c r="E670" s="69" t="s">
        <v>2467</v>
      </c>
      <c r="F670" s="69" t="s">
        <v>229</v>
      </c>
      <c r="G670" s="26">
        <v>23</v>
      </c>
      <c r="H670" s="26"/>
      <c r="I670" s="26">
        <v>57</v>
      </c>
      <c r="J670" s="26">
        <v>50</v>
      </c>
      <c r="K670" s="26"/>
      <c r="L670" s="26"/>
      <c r="M670" s="26"/>
      <c r="N670" s="26">
        <v>10</v>
      </c>
      <c r="O670" s="26"/>
      <c r="P670" s="26">
        <v>11</v>
      </c>
      <c r="Q670" s="70">
        <v>0</v>
      </c>
      <c r="R670" s="26">
        <v>39</v>
      </c>
    </row>
    <row r="671" spans="1:18" x14ac:dyDescent="0.35">
      <c r="A671" s="69">
        <v>78210067</v>
      </c>
      <c r="B671" s="69" t="s">
        <v>2468</v>
      </c>
      <c r="C671" s="69" t="s">
        <v>2469</v>
      </c>
      <c r="D671" s="69">
        <v>9323917310</v>
      </c>
      <c r="E671" s="69" t="s">
        <v>2470</v>
      </c>
      <c r="F671" s="69" t="s">
        <v>229</v>
      </c>
      <c r="G671" s="26">
        <v>50</v>
      </c>
      <c r="H671" s="26"/>
      <c r="I671" s="26">
        <v>51</v>
      </c>
      <c r="J671" s="26"/>
      <c r="K671" s="26">
        <v>26</v>
      </c>
      <c r="L671" s="26">
        <v>25</v>
      </c>
      <c r="M671" s="26">
        <v>9</v>
      </c>
      <c r="N671" s="26">
        <v>3</v>
      </c>
      <c r="O671" s="26"/>
      <c r="P671" s="26">
        <v>29</v>
      </c>
      <c r="Q671" s="70">
        <v>0</v>
      </c>
      <c r="R671" s="26">
        <v>39</v>
      </c>
    </row>
    <row r="672" spans="1:18" x14ac:dyDescent="0.35">
      <c r="A672" s="69">
        <v>78210088</v>
      </c>
      <c r="B672" s="69" t="s">
        <v>2471</v>
      </c>
      <c r="C672" s="69" t="s">
        <v>2472</v>
      </c>
      <c r="D672" s="69">
        <v>9324358568</v>
      </c>
      <c r="E672" s="69" t="s">
        <v>2473</v>
      </c>
      <c r="F672" s="69" t="s">
        <v>229</v>
      </c>
      <c r="G672" s="26">
        <v>90</v>
      </c>
      <c r="H672" s="26">
        <v>20</v>
      </c>
      <c r="I672" s="26">
        <v>266</v>
      </c>
      <c r="J672" s="26">
        <v>266</v>
      </c>
      <c r="K672" s="26">
        <v>119</v>
      </c>
      <c r="L672" s="26">
        <v>58</v>
      </c>
      <c r="M672" s="26">
        <v>63</v>
      </c>
      <c r="N672" s="26">
        <v>51</v>
      </c>
      <c r="O672" s="26">
        <v>23</v>
      </c>
      <c r="P672" s="26">
        <v>52</v>
      </c>
      <c r="Q672" s="70">
        <v>27</v>
      </c>
      <c r="R672" s="26">
        <v>38</v>
      </c>
    </row>
    <row r="673" spans="1:18" x14ac:dyDescent="0.35">
      <c r="A673" s="69">
        <v>78210089</v>
      </c>
      <c r="B673" s="69" t="s">
        <v>2474</v>
      </c>
      <c r="C673" s="69" t="s">
        <v>2475</v>
      </c>
      <c r="D673" s="69">
        <v>9867555757</v>
      </c>
      <c r="E673" s="69" t="s">
        <v>2476</v>
      </c>
      <c r="F673" s="69" t="s">
        <v>229</v>
      </c>
      <c r="G673" s="26"/>
      <c r="H673" s="26"/>
      <c r="I673" s="26">
        <v>6</v>
      </c>
      <c r="J673" s="26"/>
      <c r="K673" s="26">
        <v>18</v>
      </c>
      <c r="L673" s="26">
        <v>6</v>
      </c>
      <c r="M673" s="26">
        <v>17</v>
      </c>
      <c r="N673" s="26">
        <v>5</v>
      </c>
      <c r="O673" s="26">
        <v>7</v>
      </c>
      <c r="P673" s="26">
        <v>20</v>
      </c>
      <c r="Q673" s="70">
        <v>0</v>
      </c>
      <c r="R673" s="26">
        <v>38</v>
      </c>
    </row>
    <row r="674" spans="1:18" x14ac:dyDescent="0.35">
      <c r="A674" s="69">
        <v>78210095</v>
      </c>
      <c r="B674" s="69" t="s">
        <v>2477</v>
      </c>
      <c r="C674" s="69" t="s">
        <v>2478</v>
      </c>
      <c r="D674" s="69">
        <v>9890596938</v>
      </c>
      <c r="E674" s="69" t="s">
        <v>2479</v>
      </c>
      <c r="F674" s="69" t="s">
        <v>229</v>
      </c>
      <c r="G674" s="26">
        <v>25</v>
      </c>
      <c r="H674" s="26">
        <v>15</v>
      </c>
      <c r="I674" s="26">
        <v>59</v>
      </c>
      <c r="J674" s="26">
        <v>51</v>
      </c>
      <c r="K674" s="26">
        <v>73</v>
      </c>
      <c r="L674" s="26">
        <v>39</v>
      </c>
      <c r="M674" s="26">
        <v>5</v>
      </c>
      <c r="N674" s="26">
        <v>49</v>
      </c>
      <c r="O674" s="26">
        <v>16</v>
      </c>
      <c r="P674" s="26">
        <v>17</v>
      </c>
      <c r="Q674" s="70">
        <v>0</v>
      </c>
      <c r="R674" s="26">
        <v>38</v>
      </c>
    </row>
    <row r="675" spans="1:18" x14ac:dyDescent="0.35">
      <c r="A675" s="69">
        <v>78210096</v>
      </c>
      <c r="B675" s="69" t="s">
        <v>2480</v>
      </c>
      <c r="C675" s="69" t="s">
        <v>2481</v>
      </c>
      <c r="D675" s="69">
        <v>9320214207</v>
      </c>
      <c r="E675" s="69" t="s">
        <v>2482</v>
      </c>
      <c r="F675" s="69" t="s">
        <v>229</v>
      </c>
      <c r="G675" s="26">
        <v>42</v>
      </c>
      <c r="H675" s="26"/>
      <c r="I675" s="26">
        <v>47</v>
      </c>
      <c r="J675" s="26">
        <v>48</v>
      </c>
      <c r="K675" s="26"/>
      <c r="L675" s="26">
        <v>57</v>
      </c>
      <c r="M675" s="26">
        <v>35</v>
      </c>
      <c r="N675" s="26"/>
      <c r="O675" s="26">
        <v>25</v>
      </c>
      <c r="P675" s="26">
        <v>35</v>
      </c>
      <c r="Q675" s="70">
        <v>5</v>
      </c>
      <c r="R675" s="26">
        <v>35</v>
      </c>
    </row>
    <row r="676" spans="1:18" x14ac:dyDescent="0.35">
      <c r="A676" s="69">
        <v>78210097</v>
      </c>
      <c r="B676" s="69" t="s">
        <v>2483</v>
      </c>
      <c r="C676" s="69" t="s">
        <v>2484</v>
      </c>
      <c r="D676" s="69">
        <v>9321201906</v>
      </c>
      <c r="E676" s="69" t="s">
        <v>2485</v>
      </c>
      <c r="F676" s="69" t="s">
        <v>229</v>
      </c>
      <c r="G676" s="26"/>
      <c r="H676" s="26">
        <v>53</v>
      </c>
      <c r="I676" s="26">
        <v>50</v>
      </c>
      <c r="J676" s="26">
        <v>125</v>
      </c>
      <c r="K676" s="26">
        <v>64</v>
      </c>
      <c r="L676" s="26">
        <v>37</v>
      </c>
      <c r="M676" s="26">
        <v>2</v>
      </c>
      <c r="N676" s="26">
        <v>36</v>
      </c>
      <c r="O676" s="26">
        <v>19</v>
      </c>
      <c r="P676" s="26">
        <v>0</v>
      </c>
      <c r="Q676" s="70">
        <v>60</v>
      </c>
      <c r="R676" s="26">
        <v>35</v>
      </c>
    </row>
    <row r="677" spans="1:18" x14ac:dyDescent="0.35">
      <c r="A677" s="69">
        <v>78210098</v>
      </c>
      <c r="B677" s="69" t="s">
        <v>2486</v>
      </c>
      <c r="C677" s="69" t="s">
        <v>2487</v>
      </c>
      <c r="D677" s="69">
        <v>8898426627</v>
      </c>
      <c r="E677" s="69" t="s">
        <v>2488</v>
      </c>
      <c r="F677" s="69" t="s">
        <v>229</v>
      </c>
      <c r="G677" s="26">
        <v>96</v>
      </c>
      <c r="H677" s="26"/>
      <c r="I677" s="26">
        <v>50</v>
      </c>
      <c r="J677" s="26"/>
      <c r="K677" s="26">
        <v>20</v>
      </c>
      <c r="L677" s="26"/>
      <c r="M677" s="26">
        <v>93</v>
      </c>
      <c r="N677" s="26">
        <v>42</v>
      </c>
      <c r="O677" s="26"/>
      <c r="P677" s="26">
        <v>66</v>
      </c>
      <c r="Q677" s="70">
        <v>0</v>
      </c>
      <c r="R677" s="26">
        <v>33</v>
      </c>
    </row>
    <row r="678" spans="1:18" x14ac:dyDescent="0.35">
      <c r="A678" s="69">
        <v>78210099</v>
      </c>
      <c r="B678" s="69" t="s">
        <v>2489</v>
      </c>
      <c r="C678" s="69" t="s">
        <v>2490</v>
      </c>
      <c r="D678" s="69">
        <v>9890596938</v>
      </c>
      <c r="E678" s="69" t="s">
        <v>2491</v>
      </c>
      <c r="F678" s="69" t="s">
        <v>229</v>
      </c>
      <c r="G678" s="26">
        <v>70</v>
      </c>
      <c r="H678" s="26">
        <v>31</v>
      </c>
      <c r="I678" s="26">
        <v>51</v>
      </c>
      <c r="J678" s="26">
        <v>368</v>
      </c>
      <c r="K678" s="26">
        <v>85</v>
      </c>
      <c r="L678" s="26">
        <v>52</v>
      </c>
      <c r="M678" s="26">
        <v>2</v>
      </c>
      <c r="N678" s="26">
        <v>137</v>
      </c>
      <c r="O678" s="26">
        <v>16</v>
      </c>
      <c r="P678" s="26">
        <v>47</v>
      </c>
      <c r="Q678" s="70">
        <v>31</v>
      </c>
      <c r="R678" s="26">
        <v>33</v>
      </c>
    </row>
    <row r="679" spans="1:18" x14ac:dyDescent="0.35">
      <c r="A679" s="69">
        <v>78210100</v>
      </c>
      <c r="B679" s="69" t="s">
        <v>2492</v>
      </c>
      <c r="C679" s="69" t="s">
        <v>2493</v>
      </c>
      <c r="D679" s="69">
        <v>9146164123</v>
      </c>
      <c r="E679" s="69" t="s">
        <v>2494</v>
      </c>
      <c r="F679" s="69" t="s">
        <v>229</v>
      </c>
      <c r="G679" s="26">
        <v>4</v>
      </c>
      <c r="H679" s="26">
        <v>9</v>
      </c>
      <c r="I679" s="26"/>
      <c r="J679" s="26">
        <v>12</v>
      </c>
      <c r="K679" s="26"/>
      <c r="L679" s="26"/>
      <c r="M679" s="26">
        <v>19</v>
      </c>
      <c r="N679" s="26">
        <v>2</v>
      </c>
      <c r="O679" s="26"/>
      <c r="P679" s="26">
        <v>6</v>
      </c>
      <c r="Q679" s="70">
        <v>0</v>
      </c>
      <c r="R679" s="26">
        <v>32</v>
      </c>
    </row>
    <row r="680" spans="1:18" x14ac:dyDescent="0.35">
      <c r="A680" s="69">
        <v>78210106</v>
      </c>
      <c r="B680" s="69" t="s">
        <v>2495</v>
      </c>
      <c r="C680" s="69" t="s">
        <v>2496</v>
      </c>
      <c r="D680" s="69">
        <v>9272797123</v>
      </c>
      <c r="E680" s="69" t="s">
        <v>2497</v>
      </c>
      <c r="F680" s="69" t="s">
        <v>229</v>
      </c>
      <c r="G680" s="26">
        <v>2</v>
      </c>
      <c r="H680" s="26"/>
      <c r="I680" s="26">
        <v>10</v>
      </c>
      <c r="J680" s="26">
        <v>63</v>
      </c>
      <c r="K680" s="26">
        <v>22</v>
      </c>
      <c r="L680" s="26">
        <v>6</v>
      </c>
      <c r="M680" s="26">
        <v>8</v>
      </c>
      <c r="N680" s="26"/>
      <c r="O680" s="26">
        <v>25</v>
      </c>
      <c r="P680" s="26">
        <v>26</v>
      </c>
      <c r="Q680" s="70">
        <v>2</v>
      </c>
      <c r="R680" s="26">
        <v>31</v>
      </c>
    </row>
    <row r="681" spans="1:18" x14ac:dyDescent="0.35">
      <c r="A681" s="69">
        <v>78210122</v>
      </c>
      <c r="B681" s="69" t="s">
        <v>2498</v>
      </c>
      <c r="C681" s="69" t="s">
        <v>2499</v>
      </c>
      <c r="D681" s="69">
        <v>9820943526</v>
      </c>
      <c r="E681" s="69" t="s">
        <v>2500</v>
      </c>
      <c r="F681" s="69" t="s">
        <v>229</v>
      </c>
      <c r="G681" s="26">
        <v>7</v>
      </c>
      <c r="H681" s="26">
        <v>3</v>
      </c>
      <c r="I681" s="26">
        <v>12</v>
      </c>
      <c r="J681" s="26">
        <v>23</v>
      </c>
      <c r="K681" s="26">
        <v>6</v>
      </c>
      <c r="L681" s="26">
        <v>14</v>
      </c>
      <c r="M681" s="26">
        <v>9</v>
      </c>
      <c r="N681" s="26">
        <v>5</v>
      </c>
      <c r="O681" s="26">
        <v>3</v>
      </c>
      <c r="P681" s="26">
        <v>5</v>
      </c>
      <c r="Q681" s="70">
        <v>0</v>
      </c>
      <c r="R681" s="26">
        <v>30</v>
      </c>
    </row>
    <row r="682" spans="1:18" x14ac:dyDescent="0.35">
      <c r="A682" s="69">
        <v>78210147</v>
      </c>
      <c r="B682" s="69" t="s">
        <v>2501</v>
      </c>
      <c r="C682" s="69" t="s">
        <v>2502</v>
      </c>
      <c r="D682" s="69">
        <v>9324958032</v>
      </c>
      <c r="E682" s="69" t="s">
        <v>2503</v>
      </c>
      <c r="F682" s="69" t="s">
        <v>229</v>
      </c>
      <c r="G682" s="26">
        <v>56</v>
      </c>
      <c r="H682" s="26"/>
      <c r="I682" s="26">
        <v>52</v>
      </c>
      <c r="J682" s="26">
        <v>305</v>
      </c>
      <c r="K682" s="26">
        <v>117</v>
      </c>
      <c r="L682" s="26">
        <v>35</v>
      </c>
      <c r="M682" s="26">
        <v>34</v>
      </c>
      <c r="N682" s="26">
        <v>12</v>
      </c>
      <c r="O682" s="26">
        <v>17</v>
      </c>
      <c r="P682" s="26">
        <v>11</v>
      </c>
      <c r="Q682" s="70">
        <v>3</v>
      </c>
      <c r="R682" s="26">
        <v>28</v>
      </c>
    </row>
    <row r="683" spans="1:18" x14ac:dyDescent="0.35">
      <c r="A683" s="69">
        <v>78210149</v>
      </c>
      <c r="B683" s="69" t="s">
        <v>2504</v>
      </c>
      <c r="C683" s="69" t="s">
        <v>2505</v>
      </c>
      <c r="D683" s="69">
        <v>8097066777</v>
      </c>
      <c r="E683" s="69" t="s">
        <v>2506</v>
      </c>
      <c r="F683" s="69" t="s">
        <v>229</v>
      </c>
      <c r="G683" s="26">
        <v>11</v>
      </c>
      <c r="H683" s="26">
        <v>12</v>
      </c>
      <c r="I683" s="26">
        <v>16</v>
      </c>
      <c r="J683" s="26">
        <v>29</v>
      </c>
      <c r="K683" s="26">
        <v>24</v>
      </c>
      <c r="L683" s="26">
        <v>18</v>
      </c>
      <c r="M683" s="26">
        <v>16</v>
      </c>
      <c r="N683" s="26">
        <v>23</v>
      </c>
      <c r="O683" s="26">
        <v>5</v>
      </c>
      <c r="P683" s="26">
        <v>6</v>
      </c>
      <c r="Q683" s="70">
        <v>12</v>
      </c>
      <c r="R683" s="26">
        <v>28</v>
      </c>
    </row>
    <row r="684" spans="1:18" x14ac:dyDescent="0.35">
      <c r="A684" s="69">
        <v>78210159</v>
      </c>
      <c r="B684" s="69" t="s">
        <v>2507</v>
      </c>
      <c r="C684" s="69" t="s">
        <v>2508</v>
      </c>
      <c r="D684" s="69">
        <v>8097532689</v>
      </c>
      <c r="E684" s="69" t="s">
        <v>2509</v>
      </c>
      <c r="F684" s="69" t="s">
        <v>229</v>
      </c>
      <c r="G684" s="26">
        <v>18</v>
      </c>
      <c r="H684" s="26">
        <v>4</v>
      </c>
      <c r="I684" s="26">
        <v>25</v>
      </c>
      <c r="J684" s="26">
        <v>68</v>
      </c>
      <c r="K684" s="26">
        <v>26</v>
      </c>
      <c r="L684" s="26">
        <v>31</v>
      </c>
      <c r="M684" s="26">
        <v>24</v>
      </c>
      <c r="N684" s="26">
        <v>6</v>
      </c>
      <c r="O684" s="26">
        <v>8</v>
      </c>
      <c r="P684" s="26">
        <v>16</v>
      </c>
      <c r="Q684" s="70">
        <v>6</v>
      </c>
      <c r="R684" s="26">
        <v>27</v>
      </c>
    </row>
    <row r="685" spans="1:18" x14ac:dyDescent="0.35">
      <c r="A685" s="69">
        <v>78210171</v>
      </c>
      <c r="B685" s="69" t="s">
        <v>2510</v>
      </c>
      <c r="C685" s="69" t="s">
        <v>2511</v>
      </c>
      <c r="D685" s="69">
        <v>9322212997</v>
      </c>
      <c r="E685" s="69" t="s">
        <v>2512</v>
      </c>
      <c r="F685" s="69" t="s">
        <v>229</v>
      </c>
      <c r="G685" s="26">
        <v>5</v>
      </c>
      <c r="H685" s="26">
        <v>3</v>
      </c>
      <c r="I685" s="26">
        <v>7</v>
      </c>
      <c r="J685" s="26">
        <v>5</v>
      </c>
      <c r="K685" s="26">
        <v>10</v>
      </c>
      <c r="L685" s="26">
        <v>6</v>
      </c>
      <c r="M685" s="26">
        <v>6</v>
      </c>
      <c r="N685" s="26">
        <v>1</v>
      </c>
      <c r="O685" s="26">
        <v>1</v>
      </c>
      <c r="P685" s="26">
        <v>3</v>
      </c>
      <c r="Q685" s="70">
        <v>0</v>
      </c>
      <c r="R685" s="26">
        <v>25</v>
      </c>
    </row>
    <row r="686" spans="1:18" x14ac:dyDescent="0.35">
      <c r="A686" s="69">
        <v>78210188</v>
      </c>
      <c r="B686" s="69" t="s">
        <v>2513</v>
      </c>
      <c r="C686" s="69" t="s">
        <v>2514</v>
      </c>
      <c r="D686" s="69">
        <v>9967283284</v>
      </c>
      <c r="E686" s="69" t="s">
        <v>2515</v>
      </c>
      <c r="F686" s="69" t="s">
        <v>229</v>
      </c>
      <c r="G686" s="26">
        <v>6</v>
      </c>
      <c r="H686" s="26">
        <v>13</v>
      </c>
      <c r="I686" s="26"/>
      <c r="J686" s="26">
        <v>81</v>
      </c>
      <c r="K686" s="26">
        <v>21</v>
      </c>
      <c r="L686" s="26"/>
      <c r="M686" s="26">
        <v>15</v>
      </c>
      <c r="N686" s="26">
        <v>9</v>
      </c>
      <c r="O686" s="26"/>
      <c r="P686" s="26">
        <v>12</v>
      </c>
      <c r="Q686" s="70">
        <v>7</v>
      </c>
      <c r="R686" s="26">
        <v>25</v>
      </c>
    </row>
    <row r="687" spans="1:18" x14ac:dyDescent="0.35">
      <c r="A687" s="69">
        <v>78210202</v>
      </c>
      <c r="B687" s="69" t="s">
        <v>2516</v>
      </c>
      <c r="C687" s="69" t="s">
        <v>2517</v>
      </c>
      <c r="D687" s="69">
        <v>9226119481</v>
      </c>
      <c r="E687" s="69" t="s">
        <v>2518</v>
      </c>
      <c r="F687" s="69" t="s">
        <v>229</v>
      </c>
      <c r="G687" s="26">
        <v>11</v>
      </c>
      <c r="H687" s="26">
        <v>1</v>
      </c>
      <c r="I687" s="26">
        <v>37</v>
      </c>
      <c r="J687" s="26">
        <v>15</v>
      </c>
      <c r="K687" s="26">
        <v>16</v>
      </c>
      <c r="L687" s="26">
        <v>13</v>
      </c>
      <c r="M687" s="26">
        <v>12</v>
      </c>
      <c r="N687" s="26">
        <v>14</v>
      </c>
      <c r="O687" s="26">
        <v>3</v>
      </c>
      <c r="P687" s="26">
        <v>6</v>
      </c>
      <c r="Q687" s="70">
        <v>2</v>
      </c>
      <c r="R687" s="26">
        <v>24</v>
      </c>
    </row>
    <row r="688" spans="1:18" x14ac:dyDescent="0.35">
      <c r="A688" s="69">
        <v>78210206</v>
      </c>
      <c r="B688" s="69" t="s">
        <v>2519</v>
      </c>
      <c r="C688" s="69" t="s">
        <v>2520</v>
      </c>
      <c r="D688" s="69">
        <v>8108126868</v>
      </c>
      <c r="E688" s="69" t="s">
        <v>2521</v>
      </c>
      <c r="F688" s="69" t="s">
        <v>229</v>
      </c>
      <c r="G688" s="26">
        <v>75</v>
      </c>
      <c r="H688" s="26">
        <v>5</v>
      </c>
      <c r="I688" s="26">
        <v>56</v>
      </c>
      <c r="J688" s="26">
        <v>145</v>
      </c>
      <c r="K688" s="26">
        <v>17</v>
      </c>
      <c r="L688" s="26">
        <v>28</v>
      </c>
      <c r="M688" s="26">
        <v>69</v>
      </c>
      <c r="N688" s="26">
        <v>32</v>
      </c>
      <c r="O688" s="26">
        <v>76</v>
      </c>
      <c r="P688" s="26">
        <v>46</v>
      </c>
      <c r="Q688" s="70">
        <v>32</v>
      </c>
      <c r="R688" s="26">
        <v>24</v>
      </c>
    </row>
    <row r="689" spans="1:18" x14ac:dyDescent="0.35">
      <c r="A689" s="69">
        <v>78210227</v>
      </c>
      <c r="B689" s="69" t="s">
        <v>2522</v>
      </c>
      <c r="C689" s="69" t="s">
        <v>2523</v>
      </c>
      <c r="D689" s="69">
        <v>9272575477</v>
      </c>
      <c r="E689" s="69" t="s">
        <v>2524</v>
      </c>
      <c r="F689" s="69" t="s">
        <v>229</v>
      </c>
      <c r="G689" s="26"/>
      <c r="H689" s="26">
        <v>57</v>
      </c>
      <c r="I689" s="26">
        <v>31</v>
      </c>
      <c r="J689" s="26">
        <v>245</v>
      </c>
      <c r="K689" s="26">
        <v>23</v>
      </c>
      <c r="L689" s="26">
        <v>15</v>
      </c>
      <c r="M689" s="26">
        <v>11</v>
      </c>
      <c r="N689" s="26">
        <v>17</v>
      </c>
      <c r="O689" s="26">
        <v>4</v>
      </c>
      <c r="P689" s="26">
        <v>19</v>
      </c>
      <c r="Q689" s="70">
        <v>6</v>
      </c>
      <c r="R689" s="26">
        <v>24</v>
      </c>
    </row>
    <row r="690" spans="1:18" x14ac:dyDescent="0.35">
      <c r="A690" s="69">
        <v>78210244</v>
      </c>
      <c r="B690" s="69" t="s">
        <v>2525</v>
      </c>
      <c r="C690" s="69" t="s">
        <v>2526</v>
      </c>
      <c r="D690" s="69">
        <v>9422677094</v>
      </c>
      <c r="E690" s="69" t="s">
        <v>2527</v>
      </c>
      <c r="F690" s="69" t="s">
        <v>229</v>
      </c>
      <c r="G690" s="26"/>
      <c r="H690" s="26">
        <v>19</v>
      </c>
      <c r="I690" s="26"/>
      <c r="J690" s="26">
        <v>182</v>
      </c>
      <c r="K690" s="26">
        <v>9</v>
      </c>
      <c r="L690" s="26"/>
      <c r="M690" s="26">
        <v>22</v>
      </c>
      <c r="N690" s="26">
        <v>7</v>
      </c>
      <c r="O690" s="26"/>
      <c r="P690" s="26">
        <v>48</v>
      </c>
      <c r="Q690" s="70">
        <v>5</v>
      </c>
      <c r="R690" s="26">
        <v>21</v>
      </c>
    </row>
    <row r="691" spans="1:18" x14ac:dyDescent="0.35">
      <c r="A691" s="69">
        <v>78210266</v>
      </c>
      <c r="B691" s="69" t="s">
        <v>2528</v>
      </c>
      <c r="C691" s="69" t="s">
        <v>2529</v>
      </c>
      <c r="D691" s="69">
        <v>8149340271</v>
      </c>
      <c r="E691" s="69" t="s">
        <v>2530</v>
      </c>
      <c r="F691" s="69" t="s">
        <v>229</v>
      </c>
      <c r="G691" s="26">
        <v>12</v>
      </c>
      <c r="H691" s="26">
        <v>15</v>
      </c>
      <c r="I691" s="26">
        <v>54</v>
      </c>
      <c r="J691" s="26">
        <v>50</v>
      </c>
      <c r="K691" s="26">
        <v>26</v>
      </c>
      <c r="L691" s="26">
        <v>13</v>
      </c>
      <c r="M691" s="26">
        <v>26</v>
      </c>
      <c r="N691" s="26">
        <v>12</v>
      </c>
      <c r="O691" s="26">
        <v>10</v>
      </c>
      <c r="P691" s="26">
        <v>6</v>
      </c>
      <c r="Q691" s="70">
        <v>2</v>
      </c>
      <c r="R691" s="26">
        <v>21</v>
      </c>
    </row>
    <row r="692" spans="1:18" x14ac:dyDescent="0.35">
      <c r="A692" s="69">
        <v>78210267</v>
      </c>
      <c r="B692" s="69" t="s">
        <v>2531</v>
      </c>
      <c r="C692" s="69" t="s">
        <v>2532</v>
      </c>
      <c r="D692" s="69">
        <v>9967514010</v>
      </c>
      <c r="E692" s="69" t="s">
        <v>2533</v>
      </c>
      <c r="F692" s="69" t="s">
        <v>1019</v>
      </c>
      <c r="G692" s="26">
        <v>18</v>
      </c>
      <c r="H692" s="26"/>
      <c r="I692" s="26">
        <v>41</v>
      </c>
      <c r="J692" s="26">
        <v>90</v>
      </c>
      <c r="K692" s="26">
        <v>51</v>
      </c>
      <c r="L692" s="26">
        <v>17</v>
      </c>
      <c r="M692" s="26">
        <v>21</v>
      </c>
      <c r="N692" s="26">
        <v>15</v>
      </c>
      <c r="O692" s="26">
        <v>10</v>
      </c>
      <c r="P692" s="26">
        <v>15</v>
      </c>
      <c r="Q692" s="70">
        <v>11</v>
      </c>
      <c r="R692" s="26">
        <v>18</v>
      </c>
    </row>
    <row r="693" spans="1:18" x14ac:dyDescent="0.35">
      <c r="A693" s="69">
        <v>78210271</v>
      </c>
      <c r="B693" s="69" t="s">
        <v>2534</v>
      </c>
      <c r="C693" s="69" t="s">
        <v>2535</v>
      </c>
      <c r="D693" s="69">
        <v>9221337835</v>
      </c>
      <c r="E693" s="69" t="s">
        <v>2536</v>
      </c>
      <c r="F693" s="69" t="s">
        <v>1019</v>
      </c>
      <c r="G693" s="26">
        <v>61</v>
      </c>
      <c r="H693" s="26"/>
      <c r="I693" s="26">
        <v>50</v>
      </c>
      <c r="J693" s="26">
        <v>101</v>
      </c>
      <c r="K693" s="26">
        <v>41</v>
      </c>
      <c r="L693" s="26">
        <v>40</v>
      </c>
      <c r="M693" s="26">
        <v>23</v>
      </c>
      <c r="N693" s="26">
        <v>15</v>
      </c>
      <c r="O693" s="26">
        <v>10</v>
      </c>
      <c r="P693" s="26">
        <v>11</v>
      </c>
      <c r="Q693" s="70">
        <v>8</v>
      </c>
      <c r="R693" s="26">
        <v>18</v>
      </c>
    </row>
    <row r="694" spans="1:18" x14ac:dyDescent="0.35">
      <c r="A694" s="69">
        <v>78210272</v>
      </c>
      <c r="B694" s="69" t="s">
        <v>2495</v>
      </c>
      <c r="C694" s="69" t="s">
        <v>2537</v>
      </c>
      <c r="D694" s="69">
        <v>9867260123</v>
      </c>
      <c r="E694" s="69" t="s">
        <v>2497</v>
      </c>
      <c r="F694" s="69" t="s">
        <v>1019</v>
      </c>
      <c r="G694" s="26">
        <v>11</v>
      </c>
      <c r="H694" s="26"/>
      <c r="I694" s="26">
        <v>28</v>
      </c>
      <c r="J694" s="26">
        <v>128</v>
      </c>
      <c r="K694" s="26">
        <v>32</v>
      </c>
      <c r="L694" s="26">
        <v>12</v>
      </c>
      <c r="M694" s="26">
        <v>12</v>
      </c>
      <c r="N694" s="26">
        <v>0</v>
      </c>
      <c r="O694" s="26">
        <v>16</v>
      </c>
      <c r="P694" s="26">
        <v>29</v>
      </c>
      <c r="Q694" s="70">
        <v>6</v>
      </c>
      <c r="R694" s="26">
        <v>17</v>
      </c>
    </row>
    <row r="695" spans="1:18" x14ac:dyDescent="0.35">
      <c r="A695" s="69">
        <v>78210273</v>
      </c>
      <c r="B695" s="69" t="s">
        <v>1204</v>
      </c>
      <c r="C695" s="69" t="s">
        <v>2538</v>
      </c>
      <c r="D695" s="69">
        <v>9890579907</v>
      </c>
      <c r="E695" s="69" t="s">
        <v>2539</v>
      </c>
      <c r="F695" s="69" t="s">
        <v>1019</v>
      </c>
      <c r="G695" s="26">
        <v>6</v>
      </c>
      <c r="H695" s="26">
        <v>6</v>
      </c>
      <c r="I695" s="26">
        <v>69</v>
      </c>
      <c r="J695" s="26">
        <v>37</v>
      </c>
      <c r="K695" s="26">
        <v>15</v>
      </c>
      <c r="L695" s="26">
        <v>6</v>
      </c>
      <c r="M695" s="26">
        <v>18</v>
      </c>
      <c r="N695" s="26">
        <v>9</v>
      </c>
      <c r="O695" s="26">
        <v>8</v>
      </c>
      <c r="P695" s="26">
        <v>8</v>
      </c>
      <c r="Q695" s="70">
        <v>1</v>
      </c>
      <c r="R695" s="26">
        <v>17</v>
      </c>
    </row>
    <row r="696" spans="1:18" x14ac:dyDescent="0.35">
      <c r="A696" s="69">
        <v>78210281</v>
      </c>
      <c r="B696" s="69" t="s">
        <v>2540</v>
      </c>
      <c r="C696" s="69" t="s">
        <v>2541</v>
      </c>
      <c r="D696" s="69">
        <v>9975204279</v>
      </c>
      <c r="E696" s="69" t="s">
        <v>2542</v>
      </c>
      <c r="F696" s="69" t="s">
        <v>1019</v>
      </c>
      <c r="G696" s="26">
        <v>5</v>
      </c>
      <c r="H696" s="26"/>
      <c r="I696" s="26">
        <v>21</v>
      </c>
      <c r="J696" s="26">
        <v>93</v>
      </c>
      <c r="K696" s="26"/>
      <c r="L696" s="26"/>
      <c r="M696" s="26">
        <v>17</v>
      </c>
      <c r="N696" s="26">
        <v>15</v>
      </c>
      <c r="O696" s="26">
        <v>8</v>
      </c>
      <c r="P696" s="26">
        <v>21</v>
      </c>
      <c r="Q696" s="70">
        <v>0</v>
      </c>
      <c r="R696" s="26">
        <v>16</v>
      </c>
    </row>
    <row r="697" spans="1:18" x14ac:dyDescent="0.35">
      <c r="A697" s="69">
        <v>78210294</v>
      </c>
      <c r="B697" s="69" t="s">
        <v>2543</v>
      </c>
      <c r="C697" s="69" t="s">
        <v>2544</v>
      </c>
      <c r="D697" s="69">
        <v>9011384771</v>
      </c>
      <c r="E697" s="69" t="s">
        <v>2545</v>
      </c>
      <c r="F697" s="69" t="s">
        <v>1019</v>
      </c>
      <c r="G697" s="26"/>
      <c r="H697" s="26"/>
      <c r="I697" s="26">
        <v>6</v>
      </c>
      <c r="J697" s="26">
        <v>82</v>
      </c>
      <c r="K697" s="26"/>
      <c r="L697" s="26">
        <v>24</v>
      </c>
      <c r="M697" s="26"/>
      <c r="N697" s="26">
        <v>12</v>
      </c>
      <c r="O697" s="26"/>
      <c r="P697" s="26">
        <v>8</v>
      </c>
      <c r="Q697" s="70">
        <v>0</v>
      </c>
      <c r="R697" s="26">
        <v>15</v>
      </c>
    </row>
    <row r="698" spans="1:18" x14ac:dyDescent="0.35">
      <c r="A698" s="69">
        <v>78210304</v>
      </c>
      <c r="B698" s="69" t="s">
        <v>2546</v>
      </c>
      <c r="C698" s="69" t="s">
        <v>2547</v>
      </c>
      <c r="D698" s="69">
        <v>9823158577</v>
      </c>
      <c r="E698" s="69" t="s">
        <v>2548</v>
      </c>
      <c r="F698" s="69" t="s">
        <v>1019</v>
      </c>
      <c r="G698" s="26">
        <v>16</v>
      </c>
      <c r="H698" s="26">
        <v>8</v>
      </c>
      <c r="I698" s="26">
        <v>57</v>
      </c>
      <c r="J698" s="26">
        <v>29</v>
      </c>
      <c r="K698" s="26">
        <v>33</v>
      </c>
      <c r="L698" s="26">
        <v>34</v>
      </c>
      <c r="M698" s="26">
        <v>11</v>
      </c>
      <c r="N698" s="26">
        <v>11</v>
      </c>
      <c r="O698" s="26">
        <v>12</v>
      </c>
      <c r="P698" s="26">
        <v>9</v>
      </c>
      <c r="Q698" s="70">
        <v>7</v>
      </c>
      <c r="R698" s="26">
        <v>13</v>
      </c>
    </row>
    <row r="699" spans="1:18" x14ac:dyDescent="0.35">
      <c r="A699" s="69">
        <v>78210309</v>
      </c>
      <c r="B699" s="69" t="s">
        <v>2549</v>
      </c>
      <c r="C699" s="69" t="s">
        <v>2550</v>
      </c>
      <c r="D699" s="69">
        <v>9270788977</v>
      </c>
      <c r="E699" s="69" t="s">
        <v>2551</v>
      </c>
      <c r="F699" s="69" t="s">
        <v>1654</v>
      </c>
      <c r="G699" s="26">
        <v>13</v>
      </c>
      <c r="H699" s="26">
        <v>8</v>
      </c>
      <c r="I699" s="26">
        <v>30</v>
      </c>
      <c r="J699" s="26">
        <v>97</v>
      </c>
      <c r="K699" s="26">
        <v>4</v>
      </c>
      <c r="L699" s="26">
        <v>6</v>
      </c>
      <c r="M699" s="26">
        <v>9</v>
      </c>
      <c r="N699" s="26">
        <v>9</v>
      </c>
      <c r="O699" s="26">
        <v>4</v>
      </c>
      <c r="P699" s="26">
        <v>12</v>
      </c>
      <c r="Q699" s="70">
        <v>6</v>
      </c>
      <c r="R699" s="26">
        <v>12</v>
      </c>
    </row>
    <row r="700" spans="1:18" x14ac:dyDescent="0.35">
      <c r="A700" s="69">
        <v>78210310</v>
      </c>
      <c r="B700" s="69" t="s">
        <v>2552</v>
      </c>
      <c r="C700" s="69" t="s">
        <v>2553</v>
      </c>
      <c r="D700" s="69">
        <v>9322206381</v>
      </c>
      <c r="E700" s="69" t="s">
        <v>2554</v>
      </c>
      <c r="F700" s="69" t="s">
        <v>1654</v>
      </c>
      <c r="G700" s="26">
        <v>12</v>
      </c>
      <c r="H700" s="26"/>
      <c r="I700" s="26">
        <v>13</v>
      </c>
      <c r="J700" s="26">
        <v>7</v>
      </c>
      <c r="K700" s="26">
        <v>6</v>
      </c>
      <c r="L700" s="26">
        <v>17</v>
      </c>
      <c r="M700" s="26">
        <v>12</v>
      </c>
      <c r="N700" s="26">
        <v>14</v>
      </c>
      <c r="O700" s="26">
        <v>14</v>
      </c>
      <c r="P700" s="26">
        <v>29</v>
      </c>
      <c r="Q700" s="70">
        <v>8</v>
      </c>
      <c r="R700" s="26">
        <v>11</v>
      </c>
    </row>
    <row r="701" spans="1:18" x14ac:dyDescent="0.35">
      <c r="A701" s="69">
        <v>78210312</v>
      </c>
      <c r="B701" s="69" t="s">
        <v>2555</v>
      </c>
      <c r="C701" s="69" t="s">
        <v>2556</v>
      </c>
      <c r="D701" s="69">
        <v>9960948775</v>
      </c>
      <c r="E701" s="69" t="s">
        <v>2557</v>
      </c>
      <c r="F701" s="69" t="s">
        <v>1654</v>
      </c>
      <c r="G701" s="26"/>
      <c r="H701" s="26">
        <v>15</v>
      </c>
      <c r="I701" s="26"/>
      <c r="J701" s="26">
        <v>99</v>
      </c>
      <c r="K701" s="26"/>
      <c r="L701" s="26"/>
      <c r="M701" s="26">
        <v>31</v>
      </c>
      <c r="N701" s="26">
        <v>0</v>
      </c>
      <c r="O701" s="26">
        <v>5</v>
      </c>
      <c r="P701" s="26">
        <v>5</v>
      </c>
      <c r="Q701" s="70">
        <v>0</v>
      </c>
      <c r="R701" s="26">
        <v>10</v>
      </c>
    </row>
    <row r="702" spans="1:18" x14ac:dyDescent="0.35">
      <c r="A702" s="69">
        <v>78210314</v>
      </c>
      <c r="B702" s="69" t="s">
        <v>2522</v>
      </c>
      <c r="C702" s="69" t="s">
        <v>2558</v>
      </c>
      <c r="D702" s="69">
        <v>9860868997</v>
      </c>
      <c r="E702" s="69" t="s">
        <v>2559</v>
      </c>
      <c r="F702" s="69" t="s">
        <v>1654</v>
      </c>
      <c r="G702" s="26">
        <v>51</v>
      </c>
      <c r="H702" s="26">
        <v>31</v>
      </c>
      <c r="I702" s="26">
        <v>2</v>
      </c>
      <c r="J702" s="26">
        <v>129</v>
      </c>
      <c r="K702" s="26">
        <v>26</v>
      </c>
      <c r="L702" s="26">
        <v>4</v>
      </c>
      <c r="M702" s="26">
        <v>10</v>
      </c>
      <c r="N702" s="26">
        <v>19</v>
      </c>
      <c r="O702" s="26">
        <v>26</v>
      </c>
      <c r="P702" s="26">
        <v>20</v>
      </c>
      <c r="Q702" s="70">
        <v>5</v>
      </c>
      <c r="R702" s="26">
        <v>6</v>
      </c>
    </row>
    <row r="703" spans="1:18" x14ac:dyDescent="0.35">
      <c r="A703" s="69">
        <v>78210317</v>
      </c>
      <c r="B703" s="69" t="s">
        <v>2560</v>
      </c>
      <c r="C703" s="69" t="s">
        <v>2561</v>
      </c>
      <c r="D703" s="69">
        <v>9892971253</v>
      </c>
      <c r="E703" s="69" t="s">
        <v>2562</v>
      </c>
      <c r="F703" s="69" t="s">
        <v>1654</v>
      </c>
      <c r="G703" s="26"/>
      <c r="H703" s="26"/>
      <c r="I703" s="26">
        <v>1</v>
      </c>
      <c r="J703" s="26">
        <v>23</v>
      </c>
      <c r="K703" s="26"/>
      <c r="L703" s="26">
        <v>22</v>
      </c>
      <c r="M703" s="26"/>
      <c r="N703" s="26">
        <v>13</v>
      </c>
      <c r="O703" s="26">
        <v>13</v>
      </c>
      <c r="P703" s="26">
        <v>19</v>
      </c>
      <c r="Q703" s="70">
        <v>1</v>
      </c>
      <c r="R703" s="26">
        <v>4</v>
      </c>
    </row>
    <row r="704" spans="1:18" x14ac:dyDescent="0.35">
      <c r="A704" s="69">
        <v>78210335</v>
      </c>
      <c r="B704" s="69" t="s">
        <v>2563</v>
      </c>
      <c r="C704" s="69" t="s">
        <v>2564</v>
      </c>
      <c r="D704" s="69">
        <v>9004437067</v>
      </c>
      <c r="E704" s="69" t="s">
        <v>2565</v>
      </c>
      <c r="F704" s="69" t="s">
        <v>1654</v>
      </c>
      <c r="G704" s="26">
        <v>16</v>
      </c>
      <c r="H704" s="26"/>
      <c r="I704" s="26">
        <v>51</v>
      </c>
      <c r="J704" s="26">
        <v>25</v>
      </c>
      <c r="K704" s="26">
        <v>44</v>
      </c>
      <c r="L704" s="26">
        <v>13</v>
      </c>
      <c r="M704" s="26">
        <v>30</v>
      </c>
      <c r="N704" s="26">
        <v>4</v>
      </c>
      <c r="O704" s="26">
        <v>14</v>
      </c>
      <c r="P704" s="26">
        <v>40</v>
      </c>
      <c r="Q704" s="70">
        <v>29</v>
      </c>
      <c r="R704" s="26">
        <v>0</v>
      </c>
    </row>
    <row r="705" spans="1:18" x14ac:dyDescent="0.35">
      <c r="A705" s="69">
        <v>78210344</v>
      </c>
      <c r="B705" s="69" t="s">
        <v>2566</v>
      </c>
      <c r="C705" s="69" t="s">
        <v>2567</v>
      </c>
      <c r="D705" s="69">
        <v>9890481681</v>
      </c>
      <c r="E705" s="69" t="s">
        <v>2568</v>
      </c>
      <c r="F705" s="69" t="s">
        <v>1654</v>
      </c>
      <c r="G705" s="26">
        <v>2</v>
      </c>
      <c r="H705" s="26"/>
      <c r="I705" s="26">
        <v>11</v>
      </c>
      <c r="J705" s="26">
        <v>26</v>
      </c>
      <c r="K705" s="26">
        <v>6</v>
      </c>
      <c r="L705" s="26"/>
      <c r="M705" s="26">
        <v>5</v>
      </c>
      <c r="N705" s="26">
        <v>2</v>
      </c>
      <c r="O705" s="26">
        <v>3</v>
      </c>
      <c r="P705" s="26">
        <v>3</v>
      </c>
      <c r="Q705" s="70">
        <v>4</v>
      </c>
      <c r="R705" s="26">
        <v>0</v>
      </c>
    </row>
    <row r="706" spans="1:18" x14ac:dyDescent="0.35">
      <c r="A706" s="69">
        <v>78210377</v>
      </c>
      <c r="B706" s="69" t="s">
        <v>2569</v>
      </c>
      <c r="C706" s="69" t="s">
        <v>2570</v>
      </c>
      <c r="D706" s="69">
        <v>8108383872</v>
      </c>
      <c r="E706" s="69" t="s">
        <v>2571</v>
      </c>
      <c r="F706" s="69" t="s">
        <v>1654</v>
      </c>
      <c r="G706" s="26">
        <v>11</v>
      </c>
      <c r="H706" s="26"/>
      <c r="I706" s="26">
        <v>6</v>
      </c>
      <c r="J706" s="26">
        <v>20</v>
      </c>
      <c r="K706" s="26">
        <v>20</v>
      </c>
      <c r="L706" s="26">
        <v>17</v>
      </c>
      <c r="M706" s="26">
        <v>6</v>
      </c>
      <c r="N706" s="26">
        <v>3</v>
      </c>
      <c r="O706" s="26"/>
      <c r="P706" s="26">
        <v>8</v>
      </c>
      <c r="Q706" s="70">
        <v>0</v>
      </c>
      <c r="R706" s="26">
        <v>0</v>
      </c>
    </row>
    <row r="707" spans="1:18" x14ac:dyDescent="0.35">
      <c r="A707" s="69">
        <v>78210454</v>
      </c>
      <c r="B707" s="69" t="s">
        <v>2572</v>
      </c>
      <c r="C707" s="69" t="s">
        <v>2573</v>
      </c>
      <c r="D707" s="69">
        <v>9004079829</v>
      </c>
      <c r="E707" s="69" t="s">
        <v>2574</v>
      </c>
      <c r="F707" s="69" t="s">
        <v>1654</v>
      </c>
      <c r="G707" s="26"/>
      <c r="H707" s="26">
        <v>8</v>
      </c>
      <c r="I707" s="26">
        <v>7</v>
      </c>
      <c r="J707" s="26">
        <v>6</v>
      </c>
      <c r="K707" s="26">
        <v>8</v>
      </c>
      <c r="L707" s="26"/>
      <c r="M707" s="26"/>
      <c r="N707" s="26">
        <v>4</v>
      </c>
      <c r="O707" s="26">
        <v>3</v>
      </c>
      <c r="P707" s="26">
        <v>5</v>
      </c>
      <c r="Q707" s="70">
        <v>0</v>
      </c>
      <c r="R707" s="26">
        <v>0</v>
      </c>
    </row>
    <row r="708" spans="1:18" x14ac:dyDescent="0.35">
      <c r="A708" s="69">
        <v>78210470</v>
      </c>
      <c r="B708" s="69" t="s">
        <v>2575</v>
      </c>
      <c r="C708" s="69" t="s">
        <v>2576</v>
      </c>
      <c r="D708" s="69">
        <v>9175434863</v>
      </c>
      <c r="E708" s="69" t="s">
        <v>2577</v>
      </c>
      <c r="F708" s="69" t="s">
        <v>1654</v>
      </c>
      <c r="G708" s="26">
        <v>15</v>
      </c>
      <c r="H708" s="26">
        <v>31</v>
      </c>
      <c r="I708" s="26">
        <v>52</v>
      </c>
      <c r="J708" s="26">
        <v>30</v>
      </c>
      <c r="K708" s="26">
        <v>31</v>
      </c>
      <c r="L708" s="26">
        <v>7</v>
      </c>
      <c r="M708" s="26">
        <v>18</v>
      </c>
      <c r="N708" s="26">
        <v>9</v>
      </c>
      <c r="O708" s="26">
        <v>11</v>
      </c>
      <c r="P708" s="26">
        <v>28</v>
      </c>
      <c r="Q708" s="70">
        <v>10</v>
      </c>
      <c r="R708" s="26">
        <v>0</v>
      </c>
    </row>
    <row r="709" spans="1:18" x14ac:dyDescent="0.35">
      <c r="A709" s="69">
        <v>78210492</v>
      </c>
      <c r="B709" s="69" t="s">
        <v>2578</v>
      </c>
      <c r="C709" s="69" t="s">
        <v>2579</v>
      </c>
      <c r="D709" s="69">
        <v>9223510574</v>
      </c>
      <c r="E709" s="69" t="s">
        <v>2580</v>
      </c>
      <c r="F709" s="69" t="s">
        <v>1654</v>
      </c>
      <c r="G709" s="26">
        <v>17</v>
      </c>
      <c r="H709" s="26">
        <v>3</v>
      </c>
      <c r="I709" s="26">
        <v>22</v>
      </c>
      <c r="J709" s="26">
        <v>70</v>
      </c>
      <c r="K709" s="26"/>
      <c r="L709" s="26">
        <v>100</v>
      </c>
      <c r="M709" s="26">
        <v>23</v>
      </c>
      <c r="N709" s="26">
        <v>18</v>
      </c>
      <c r="O709" s="26">
        <v>20</v>
      </c>
      <c r="P709" s="26">
        <v>12</v>
      </c>
      <c r="Q709" s="70">
        <v>37</v>
      </c>
      <c r="R709" s="26">
        <v>0</v>
      </c>
    </row>
    <row r="710" spans="1:18" x14ac:dyDescent="0.35">
      <c r="A710" s="69">
        <v>78210504</v>
      </c>
      <c r="B710" s="69" t="s">
        <v>2581</v>
      </c>
      <c r="C710" s="69" t="s">
        <v>2582</v>
      </c>
      <c r="D710" s="69">
        <v>9167647245</v>
      </c>
      <c r="E710" s="69" t="s">
        <v>2583</v>
      </c>
      <c r="F710" s="69" t="s">
        <v>1654</v>
      </c>
      <c r="G710" s="26">
        <v>7</v>
      </c>
      <c r="H710" s="26">
        <v>2</v>
      </c>
      <c r="I710" s="26">
        <v>5</v>
      </c>
      <c r="J710" s="26">
        <v>21</v>
      </c>
      <c r="K710" s="26">
        <v>16</v>
      </c>
      <c r="L710" s="26">
        <v>9</v>
      </c>
      <c r="M710" s="26">
        <v>8</v>
      </c>
      <c r="N710" s="26">
        <v>4</v>
      </c>
      <c r="O710" s="26">
        <v>2</v>
      </c>
      <c r="P710" s="26">
        <v>10</v>
      </c>
      <c r="Q710" s="70">
        <v>0</v>
      </c>
      <c r="R710" s="26">
        <v>0</v>
      </c>
    </row>
  </sheetData>
  <sortState xmlns:xlrd2="http://schemas.microsoft.com/office/spreadsheetml/2017/richdata2" ref="R4:R710">
    <sortCondition descending="1" ref="R3:R710"/>
  </sortState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3"/>
  <sheetViews>
    <sheetView workbookViewId="0">
      <selection activeCell="C4" sqref="C4"/>
    </sheetView>
  </sheetViews>
  <sheetFormatPr defaultRowHeight="14.5" x14ac:dyDescent="0.35"/>
  <cols>
    <col min="2" max="2" width="12" bestFit="1" customWidth="1"/>
    <col min="3" max="3" width="12.7265625" bestFit="1" customWidth="1"/>
    <col min="4" max="4" width="15.26953125" customWidth="1"/>
    <col min="5" max="5" width="16" customWidth="1"/>
  </cols>
  <sheetData>
    <row r="1" spans="1:19" x14ac:dyDescent="0.35">
      <c r="A1" s="84" t="s">
        <v>2586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x14ac:dyDescent="0.35">
      <c r="B3" s="72" t="s">
        <v>2585</v>
      </c>
      <c r="C3" s="73" t="s">
        <v>518</v>
      </c>
      <c r="D3" s="73" t="s">
        <v>522</v>
      </c>
      <c r="E3" s="73" t="s">
        <v>130</v>
      </c>
    </row>
    <row r="4" spans="1:19" x14ac:dyDescent="0.35">
      <c r="B4" s="69">
        <v>11210003</v>
      </c>
      <c r="C4" s="26"/>
      <c r="D4" s="26"/>
      <c r="E4" s="26"/>
    </row>
    <row r="5" spans="1:19" x14ac:dyDescent="0.35">
      <c r="B5" s="69">
        <v>11210035</v>
      </c>
      <c r="C5" s="26"/>
      <c r="D5" s="26"/>
      <c r="E5" s="26"/>
    </row>
    <row r="6" spans="1:19" x14ac:dyDescent="0.35">
      <c r="B6" s="69">
        <v>12210136</v>
      </c>
      <c r="C6" s="26"/>
      <c r="D6" s="26"/>
      <c r="E6" s="26"/>
    </row>
    <row r="7" spans="1:19" x14ac:dyDescent="0.35">
      <c r="B7" s="69">
        <v>12210141</v>
      </c>
      <c r="C7" s="26"/>
      <c r="D7" s="26"/>
      <c r="E7" s="26"/>
    </row>
    <row r="8" spans="1:19" x14ac:dyDescent="0.35">
      <c r="B8" s="69">
        <v>13210002</v>
      </c>
      <c r="C8" s="26"/>
      <c r="D8" s="26"/>
      <c r="E8" s="26"/>
    </row>
    <row r="9" spans="1:19" x14ac:dyDescent="0.35">
      <c r="B9" s="69">
        <v>16210015</v>
      </c>
      <c r="C9" s="26"/>
      <c r="D9" s="26"/>
      <c r="E9" s="26"/>
    </row>
    <row r="10" spans="1:19" x14ac:dyDescent="0.35">
      <c r="B10" s="69">
        <v>16210351</v>
      </c>
      <c r="C10" s="26"/>
      <c r="D10" s="26"/>
      <c r="E10" s="26"/>
    </row>
    <row r="11" spans="1:19" x14ac:dyDescent="0.35">
      <c r="B11" s="69">
        <v>17210289</v>
      </c>
      <c r="C11" s="26"/>
      <c r="D11" s="26"/>
      <c r="E11" s="26"/>
    </row>
    <row r="12" spans="1:19" x14ac:dyDescent="0.35">
      <c r="B12" s="69">
        <v>21210082</v>
      </c>
      <c r="C12" s="26"/>
      <c r="D12" s="26"/>
      <c r="E12" s="26"/>
    </row>
    <row r="13" spans="1:19" x14ac:dyDescent="0.35">
      <c r="B13" s="69">
        <v>24210016</v>
      </c>
      <c r="C13" s="26"/>
      <c r="D13" s="26"/>
      <c r="E13" s="26"/>
    </row>
    <row r="14" spans="1:19" x14ac:dyDescent="0.35">
      <c r="B14" s="69">
        <v>27210032</v>
      </c>
      <c r="C14" s="26"/>
      <c r="D14" s="26"/>
      <c r="E14" s="26"/>
    </row>
    <row r="15" spans="1:19" x14ac:dyDescent="0.35">
      <c r="B15" s="69">
        <v>32210125</v>
      </c>
      <c r="C15" s="26"/>
      <c r="D15" s="26"/>
      <c r="E15" s="26"/>
    </row>
    <row r="16" spans="1:19" x14ac:dyDescent="0.35">
      <c r="B16" s="69">
        <v>37210017</v>
      </c>
      <c r="C16" s="26"/>
      <c r="D16" s="26"/>
      <c r="E16" s="26"/>
    </row>
    <row r="17" spans="2:5" x14ac:dyDescent="0.35">
      <c r="B17" s="69">
        <v>46210200</v>
      </c>
      <c r="C17" s="26"/>
      <c r="D17" s="26"/>
      <c r="E17" s="26"/>
    </row>
    <row r="18" spans="2:5" x14ac:dyDescent="0.35">
      <c r="B18" s="69">
        <v>48210125</v>
      </c>
      <c r="C18" s="26"/>
      <c r="D18" s="26"/>
      <c r="E18" s="26"/>
    </row>
    <row r="19" spans="2:5" x14ac:dyDescent="0.35">
      <c r="B19" s="69">
        <v>57210002</v>
      </c>
      <c r="C19" s="26"/>
      <c r="D19" s="26"/>
      <c r="E19" s="26"/>
    </row>
    <row r="20" spans="2:5" x14ac:dyDescent="0.35">
      <c r="B20" s="69">
        <v>57210228</v>
      </c>
      <c r="C20" s="26"/>
      <c r="D20" s="26"/>
      <c r="E20" s="26"/>
    </row>
    <row r="21" spans="2:5" x14ac:dyDescent="0.35">
      <c r="B21" s="69">
        <v>67210111</v>
      </c>
      <c r="C21" s="26"/>
      <c r="D21" s="26"/>
      <c r="E21" s="26"/>
    </row>
    <row r="22" spans="2:5" x14ac:dyDescent="0.35">
      <c r="B22" s="69">
        <v>78210281</v>
      </c>
      <c r="C22" s="26"/>
      <c r="D22" s="26"/>
      <c r="E22" s="26"/>
    </row>
    <row r="23" spans="2:5" x14ac:dyDescent="0.35">
      <c r="B23" s="69">
        <v>78210492</v>
      </c>
      <c r="C23" s="26"/>
      <c r="D23" s="26"/>
      <c r="E23" s="26"/>
    </row>
  </sheetData>
  <mergeCells count="1">
    <mergeCell ref="A1:S1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5144"/>
  <sheetViews>
    <sheetView tabSelected="1" workbookViewId="0">
      <selection activeCell="A2" sqref="A1:A1048576"/>
    </sheetView>
  </sheetViews>
  <sheetFormatPr defaultRowHeight="14.5" x14ac:dyDescent="0.35"/>
  <cols>
    <col min="1" max="1" width="87.7265625" style="75" customWidth="1"/>
  </cols>
  <sheetData>
    <row r="1" spans="1:19" x14ac:dyDescent="0.35">
      <c r="A1" s="84" t="s">
        <v>7726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ht="15.5" x14ac:dyDescent="0.35">
      <c r="A3" s="74" t="s">
        <v>519</v>
      </c>
    </row>
    <row r="4" spans="1:19" ht="29" x14ac:dyDescent="0.35">
      <c r="A4" s="16" t="s">
        <v>2587</v>
      </c>
    </row>
    <row r="5" spans="1:19" x14ac:dyDescent="0.35">
      <c r="A5" s="16" t="s">
        <v>2588</v>
      </c>
    </row>
    <row r="6" spans="1:19" x14ac:dyDescent="0.35">
      <c r="A6" s="16" t="s">
        <v>2589</v>
      </c>
    </row>
    <row r="7" spans="1:19" ht="29" x14ac:dyDescent="0.35">
      <c r="A7" s="16" t="s">
        <v>2590</v>
      </c>
    </row>
    <row r="8" spans="1:19" x14ac:dyDescent="0.35">
      <c r="A8" s="16" t="s">
        <v>2591</v>
      </c>
    </row>
    <row r="9" spans="1:19" x14ac:dyDescent="0.35">
      <c r="A9" s="16" t="s">
        <v>2592</v>
      </c>
    </row>
    <row r="10" spans="1:19" ht="29" x14ac:dyDescent="0.35">
      <c r="A10" s="16" t="s">
        <v>2593</v>
      </c>
    </row>
    <row r="11" spans="1:19" x14ac:dyDescent="0.35">
      <c r="A11" s="16" t="s">
        <v>2594</v>
      </c>
    </row>
    <row r="12" spans="1:19" x14ac:dyDescent="0.35">
      <c r="A12" s="16" t="s">
        <v>2595</v>
      </c>
    </row>
    <row r="13" spans="1:19" x14ac:dyDescent="0.35">
      <c r="A13" s="16" t="s">
        <v>2596</v>
      </c>
    </row>
    <row r="14" spans="1:19" ht="29" x14ac:dyDescent="0.35">
      <c r="A14" s="16" t="s">
        <v>7725</v>
      </c>
    </row>
    <row r="15" spans="1:19" x14ac:dyDescent="0.35">
      <c r="A15" s="16" t="s">
        <v>2597</v>
      </c>
    </row>
    <row r="16" spans="1:19" ht="29" x14ac:dyDescent="0.35">
      <c r="A16" s="16" t="s">
        <v>2598</v>
      </c>
    </row>
    <row r="17" spans="1:1" x14ac:dyDescent="0.35">
      <c r="A17" s="16" t="s">
        <v>2599</v>
      </c>
    </row>
    <row r="18" spans="1:1" x14ac:dyDescent="0.35">
      <c r="A18" s="16" t="s">
        <v>2600</v>
      </c>
    </row>
    <row r="19" spans="1:1" x14ac:dyDescent="0.35">
      <c r="A19" s="16" t="s">
        <v>2601</v>
      </c>
    </row>
    <row r="20" spans="1:1" x14ac:dyDescent="0.35">
      <c r="A20" s="16" t="s">
        <v>2602</v>
      </c>
    </row>
    <row r="21" spans="1:1" x14ac:dyDescent="0.35">
      <c r="A21" s="16" t="s">
        <v>2603</v>
      </c>
    </row>
    <row r="22" spans="1:1" ht="29" x14ac:dyDescent="0.35">
      <c r="A22" s="16" t="s">
        <v>2604</v>
      </c>
    </row>
    <row r="23" spans="1:1" ht="29" x14ac:dyDescent="0.35">
      <c r="A23" s="16" t="s">
        <v>2605</v>
      </c>
    </row>
    <row r="24" spans="1:1" x14ac:dyDescent="0.35">
      <c r="A24" s="16" t="s">
        <v>2606</v>
      </c>
    </row>
    <row r="25" spans="1:1" ht="29" x14ac:dyDescent="0.35">
      <c r="A25" s="16" t="s">
        <v>2607</v>
      </c>
    </row>
    <row r="26" spans="1:1" x14ac:dyDescent="0.35">
      <c r="A26" s="16" t="s">
        <v>2608</v>
      </c>
    </row>
    <row r="27" spans="1:1" ht="29" x14ac:dyDescent="0.35">
      <c r="A27" s="16" t="s">
        <v>2609</v>
      </c>
    </row>
    <row r="28" spans="1:1" ht="29" x14ac:dyDescent="0.35">
      <c r="A28" s="16" t="s">
        <v>2610</v>
      </c>
    </row>
    <row r="29" spans="1:1" x14ac:dyDescent="0.35">
      <c r="A29" s="16" t="s">
        <v>2611</v>
      </c>
    </row>
    <row r="30" spans="1:1" x14ac:dyDescent="0.35">
      <c r="A30" s="16" t="s">
        <v>2612</v>
      </c>
    </row>
    <row r="31" spans="1:1" ht="29" x14ac:dyDescent="0.35">
      <c r="A31" s="16" t="s">
        <v>2613</v>
      </c>
    </row>
    <row r="32" spans="1:1" ht="29" x14ac:dyDescent="0.35">
      <c r="A32" s="16" t="s">
        <v>2614</v>
      </c>
    </row>
    <row r="33" spans="1:1" ht="29" x14ac:dyDescent="0.35">
      <c r="A33" s="16" t="s">
        <v>2615</v>
      </c>
    </row>
    <row r="34" spans="1:1" ht="29" x14ac:dyDescent="0.35">
      <c r="A34" s="16" t="s">
        <v>2616</v>
      </c>
    </row>
    <row r="35" spans="1:1" x14ac:dyDescent="0.35">
      <c r="A35" s="16" t="s">
        <v>2617</v>
      </c>
    </row>
    <row r="36" spans="1:1" ht="29" x14ac:dyDescent="0.35">
      <c r="A36" s="16" t="s">
        <v>2618</v>
      </c>
    </row>
    <row r="37" spans="1:1" ht="29" x14ac:dyDescent="0.35">
      <c r="A37" s="16" t="s">
        <v>2619</v>
      </c>
    </row>
    <row r="38" spans="1:1" ht="29" x14ac:dyDescent="0.35">
      <c r="A38" s="16" t="s">
        <v>2620</v>
      </c>
    </row>
    <row r="39" spans="1:1" x14ac:dyDescent="0.35">
      <c r="A39" s="16" t="s">
        <v>2621</v>
      </c>
    </row>
    <row r="40" spans="1:1" x14ac:dyDescent="0.35">
      <c r="A40" s="16" t="s">
        <v>2622</v>
      </c>
    </row>
    <row r="41" spans="1:1" x14ac:dyDescent="0.35">
      <c r="A41" s="16" t="s">
        <v>2623</v>
      </c>
    </row>
    <row r="42" spans="1:1" ht="29" x14ac:dyDescent="0.35">
      <c r="A42" s="16" t="s">
        <v>2624</v>
      </c>
    </row>
    <row r="43" spans="1:1" x14ac:dyDescent="0.35">
      <c r="A43" s="16" t="s">
        <v>2625</v>
      </c>
    </row>
    <row r="44" spans="1:1" x14ac:dyDescent="0.35">
      <c r="A44" s="16" t="s">
        <v>2626</v>
      </c>
    </row>
    <row r="45" spans="1:1" x14ac:dyDescent="0.35">
      <c r="A45" s="16" t="s">
        <v>2627</v>
      </c>
    </row>
    <row r="46" spans="1:1" ht="29" x14ac:dyDescent="0.35">
      <c r="A46" s="16" t="s">
        <v>2628</v>
      </c>
    </row>
    <row r="47" spans="1:1" x14ac:dyDescent="0.35">
      <c r="A47" s="16" t="s">
        <v>2629</v>
      </c>
    </row>
    <row r="48" spans="1:1" x14ac:dyDescent="0.35">
      <c r="A48" s="16" t="s">
        <v>2630</v>
      </c>
    </row>
    <row r="49" spans="1:1" ht="29" x14ac:dyDescent="0.35">
      <c r="A49" s="16" t="s">
        <v>2631</v>
      </c>
    </row>
    <row r="50" spans="1:1" x14ac:dyDescent="0.35">
      <c r="A50" s="16" t="s">
        <v>2632</v>
      </c>
    </row>
    <row r="51" spans="1:1" ht="29" x14ac:dyDescent="0.35">
      <c r="A51" s="16" t="s">
        <v>2633</v>
      </c>
    </row>
    <row r="52" spans="1:1" ht="29" x14ac:dyDescent="0.35">
      <c r="A52" s="16" t="s">
        <v>2634</v>
      </c>
    </row>
    <row r="53" spans="1:1" x14ac:dyDescent="0.35">
      <c r="A53" s="16" t="s">
        <v>2635</v>
      </c>
    </row>
    <row r="54" spans="1:1" ht="29" x14ac:dyDescent="0.35">
      <c r="A54" s="16" t="s">
        <v>2636</v>
      </c>
    </row>
    <row r="55" spans="1:1" ht="29" x14ac:dyDescent="0.35">
      <c r="A55" s="16" t="s">
        <v>2637</v>
      </c>
    </row>
    <row r="56" spans="1:1" x14ac:dyDescent="0.35">
      <c r="A56" s="16" t="s">
        <v>2638</v>
      </c>
    </row>
    <row r="57" spans="1:1" ht="29" x14ac:dyDescent="0.35">
      <c r="A57" s="16" t="s">
        <v>2639</v>
      </c>
    </row>
    <row r="58" spans="1:1" ht="29" x14ac:dyDescent="0.35">
      <c r="A58" s="16" t="s">
        <v>2640</v>
      </c>
    </row>
    <row r="59" spans="1:1" ht="29" x14ac:dyDescent="0.35">
      <c r="A59" s="16" t="s">
        <v>2641</v>
      </c>
    </row>
    <row r="60" spans="1:1" ht="29" x14ac:dyDescent="0.35">
      <c r="A60" s="16" t="s">
        <v>2642</v>
      </c>
    </row>
    <row r="61" spans="1:1" x14ac:dyDescent="0.35">
      <c r="A61" s="16" t="s">
        <v>2643</v>
      </c>
    </row>
    <row r="62" spans="1:1" x14ac:dyDescent="0.35">
      <c r="A62" s="16" t="s">
        <v>2644</v>
      </c>
    </row>
    <row r="63" spans="1:1" ht="29" x14ac:dyDescent="0.35">
      <c r="A63" s="16" t="s">
        <v>2645</v>
      </c>
    </row>
    <row r="64" spans="1:1" x14ac:dyDescent="0.35">
      <c r="A64" s="16" t="s">
        <v>2646</v>
      </c>
    </row>
    <row r="65" spans="1:1" x14ac:dyDescent="0.35">
      <c r="A65" s="16" t="s">
        <v>2647</v>
      </c>
    </row>
    <row r="66" spans="1:1" x14ac:dyDescent="0.35">
      <c r="A66" s="16" t="s">
        <v>2648</v>
      </c>
    </row>
    <row r="67" spans="1:1" ht="29" x14ac:dyDescent="0.35">
      <c r="A67" s="16" t="s">
        <v>2649</v>
      </c>
    </row>
    <row r="68" spans="1:1" ht="29" x14ac:dyDescent="0.35">
      <c r="A68" s="16" t="s">
        <v>2650</v>
      </c>
    </row>
    <row r="69" spans="1:1" ht="29" x14ac:dyDescent="0.35">
      <c r="A69" s="16" t="s">
        <v>2651</v>
      </c>
    </row>
    <row r="70" spans="1:1" ht="29" x14ac:dyDescent="0.35">
      <c r="A70" s="16" t="s">
        <v>2652</v>
      </c>
    </row>
    <row r="71" spans="1:1" ht="29" x14ac:dyDescent="0.35">
      <c r="A71" s="16" t="s">
        <v>2653</v>
      </c>
    </row>
    <row r="72" spans="1:1" x14ac:dyDescent="0.35">
      <c r="A72" s="16" t="s">
        <v>2654</v>
      </c>
    </row>
    <row r="73" spans="1:1" x14ac:dyDescent="0.35">
      <c r="A73" s="16" t="s">
        <v>2655</v>
      </c>
    </row>
    <row r="74" spans="1:1" x14ac:dyDescent="0.35">
      <c r="A74" s="16" t="s">
        <v>2656</v>
      </c>
    </row>
    <row r="75" spans="1:1" x14ac:dyDescent="0.35">
      <c r="A75" s="16" t="s">
        <v>2657</v>
      </c>
    </row>
    <row r="76" spans="1:1" ht="29" x14ac:dyDescent="0.35">
      <c r="A76" s="16" t="s">
        <v>2658</v>
      </c>
    </row>
    <row r="77" spans="1:1" ht="29" x14ac:dyDescent="0.35">
      <c r="A77" s="16" t="s">
        <v>2659</v>
      </c>
    </row>
    <row r="78" spans="1:1" x14ac:dyDescent="0.35">
      <c r="A78" s="16" t="s">
        <v>2660</v>
      </c>
    </row>
    <row r="79" spans="1:1" ht="29" x14ac:dyDescent="0.35">
      <c r="A79" s="16" t="s">
        <v>2661</v>
      </c>
    </row>
    <row r="80" spans="1:1" ht="29" x14ac:dyDescent="0.35">
      <c r="A80" s="16" t="s">
        <v>2662</v>
      </c>
    </row>
    <row r="81" spans="1:1" x14ac:dyDescent="0.35">
      <c r="A81" s="16" t="s">
        <v>2663</v>
      </c>
    </row>
    <row r="82" spans="1:1" x14ac:dyDescent="0.35">
      <c r="A82" s="16" t="s">
        <v>2664</v>
      </c>
    </row>
    <row r="83" spans="1:1" ht="29" x14ac:dyDescent="0.35">
      <c r="A83" s="16" t="s">
        <v>2665</v>
      </c>
    </row>
    <row r="84" spans="1:1" ht="29" x14ac:dyDescent="0.35">
      <c r="A84" s="16" t="s">
        <v>2666</v>
      </c>
    </row>
    <row r="85" spans="1:1" ht="29" x14ac:dyDescent="0.35">
      <c r="A85" s="16" t="s">
        <v>2667</v>
      </c>
    </row>
    <row r="86" spans="1:1" x14ac:dyDescent="0.35">
      <c r="A86" s="16" t="s">
        <v>2668</v>
      </c>
    </row>
    <row r="87" spans="1:1" x14ac:dyDescent="0.35">
      <c r="A87" s="16" t="s">
        <v>2669</v>
      </c>
    </row>
    <row r="88" spans="1:1" x14ac:dyDescent="0.35">
      <c r="A88" s="16" t="s">
        <v>2670</v>
      </c>
    </row>
    <row r="89" spans="1:1" ht="29" x14ac:dyDescent="0.35">
      <c r="A89" s="16" t="s">
        <v>2671</v>
      </c>
    </row>
    <row r="90" spans="1:1" x14ac:dyDescent="0.35">
      <c r="A90" s="16" t="s">
        <v>2672</v>
      </c>
    </row>
    <row r="91" spans="1:1" ht="29" x14ac:dyDescent="0.35">
      <c r="A91" s="16" t="s">
        <v>2673</v>
      </c>
    </row>
    <row r="92" spans="1:1" ht="29" x14ac:dyDescent="0.35">
      <c r="A92" s="16" t="s">
        <v>2674</v>
      </c>
    </row>
    <row r="93" spans="1:1" ht="29" x14ac:dyDescent="0.35">
      <c r="A93" s="16" t="s">
        <v>2675</v>
      </c>
    </row>
    <row r="94" spans="1:1" ht="29" x14ac:dyDescent="0.35">
      <c r="A94" s="16" t="s">
        <v>2676</v>
      </c>
    </row>
    <row r="95" spans="1:1" ht="29" x14ac:dyDescent="0.35">
      <c r="A95" s="16" t="s">
        <v>2677</v>
      </c>
    </row>
    <row r="96" spans="1:1" x14ac:dyDescent="0.35">
      <c r="A96" s="16" t="s">
        <v>2678</v>
      </c>
    </row>
    <row r="97" spans="1:1" ht="29" x14ac:dyDescent="0.35">
      <c r="A97" s="16" t="s">
        <v>2679</v>
      </c>
    </row>
    <row r="98" spans="1:1" ht="29" x14ac:dyDescent="0.35">
      <c r="A98" s="16" t="s">
        <v>2680</v>
      </c>
    </row>
    <row r="99" spans="1:1" ht="29" x14ac:dyDescent="0.35">
      <c r="A99" s="16" t="s">
        <v>2681</v>
      </c>
    </row>
    <row r="100" spans="1:1" ht="29" x14ac:dyDescent="0.35">
      <c r="A100" s="16" t="s">
        <v>2682</v>
      </c>
    </row>
    <row r="101" spans="1:1" x14ac:dyDescent="0.35">
      <c r="A101" s="16" t="s">
        <v>2683</v>
      </c>
    </row>
    <row r="102" spans="1:1" ht="29" x14ac:dyDescent="0.35">
      <c r="A102" s="16" t="s">
        <v>2684</v>
      </c>
    </row>
    <row r="103" spans="1:1" ht="29" x14ac:dyDescent="0.35">
      <c r="A103" s="16" t="s">
        <v>2685</v>
      </c>
    </row>
    <row r="104" spans="1:1" x14ac:dyDescent="0.35">
      <c r="A104" s="16" t="s">
        <v>2686</v>
      </c>
    </row>
    <row r="105" spans="1:1" x14ac:dyDescent="0.35">
      <c r="A105" s="16" t="s">
        <v>2687</v>
      </c>
    </row>
    <row r="106" spans="1:1" ht="29" x14ac:dyDescent="0.35">
      <c r="A106" s="16" t="s">
        <v>2688</v>
      </c>
    </row>
    <row r="107" spans="1:1" x14ac:dyDescent="0.35">
      <c r="A107" s="16" t="s">
        <v>2689</v>
      </c>
    </row>
    <row r="108" spans="1:1" ht="29" x14ac:dyDescent="0.35">
      <c r="A108" s="16" t="s">
        <v>2690</v>
      </c>
    </row>
    <row r="109" spans="1:1" x14ac:dyDescent="0.35">
      <c r="A109" s="16" t="s">
        <v>2691</v>
      </c>
    </row>
    <row r="110" spans="1:1" x14ac:dyDescent="0.35">
      <c r="A110" s="16" t="s">
        <v>2692</v>
      </c>
    </row>
    <row r="111" spans="1:1" ht="29" x14ac:dyDescent="0.35">
      <c r="A111" s="16" t="s">
        <v>2693</v>
      </c>
    </row>
    <row r="112" spans="1:1" x14ac:dyDescent="0.35">
      <c r="A112" s="16" t="s">
        <v>2694</v>
      </c>
    </row>
    <row r="113" spans="1:1" x14ac:dyDescent="0.35">
      <c r="A113" s="16" t="s">
        <v>2695</v>
      </c>
    </row>
    <row r="114" spans="1:1" x14ac:dyDescent="0.35">
      <c r="A114" s="16" t="s">
        <v>2696</v>
      </c>
    </row>
    <row r="115" spans="1:1" ht="29" x14ac:dyDescent="0.35">
      <c r="A115" s="16" t="s">
        <v>2697</v>
      </c>
    </row>
    <row r="116" spans="1:1" x14ac:dyDescent="0.35">
      <c r="A116" s="16" t="s">
        <v>2698</v>
      </c>
    </row>
    <row r="117" spans="1:1" x14ac:dyDescent="0.35">
      <c r="A117" s="16" t="s">
        <v>2699</v>
      </c>
    </row>
    <row r="118" spans="1:1" x14ac:dyDescent="0.35">
      <c r="A118" s="16" t="s">
        <v>2700</v>
      </c>
    </row>
    <row r="119" spans="1:1" x14ac:dyDescent="0.35">
      <c r="A119" s="16" t="s">
        <v>2701</v>
      </c>
    </row>
    <row r="120" spans="1:1" ht="29" x14ac:dyDescent="0.35">
      <c r="A120" s="16" t="s">
        <v>2702</v>
      </c>
    </row>
    <row r="121" spans="1:1" x14ac:dyDescent="0.35">
      <c r="A121" s="16" t="s">
        <v>2703</v>
      </c>
    </row>
    <row r="122" spans="1:1" ht="29" x14ac:dyDescent="0.35">
      <c r="A122" s="16" t="s">
        <v>2704</v>
      </c>
    </row>
    <row r="123" spans="1:1" ht="29" x14ac:dyDescent="0.35">
      <c r="A123" s="16" t="s">
        <v>2705</v>
      </c>
    </row>
    <row r="124" spans="1:1" x14ac:dyDescent="0.35">
      <c r="A124" s="16" t="s">
        <v>2706</v>
      </c>
    </row>
    <row r="125" spans="1:1" x14ac:dyDescent="0.35">
      <c r="A125" s="16" t="s">
        <v>2707</v>
      </c>
    </row>
    <row r="126" spans="1:1" x14ac:dyDescent="0.35">
      <c r="A126" s="16" t="s">
        <v>2708</v>
      </c>
    </row>
    <row r="127" spans="1:1" ht="29" x14ac:dyDescent="0.35">
      <c r="A127" s="16" t="s">
        <v>2709</v>
      </c>
    </row>
    <row r="128" spans="1:1" ht="29" x14ac:dyDescent="0.35">
      <c r="A128" s="16" t="s">
        <v>2710</v>
      </c>
    </row>
    <row r="129" spans="1:1" ht="29" x14ac:dyDescent="0.35">
      <c r="A129" s="16" t="s">
        <v>2711</v>
      </c>
    </row>
    <row r="130" spans="1:1" x14ac:dyDescent="0.35">
      <c r="A130" s="16" t="s">
        <v>2712</v>
      </c>
    </row>
    <row r="131" spans="1:1" x14ac:dyDescent="0.35">
      <c r="A131" s="16" t="s">
        <v>2713</v>
      </c>
    </row>
    <row r="132" spans="1:1" x14ac:dyDescent="0.35">
      <c r="A132" s="16" t="s">
        <v>2714</v>
      </c>
    </row>
    <row r="133" spans="1:1" ht="29" x14ac:dyDescent="0.35">
      <c r="A133" s="16" t="s">
        <v>2715</v>
      </c>
    </row>
    <row r="134" spans="1:1" x14ac:dyDescent="0.35">
      <c r="A134" s="16" t="s">
        <v>2716</v>
      </c>
    </row>
    <row r="135" spans="1:1" x14ac:dyDescent="0.35">
      <c r="A135" s="16" t="s">
        <v>2717</v>
      </c>
    </row>
    <row r="136" spans="1:1" x14ac:dyDescent="0.35">
      <c r="A136" s="16" t="s">
        <v>2718</v>
      </c>
    </row>
    <row r="137" spans="1:1" x14ac:dyDescent="0.35">
      <c r="A137" s="16" t="s">
        <v>2719</v>
      </c>
    </row>
    <row r="138" spans="1:1" x14ac:dyDescent="0.35">
      <c r="A138" s="16" t="s">
        <v>2720</v>
      </c>
    </row>
    <row r="139" spans="1:1" ht="29" x14ac:dyDescent="0.35">
      <c r="A139" s="16" t="s">
        <v>2721</v>
      </c>
    </row>
    <row r="140" spans="1:1" x14ac:dyDescent="0.35">
      <c r="A140" s="16" t="s">
        <v>2722</v>
      </c>
    </row>
    <row r="141" spans="1:1" ht="29" x14ac:dyDescent="0.35">
      <c r="A141" s="16" t="s">
        <v>2723</v>
      </c>
    </row>
    <row r="142" spans="1:1" x14ac:dyDescent="0.35">
      <c r="A142" s="16" t="s">
        <v>2724</v>
      </c>
    </row>
    <row r="143" spans="1:1" x14ac:dyDescent="0.35">
      <c r="A143" s="16" t="s">
        <v>2725</v>
      </c>
    </row>
    <row r="144" spans="1:1" ht="29" x14ac:dyDescent="0.35">
      <c r="A144" s="16" t="s">
        <v>2726</v>
      </c>
    </row>
    <row r="145" spans="1:1" x14ac:dyDescent="0.35">
      <c r="A145" s="16" t="s">
        <v>2727</v>
      </c>
    </row>
    <row r="146" spans="1:1" x14ac:dyDescent="0.35">
      <c r="A146" s="16" t="s">
        <v>2728</v>
      </c>
    </row>
    <row r="147" spans="1:1" x14ac:dyDescent="0.35">
      <c r="A147" s="16" t="s">
        <v>2729</v>
      </c>
    </row>
    <row r="148" spans="1:1" ht="29" x14ac:dyDescent="0.35">
      <c r="A148" s="16" t="s">
        <v>2730</v>
      </c>
    </row>
    <row r="149" spans="1:1" ht="29" x14ac:dyDescent="0.35">
      <c r="A149" s="16" t="s">
        <v>2731</v>
      </c>
    </row>
    <row r="150" spans="1:1" ht="29" x14ac:dyDescent="0.35">
      <c r="A150" s="16" t="s">
        <v>2732</v>
      </c>
    </row>
    <row r="151" spans="1:1" x14ac:dyDescent="0.35">
      <c r="A151" s="16" t="s">
        <v>2733</v>
      </c>
    </row>
    <row r="152" spans="1:1" ht="29" x14ac:dyDescent="0.35">
      <c r="A152" s="16" t="s">
        <v>2734</v>
      </c>
    </row>
    <row r="153" spans="1:1" x14ac:dyDescent="0.35">
      <c r="A153" s="16" t="s">
        <v>2735</v>
      </c>
    </row>
    <row r="154" spans="1:1" ht="29" x14ac:dyDescent="0.35">
      <c r="A154" s="16" t="s">
        <v>2736</v>
      </c>
    </row>
    <row r="155" spans="1:1" x14ac:dyDescent="0.35">
      <c r="A155" s="16" t="s">
        <v>2737</v>
      </c>
    </row>
    <row r="156" spans="1:1" ht="29" x14ac:dyDescent="0.35">
      <c r="A156" s="16" t="s">
        <v>2738</v>
      </c>
    </row>
    <row r="157" spans="1:1" x14ac:dyDescent="0.35">
      <c r="A157" s="16" t="s">
        <v>2739</v>
      </c>
    </row>
    <row r="158" spans="1:1" ht="29" x14ac:dyDescent="0.35">
      <c r="A158" s="16" t="s">
        <v>2740</v>
      </c>
    </row>
    <row r="159" spans="1:1" ht="29" x14ac:dyDescent="0.35">
      <c r="A159" s="16" t="s">
        <v>2741</v>
      </c>
    </row>
    <row r="160" spans="1:1" x14ac:dyDescent="0.35">
      <c r="A160" s="16" t="s">
        <v>2742</v>
      </c>
    </row>
    <row r="161" spans="1:1" x14ac:dyDescent="0.35">
      <c r="A161" s="16" t="s">
        <v>2743</v>
      </c>
    </row>
    <row r="162" spans="1:1" x14ac:dyDescent="0.35">
      <c r="A162" s="16" t="s">
        <v>2744</v>
      </c>
    </row>
    <row r="163" spans="1:1" x14ac:dyDescent="0.35">
      <c r="A163" s="16" t="s">
        <v>2745</v>
      </c>
    </row>
    <row r="164" spans="1:1" x14ac:dyDescent="0.35">
      <c r="A164" s="16" t="s">
        <v>2746</v>
      </c>
    </row>
    <row r="165" spans="1:1" x14ac:dyDescent="0.35">
      <c r="A165" s="16" t="s">
        <v>2747</v>
      </c>
    </row>
    <row r="166" spans="1:1" x14ac:dyDescent="0.35">
      <c r="A166" s="16" t="s">
        <v>2748</v>
      </c>
    </row>
    <row r="167" spans="1:1" ht="29" x14ac:dyDescent="0.35">
      <c r="A167" s="16" t="s">
        <v>2749</v>
      </c>
    </row>
    <row r="168" spans="1:1" ht="29" x14ac:dyDescent="0.35">
      <c r="A168" s="16" t="s">
        <v>2750</v>
      </c>
    </row>
    <row r="169" spans="1:1" x14ac:dyDescent="0.35">
      <c r="A169" s="16" t="s">
        <v>2751</v>
      </c>
    </row>
    <row r="170" spans="1:1" x14ac:dyDescent="0.35">
      <c r="A170" s="16" t="s">
        <v>2752</v>
      </c>
    </row>
    <row r="171" spans="1:1" x14ac:dyDescent="0.35">
      <c r="A171" s="16" t="s">
        <v>2753</v>
      </c>
    </row>
    <row r="172" spans="1:1" x14ac:dyDescent="0.35">
      <c r="A172" s="16" t="s">
        <v>2754</v>
      </c>
    </row>
    <row r="173" spans="1:1" x14ac:dyDescent="0.35">
      <c r="A173" s="16" t="s">
        <v>2755</v>
      </c>
    </row>
    <row r="174" spans="1:1" ht="29" x14ac:dyDescent="0.35">
      <c r="A174" s="16" t="s">
        <v>2756</v>
      </c>
    </row>
    <row r="175" spans="1:1" x14ac:dyDescent="0.35">
      <c r="A175" s="16" t="s">
        <v>2757</v>
      </c>
    </row>
    <row r="176" spans="1:1" ht="29" x14ac:dyDescent="0.35">
      <c r="A176" s="16" t="s">
        <v>2758</v>
      </c>
    </row>
    <row r="177" spans="1:1" x14ac:dyDescent="0.35">
      <c r="A177" s="16" t="s">
        <v>2759</v>
      </c>
    </row>
    <row r="178" spans="1:1" x14ac:dyDescent="0.35">
      <c r="A178" s="16" t="s">
        <v>2760</v>
      </c>
    </row>
    <row r="179" spans="1:1" x14ac:dyDescent="0.35">
      <c r="A179" s="16" t="s">
        <v>2761</v>
      </c>
    </row>
    <row r="180" spans="1:1" x14ac:dyDescent="0.35">
      <c r="A180" s="16" t="s">
        <v>2762</v>
      </c>
    </row>
    <row r="181" spans="1:1" ht="29" x14ac:dyDescent="0.35">
      <c r="A181" s="16" t="s">
        <v>2763</v>
      </c>
    </row>
    <row r="182" spans="1:1" x14ac:dyDescent="0.35">
      <c r="A182" s="16" t="s">
        <v>2764</v>
      </c>
    </row>
    <row r="183" spans="1:1" x14ac:dyDescent="0.35">
      <c r="A183" s="16" t="s">
        <v>2765</v>
      </c>
    </row>
    <row r="184" spans="1:1" ht="29" x14ac:dyDescent="0.35">
      <c r="A184" s="16" t="s">
        <v>2766</v>
      </c>
    </row>
    <row r="185" spans="1:1" x14ac:dyDescent="0.35">
      <c r="A185" s="16" t="s">
        <v>2767</v>
      </c>
    </row>
    <row r="186" spans="1:1" ht="29" x14ac:dyDescent="0.35">
      <c r="A186" s="16" t="s">
        <v>2768</v>
      </c>
    </row>
    <row r="187" spans="1:1" ht="29" x14ac:dyDescent="0.35">
      <c r="A187" s="16" t="s">
        <v>2769</v>
      </c>
    </row>
    <row r="188" spans="1:1" ht="29" x14ac:dyDescent="0.35">
      <c r="A188" s="16" t="s">
        <v>2770</v>
      </c>
    </row>
    <row r="189" spans="1:1" x14ac:dyDescent="0.35">
      <c r="A189" s="16" t="s">
        <v>2771</v>
      </c>
    </row>
    <row r="190" spans="1:1" ht="29" x14ac:dyDescent="0.35">
      <c r="A190" s="16" t="s">
        <v>2772</v>
      </c>
    </row>
    <row r="191" spans="1:1" x14ac:dyDescent="0.35">
      <c r="A191" s="16" t="s">
        <v>2773</v>
      </c>
    </row>
    <row r="192" spans="1:1" x14ac:dyDescent="0.35">
      <c r="A192" s="16" t="s">
        <v>2774</v>
      </c>
    </row>
    <row r="193" spans="1:1" x14ac:dyDescent="0.35">
      <c r="A193" s="16" t="s">
        <v>2775</v>
      </c>
    </row>
    <row r="194" spans="1:1" ht="29" x14ac:dyDescent="0.35">
      <c r="A194" s="16" t="s">
        <v>2776</v>
      </c>
    </row>
    <row r="195" spans="1:1" x14ac:dyDescent="0.35">
      <c r="A195" s="16" t="s">
        <v>2777</v>
      </c>
    </row>
    <row r="196" spans="1:1" x14ac:dyDescent="0.35">
      <c r="A196" s="16" t="s">
        <v>2778</v>
      </c>
    </row>
    <row r="197" spans="1:1" ht="29" x14ac:dyDescent="0.35">
      <c r="A197" s="16" t="s">
        <v>2779</v>
      </c>
    </row>
    <row r="198" spans="1:1" ht="29" x14ac:dyDescent="0.35">
      <c r="A198" s="16" t="s">
        <v>2780</v>
      </c>
    </row>
    <row r="199" spans="1:1" x14ac:dyDescent="0.35">
      <c r="A199" s="16" t="s">
        <v>2781</v>
      </c>
    </row>
    <row r="200" spans="1:1" ht="29" x14ac:dyDescent="0.35">
      <c r="A200" s="16" t="s">
        <v>2782</v>
      </c>
    </row>
    <row r="201" spans="1:1" x14ac:dyDescent="0.35">
      <c r="A201" s="16" t="s">
        <v>2783</v>
      </c>
    </row>
    <row r="202" spans="1:1" x14ac:dyDescent="0.35">
      <c r="A202" s="16" t="s">
        <v>2784</v>
      </c>
    </row>
    <row r="203" spans="1:1" x14ac:dyDescent="0.35">
      <c r="A203" s="16" t="s">
        <v>2785</v>
      </c>
    </row>
    <row r="204" spans="1:1" ht="29" x14ac:dyDescent="0.35">
      <c r="A204" s="16" t="s">
        <v>2786</v>
      </c>
    </row>
    <row r="205" spans="1:1" ht="29" x14ac:dyDescent="0.35">
      <c r="A205" s="16" t="s">
        <v>2787</v>
      </c>
    </row>
    <row r="206" spans="1:1" x14ac:dyDescent="0.35">
      <c r="A206" s="16" t="s">
        <v>2788</v>
      </c>
    </row>
    <row r="207" spans="1:1" x14ac:dyDescent="0.35">
      <c r="A207" s="16" t="s">
        <v>2789</v>
      </c>
    </row>
    <row r="208" spans="1:1" x14ac:dyDescent="0.35">
      <c r="A208" s="16" t="s">
        <v>2790</v>
      </c>
    </row>
    <row r="209" spans="1:1" ht="29" x14ac:dyDescent="0.35">
      <c r="A209" s="16" t="s">
        <v>2791</v>
      </c>
    </row>
    <row r="210" spans="1:1" x14ac:dyDescent="0.35">
      <c r="A210" s="16" t="s">
        <v>2792</v>
      </c>
    </row>
    <row r="211" spans="1:1" ht="29" x14ac:dyDescent="0.35">
      <c r="A211" s="16" t="s">
        <v>2793</v>
      </c>
    </row>
    <row r="212" spans="1:1" x14ac:dyDescent="0.35">
      <c r="A212" s="16" t="s">
        <v>2794</v>
      </c>
    </row>
    <row r="213" spans="1:1" x14ac:dyDescent="0.35">
      <c r="A213" s="16" t="s">
        <v>2795</v>
      </c>
    </row>
    <row r="214" spans="1:1" ht="29" x14ac:dyDescent="0.35">
      <c r="A214" s="16" t="s">
        <v>2796</v>
      </c>
    </row>
    <row r="215" spans="1:1" x14ac:dyDescent="0.35">
      <c r="A215" s="16" t="s">
        <v>2797</v>
      </c>
    </row>
    <row r="216" spans="1:1" x14ac:dyDescent="0.35">
      <c r="A216" s="16" t="s">
        <v>2798</v>
      </c>
    </row>
    <row r="217" spans="1:1" x14ac:dyDescent="0.35">
      <c r="A217" s="16" t="s">
        <v>2799</v>
      </c>
    </row>
    <row r="218" spans="1:1" x14ac:dyDescent="0.35">
      <c r="A218" s="16" t="s">
        <v>2800</v>
      </c>
    </row>
    <row r="219" spans="1:1" ht="29" x14ac:dyDescent="0.35">
      <c r="A219" s="16" t="s">
        <v>2801</v>
      </c>
    </row>
    <row r="220" spans="1:1" x14ac:dyDescent="0.35">
      <c r="A220" s="16" t="s">
        <v>2802</v>
      </c>
    </row>
    <row r="221" spans="1:1" x14ac:dyDescent="0.35">
      <c r="A221" s="16" t="s">
        <v>2803</v>
      </c>
    </row>
    <row r="222" spans="1:1" x14ac:dyDescent="0.35">
      <c r="A222" s="16" t="s">
        <v>2804</v>
      </c>
    </row>
    <row r="223" spans="1:1" ht="29" x14ac:dyDescent="0.35">
      <c r="A223" s="16" t="s">
        <v>2805</v>
      </c>
    </row>
    <row r="224" spans="1:1" x14ac:dyDescent="0.35">
      <c r="A224" s="16" t="s">
        <v>2806</v>
      </c>
    </row>
    <row r="225" spans="1:1" x14ac:dyDescent="0.35">
      <c r="A225" s="16" t="s">
        <v>2807</v>
      </c>
    </row>
    <row r="226" spans="1:1" x14ac:dyDescent="0.35">
      <c r="A226" s="16" t="s">
        <v>2808</v>
      </c>
    </row>
    <row r="227" spans="1:1" ht="29" x14ac:dyDescent="0.35">
      <c r="A227" s="16" t="s">
        <v>2809</v>
      </c>
    </row>
    <row r="228" spans="1:1" ht="29" x14ac:dyDescent="0.35">
      <c r="A228" s="16" t="s">
        <v>2810</v>
      </c>
    </row>
    <row r="229" spans="1:1" x14ac:dyDescent="0.35">
      <c r="A229" s="16" t="s">
        <v>2811</v>
      </c>
    </row>
    <row r="230" spans="1:1" x14ac:dyDescent="0.35">
      <c r="A230" s="16" t="s">
        <v>2812</v>
      </c>
    </row>
    <row r="231" spans="1:1" x14ac:dyDescent="0.35">
      <c r="A231" s="16" t="s">
        <v>2813</v>
      </c>
    </row>
    <row r="232" spans="1:1" x14ac:dyDescent="0.35">
      <c r="A232" s="16" t="s">
        <v>2814</v>
      </c>
    </row>
    <row r="233" spans="1:1" x14ac:dyDescent="0.35">
      <c r="A233" s="16" t="s">
        <v>2815</v>
      </c>
    </row>
    <row r="234" spans="1:1" x14ac:dyDescent="0.35">
      <c r="A234" s="16" t="s">
        <v>2816</v>
      </c>
    </row>
    <row r="235" spans="1:1" x14ac:dyDescent="0.35">
      <c r="A235" s="16" t="s">
        <v>2817</v>
      </c>
    </row>
    <row r="236" spans="1:1" x14ac:dyDescent="0.35">
      <c r="A236" s="16" t="s">
        <v>2818</v>
      </c>
    </row>
    <row r="237" spans="1:1" ht="29" x14ac:dyDescent="0.35">
      <c r="A237" s="16" t="s">
        <v>2819</v>
      </c>
    </row>
    <row r="238" spans="1:1" ht="29" x14ac:dyDescent="0.35">
      <c r="A238" s="16" t="s">
        <v>2820</v>
      </c>
    </row>
    <row r="239" spans="1:1" ht="29" x14ac:dyDescent="0.35">
      <c r="A239" s="16" t="s">
        <v>2821</v>
      </c>
    </row>
    <row r="240" spans="1:1" ht="29" x14ac:dyDescent="0.35">
      <c r="A240" s="16" t="s">
        <v>2822</v>
      </c>
    </row>
    <row r="241" spans="1:1" ht="29" x14ac:dyDescent="0.35">
      <c r="A241" s="16" t="s">
        <v>2823</v>
      </c>
    </row>
    <row r="242" spans="1:1" ht="29" x14ac:dyDescent="0.35">
      <c r="A242" s="16" t="s">
        <v>2824</v>
      </c>
    </row>
    <row r="243" spans="1:1" x14ac:dyDescent="0.35">
      <c r="A243" s="16" t="s">
        <v>2825</v>
      </c>
    </row>
    <row r="244" spans="1:1" x14ac:dyDescent="0.35">
      <c r="A244" s="16" t="s">
        <v>2826</v>
      </c>
    </row>
    <row r="245" spans="1:1" ht="29" x14ac:dyDescent="0.35">
      <c r="A245" s="16" t="s">
        <v>2827</v>
      </c>
    </row>
    <row r="246" spans="1:1" x14ac:dyDescent="0.35">
      <c r="A246" s="16" t="s">
        <v>2828</v>
      </c>
    </row>
    <row r="247" spans="1:1" x14ac:dyDescent="0.35">
      <c r="A247" s="16" t="s">
        <v>2829</v>
      </c>
    </row>
    <row r="248" spans="1:1" x14ac:dyDescent="0.35">
      <c r="A248" s="16" t="s">
        <v>2830</v>
      </c>
    </row>
    <row r="249" spans="1:1" x14ac:dyDescent="0.35">
      <c r="A249" s="16" t="s">
        <v>2831</v>
      </c>
    </row>
    <row r="250" spans="1:1" x14ac:dyDescent="0.35">
      <c r="A250" s="16" t="s">
        <v>2832</v>
      </c>
    </row>
    <row r="251" spans="1:1" x14ac:dyDescent="0.35">
      <c r="A251" s="16" t="s">
        <v>2833</v>
      </c>
    </row>
    <row r="252" spans="1:1" x14ac:dyDescent="0.35">
      <c r="A252" s="16" t="s">
        <v>2834</v>
      </c>
    </row>
    <row r="253" spans="1:1" x14ac:dyDescent="0.35">
      <c r="A253" s="16" t="s">
        <v>2835</v>
      </c>
    </row>
    <row r="254" spans="1:1" x14ac:dyDescent="0.35">
      <c r="A254" s="16" t="s">
        <v>2836</v>
      </c>
    </row>
    <row r="255" spans="1:1" x14ac:dyDescent="0.35">
      <c r="A255" s="16" t="s">
        <v>2837</v>
      </c>
    </row>
    <row r="256" spans="1:1" x14ac:dyDescent="0.35">
      <c r="A256" s="16" t="s">
        <v>2838</v>
      </c>
    </row>
    <row r="257" spans="1:1" x14ac:dyDescent="0.35">
      <c r="A257" s="16" t="s">
        <v>2839</v>
      </c>
    </row>
    <row r="258" spans="1:1" x14ac:dyDescent="0.35">
      <c r="A258" s="16" t="s">
        <v>2840</v>
      </c>
    </row>
    <row r="259" spans="1:1" x14ac:dyDescent="0.35">
      <c r="A259" s="16" t="s">
        <v>2841</v>
      </c>
    </row>
    <row r="260" spans="1:1" x14ac:dyDescent="0.35">
      <c r="A260" s="16" t="s">
        <v>2842</v>
      </c>
    </row>
    <row r="261" spans="1:1" ht="29" x14ac:dyDescent="0.35">
      <c r="A261" s="16" t="s">
        <v>2843</v>
      </c>
    </row>
    <row r="262" spans="1:1" ht="29" x14ac:dyDescent="0.35">
      <c r="A262" s="16" t="s">
        <v>2844</v>
      </c>
    </row>
    <row r="263" spans="1:1" ht="29" x14ac:dyDescent="0.35">
      <c r="A263" s="16" t="s">
        <v>2845</v>
      </c>
    </row>
    <row r="264" spans="1:1" x14ac:dyDescent="0.35">
      <c r="A264" s="16" t="s">
        <v>2846</v>
      </c>
    </row>
    <row r="265" spans="1:1" x14ac:dyDescent="0.35">
      <c r="A265" s="16" t="s">
        <v>2847</v>
      </c>
    </row>
    <row r="266" spans="1:1" ht="29" x14ac:dyDescent="0.35">
      <c r="A266" s="16" t="s">
        <v>2848</v>
      </c>
    </row>
    <row r="267" spans="1:1" x14ac:dyDescent="0.35">
      <c r="A267" s="16" t="s">
        <v>2849</v>
      </c>
    </row>
    <row r="268" spans="1:1" x14ac:dyDescent="0.35">
      <c r="A268" s="16" t="s">
        <v>2850</v>
      </c>
    </row>
    <row r="269" spans="1:1" x14ac:dyDescent="0.35">
      <c r="A269" s="16" t="s">
        <v>2851</v>
      </c>
    </row>
    <row r="270" spans="1:1" x14ac:dyDescent="0.35">
      <c r="A270" s="16" t="s">
        <v>2852</v>
      </c>
    </row>
    <row r="271" spans="1:1" ht="29" x14ac:dyDescent="0.35">
      <c r="A271" s="16" t="s">
        <v>2853</v>
      </c>
    </row>
    <row r="272" spans="1:1" x14ac:dyDescent="0.35">
      <c r="A272" s="16" t="s">
        <v>2854</v>
      </c>
    </row>
    <row r="273" spans="1:1" ht="29" x14ac:dyDescent="0.35">
      <c r="A273" s="16" t="s">
        <v>2855</v>
      </c>
    </row>
    <row r="274" spans="1:1" ht="29" x14ac:dyDescent="0.35">
      <c r="A274" s="16" t="s">
        <v>2856</v>
      </c>
    </row>
    <row r="275" spans="1:1" x14ac:dyDescent="0.35">
      <c r="A275" s="16" t="s">
        <v>2857</v>
      </c>
    </row>
    <row r="276" spans="1:1" ht="29" x14ac:dyDescent="0.35">
      <c r="A276" s="16" t="s">
        <v>2858</v>
      </c>
    </row>
    <row r="277" spans="1:1" ht="29" x14ac:dyDescent="0.35">
      <c r="A277" s="16" t="s">
        <v>2859</v>
      </c>
    </row>
    <row r="278" spans="1:1" x14ac:dyDescent="0.35">
      <c r="A278" s="16" t="s">
        <v>2860</v>
      </c>
    </row>
    <row r="279" spans="1:1" x14ac:dyDescent="0.35">
      <c r="A279" s="16" t="s">
        <v>2861</v>
      </c>
    </row>
    <row r="280" spans="1:1" x14ac:dyDescent="0.35">
      <c r="A280" s="16" t="s">
        <v>2862</v>
      </c>
    </row>
    <row r="281" spans="1:1" ht="29" x14ac:dyDescent="0.35">
      <c r="A281" s="16" t="s">
        <v>2863</v>
      </c>
    </row>
    <row r="282" spans="1:1" ht="29" x14ac:dyDescent="0.35">
      <c r="A282" s="16" t="s">
        <v>2864</v>
      </c>
    </row>
    <row r="283" spans="1:1" ht="29" x14ac:dyDescent="0.35">
      <c r="A283" s="16" t="s">
        <v>2865</v>
      </c>
    </row>
    <row r="284" spans="1:1" ht="29" x14ac:dyDescent="0.35">
      <c r="A284" s="16" t="s">
        <v>2866</v>
      </c>
    </row>
    <row r="285" spans="1:1" ht="29" x14ac:dyDescent="0.35">
      <c r="A285" s="16" t="s">
        <v>2867</v>
      </c>
    </row>
    <row r="286" spans="1:1" ht="29" x14ac:dyDescent="0.35">
      <c r="A286" s="16" t="s">
        <v>2868</v>
      </c>
    </row>
    <row r="287" spans="1:1" ht="29" x14ac:dyDescent="0.35">
      <c r="A287" s="16" t="s">
        <v>2869</v>
      </c>
    </row>
    <row r="288" spans="1:1" ht="29" x14ac:dyDescent="0.35">
      <c r="A288" s="16" t="s">
        <v>2870</v>
      </c>
    </row>
    <row r="289" spans="1:1" ht="29" x14ac:dyDescent="0.35">
      <c r="A289" s="16" t="s">
        <v>2871</v>
      </c>
    </row>
    <row r="290" spans="1:1" ht="29" x14ac:dyDescent="0.35">
      <c r="A290" s="16" t="s">
        <v>2872</v>
      </c>
    </row>
    <row r="291" spans="1:1" ht="29" x14ac:dyDescent="0.35">
      <c r="A291" s="16" t="s">
        <v>2873</v>
      </c>
    </row>
    <row r="292" spans="1:1" ht="29" x14ac:dyDescent="0.35">
      <c r="A292" s="16" t="s">
        <v>2874</v>
      </c>
    </row>
    <row r="293" spans="1:1" ht="29" x14ac:dyDescent="0.35">
      <c r="A293" s="16" t="s">
        <v>2875</v>
      </c>
    </row>
    <row r="294" spans="1:1" ht="29" x14ac:dyDescent="0.35">
      <c r="A294" s="16" t="s">
        <v>2876</v>
      </c>
    </row>
    <row r="295" spans="1:1" ht="29" x14ac:dyDescent="0.35">
      <c r="A295" s="16" t="s">
        <v>2877</v>
      </c>
    </row>
    <row r="296" spans="1:1" ht="29" x14ac:dyDescent="0.35">
      <c r="A296" s="16" t="s">
        <v>2878</v>
      </c>
    </row>
    <row r="297" spans="1:1" x14ac:dyDescent="0.35">
      <c r="A297" s="16" t="s">
        <v>2879</v>
      </c>
    </row>
    <row r="298" spans="1:1" ht="29" x14ac:dyDescent="0.35">
      <c r="A298" s="16" t="s">
        <v>2880</v>
      </c>
    </row>
    <row r="299" spans="1:1" ht="29" x14ac:dyDescent="0.35">
      <c r="A299" s="16" t="s">
        <v>2881</v>
      </c>
    </row>
    <row r="300" spans="1:1" ht="29" x14ac:dyDescent="0.35">
      <c r="A300" s="16" t="s">
        <v>2882</v>
      </c>
    </row>
    <row r="301" spans="1:1" x14ac:dyDescent="0.35">
      <c r="A301" s="16" t="s">
        <v>2883</v>
      </c>
    </row>
    <row r="302" spans="1:1" ht="29" x14ac:dyDescent="0.35">
      <c r="A302" s="16" t="s">
        <v>2884</v>
      </c>
    </row>
    <row r="303" spans="1:1" ht="29" x14ac:dyDescent="0.35">
      <c r="A303" s="16" t="s">
        <v>2885</v>
      </c>
    </row>
    <row r="304" spans="1:1" ht="29" x14ac:dyDescent="0.35">
      <c r="A304" s="16" t="s">
        <v>2886</v>
      </c>
    </row>
    <row r="305" spans="1:1" x14ac:dyDescent="0.35">
      <c r="A305" s="16" t="s">
        <v>2887</v>
      </c>
    </row>
    <row r="306" spans="1:1" x14ac:dyDescent="0.35">
      <c r="A306" s="16" t="s">
        <v>2888</v>
      </c>
    </row>
    <row r="307" spans="1:1" x14ac:dyDescent="0.35">
      <c r="A307" s="16" t="s">
        <v>2889</v>
      </c>
    </row>
    <row r="308" spans="1:1" x14ac:dyDescent="0.35">
      <c r="A308" s="16" t="s">
        <v>2890</v>
      </c>
    </row>
    <row r="309" spans="1:1" x14ac:dyDescent="0.35">
      <c r="A309" s="16" t="s">
        <v>2891</v>
      </c>
    </row>
    <row r="310" spans="1:1" x14ac:dyDescent="0.35">
      <c r="A310" s="16" t="s">
        <v>2892</v>
      </c>
    </row>
    <row r="311" spans="1:1" ht="29" x14ac:dyDescent="0.35">
      <c r="A311" s="16" t="s">
        <v>2893</v>
      </c>
    </row>
    <row r="312" spans="1:1" ht="29" x14ac:dyDescent="0.35">
      <c r="A312" s="16" t="s">
        <v>2894</v>
      </c>
    </row>
    <row r="313" spans="1:1" ht="29" x14ac:dyDescent="0.35">
      <c r="A313" s="16" t="s">
        <v>2895</v>
      </c>
    </row>
    <row r="314" spans="1:1" ht="29" x14ac:dyDescent="0.35">
      <c r="A314" s="16" t="s">
        <v>2896</v>
      </c>
    </row>
    <row r="315" spans="1:1" x14ac:dyDescent="0.35">
      <c r="A315" s="16" t="s">
        <v>2897</v>
      </c>
    </row>
    <row r="316" spans="1:1" ht="29" x14ac:dyDescent="0.35">
      <c r="A316" s="16" t="s">
        <v>2898</v>
      </c>
    </row>
    <row r="317" spans="1:1" x14ac:dyDescent="0.35">
      <c r="A317" s="16" t="s">
        <v>2899</v>
      </c>
    </row>
    <row r="318" spans="1:1" x14ac:dyDescent="0.35">
      <c r="A318" s="16" t="s">
        <v>2900</v>
      </c>
    </row>
    <row r="319" spans="1:1" ht="29" x14ac:dyDescent="0.35">
      <c r="A319" s="16" t="s">
        <v>2901</v>
      </c>
    </row>
    <row r="320" spans="1:1" x14ac:dyDescent="0.35">
      <c r="A320" s="16" t="s">
        <v>2902</v>
      </c>
    </row>
    <row r="321" spans="1:1" ht="29" x14ac:dyDescent="0.35">
      <c r="A321" s="16" t="s">
        <v>2903</v>
      </c>
    </row>
    <row r="322" spans="1:1" x14ac:dyDescent="0.35">
      <c r="A322" s="16" t="s">
        <v>2904</v>
      </c>
    </row>
    <row r="323" spans="1:1" ht="29" x14ac:dyDescent="0.35">
      <c r="A323" s="16" t="s">
        <v>2905</v>
      </c>
    </row>
    <row r="324" spans="1:1" ht="29" x14ac:dyDescent="0.35">
      <c r="A324" s="16" t="s">
        <v>2906</v>
      </c>
    </row>
    <row r="325" spans="1:1" ht="29" x14ac:dyDescent="0.35">
      <c r="A325" s="16" t="s">
        <v>2907</v>
      </c>
    </row>
    <row r="326" spans="1:1" x14ac:dyDescent="0.35">
      <c r="A326" s="16" t="s">
        <v>2908</v>
      </c>
    </row>
    <row r="327" spans="1:1" x14ac:dyDescent="0.35">
      <c r="A327" s="16" t="s">
        <v>2909</v>
      </c>
    </row>
    <row r="328" spans="1:1" ht="29" x14ac:dyDescent="0.35">
      <c r="A328" s="16" t="s">
        <v>2910</v>
      </c>
    </row>
    <row r="329" spans="1:1" ht="29" x14ac:dyDescent="0.35">
      <c r="A329" s="16" t="s">
        <v>2911</v>
      </c>
    </row>
    <row r="330" spans="1:1" x14ac:dyDescent="0.35">
      <c r="A330" s="16" t="s">
        <v>2912</v>
      </c>
    </row>
    <row r="331" spans="1:1" x14ac:dyDescent="0.35">
      <c r="A331" s="16" t="s">
        <v>2913</v>
      </c>
    </row>
    <row r="332" spans="1:1" x14ac:dyDescent="0.35">
      <c r="A332" s="16" t="s">
        <v>2914</v>
      </c>
    </row>
    <row r="333" spans="1:1" x14ac:dyDescent="0.35">
      <c r="A333" s="16" t="s">
        <v>2915</v>
      </c>
    </row>
    <row r="334" spans="1:1" x14ac:dyDescent="0.35">
      <c r="A334" s="16" t="s">
        <v>2916</v>
      </c>
    </row>
    <row r="335" spans="1:1" x14ac:dyDescent="0.35">
      <c r="A335" s="16" t="s">
        <v>2917</v>
      </c>
    </row>
    <row r="336" spans="1:1" x14ac:dyDescent="0.35">
      <c r="A336" s="16" t="s">
        <v>2918</v>
      </c>
    </row>
    <row r="337" spans="1:1" x14ac:dyDescent="0.35">
      <c r="A337" s="16" t="s">
        <v>2919</v>
      </c>
    </row>
    <row r="338" spans="1:1" x14ac:dyDescent="0.35">
      <c r="A338" s="16" t="s">
        <v>2920</v>
      </c>
    </row>
    <row r="339" spans="1:1" ht="29" x14ac:dyDescent="0.35">
      <c r="A339" s="16" t="s">
        <v>2921</v>
      </c>
    </row>
    <row r="340" spans="1:1" ht="29" x14ac:dyDescent="0.35">
      <c r="A340" s="16" t="s">
        <v>2922</v>
      </c>
    </row>
    <row r="341" spans="1:1" x14ac:dyDescent="0.35">
      <c r="A341" s="16" t="s">
        <v>2923</v>
      </c>
    </row>
    <row r="342" spans="1:1" x14ac:dyDescent="0.35">
      <c r="A342" s="16" t="s">
        <v>2924</v>
      </c>
    </row>
    <row r="343" spans="1:1" x14ac:dyDescent="0.35">
      <c r="A343" s="16" t="s">
        <v>2925</v>
      </c>
    </row>
    <row r="344" spans="1:1" x14ac:dyDescent="0.35">
      <c r="A344" s="16" t="s">
        <v>2926</v>
      </c>
    </row>
    <row r="345" spans="1:1" ht="29" x14ac:dyDescent="0.35">
      <c r="A345" s="16" t="s">
        <v>2927</v>
      </c>
    </row>
    <row r="346" spans="1:1" ht="29" x14ac:dyDescent="0.35">
      <c r="A346" s="16" t="s">
        <v>2928</v>
      </c>
    </row>
    <row r="347" spans="1:1" ht="29" x14ac:dyDescent="0.35">
      <c r="A347" s="16" t="s">
        <v>2929</v>
      </c>
    </row>
    <row r="348" spans="1:1" x14ac:dyDescent="0.35">
      <c r="A348" s="16" t="s">
        <v>2930</v>
      </c>
    </row>
    <row r="349" spans="1:1" ht="29" x14ac:dyDescent="0.35">
      <c r="A349" s="16" t="s">
        <v>2931</v>
      </c>
    </row>
    <row r="350" spans="1:1" ht="29" x14ac:dyDescent="0.35">
      <c r="A350" s="16" t="s">
        <v>2932</v>
      </c>
    </row>
    <row r="351" spans="1:1" ht="29" x14ac:dyDescent="0.35">
      <c r="A351" s="16" t="s">
        <v>2933</v>
      </c>
    </row>
    <row r="352" spans="1:1" ht="29" x14ac:dyDescent="0.35">
      <c r="A352" s="16" t="s">
        <v>2934</v>
      </c>
    </row>
    <row r="353" spans="1:1" x14ac:dyDescent="0.35">
      <c r="A353" s="16" t="s">
        <v>2935</v>
      </c>
    </row>
    <row r="354" spans="1:1" x14ac:dyDescent="0.35">
      <c r="A354" s="16" t="s">
        <v>2936</v>
      </c>
    </row>
    <row r="355" spans="1:1" x14ac:dyDescent="0.35">
      <c r="A355" s="16" t="s">
        <v>2937</v>
      </c>
    </row>
    <row r="356" spans="1:1" ht="29" x14ac:dyDescent="0.35">
      <c r="A356" s="16" t="s">
        <v>2938</v>
      </c>
    </row>
    <row r="357" spans="1:1" ht="29" x14ac:dyDescent="0.35">
      <c r="A357" s="16" t="s">
        <v>2939</v>
      </c>
    </row>
    <row r="358" spans="1:1" ht="29" x14ac:dyDescent="0.35">
      <c r="A358" s="16" t="s">
        <v>2940</v>
      </c>
    </row>
    <row r="359" spans="1:1" x14ac:dyDescent="0.35">
      <c r="A359" s="16" t="s">
        <v>2941</v>
      </c>
    </row>
    <row r="360" spans="1:1" x14ac:dyDescent="0.35">
      <c r="A360" s="16" t="s">
        <v>2942</v>
      </c>
    </row>
    <row r="361" spans="1:1" x14ac:dyDescent="0.35">
      <c r="A361" s="16" t="s">
        <v>2943</v>
      </c>
    </row>
    <row r="362" spans="1:1" x14ac:dyDescent="0.35">
      <c r="A362" s="16" t="s">
        <v>2944</v>
      </c>
    </row>
    <row r="363" spans="1:1" ht="29" x14ac:dyDescent="0.35">
      <c r="A363" s="16" t="s">
        <v>2945</v>
      </c>
    </row>
    <row r="364" spans="1:1" ht="29" x14ac:dyDescent="0.35">
      <c r="A364" s="16" t="s">
        <v>2946</v>
      </c>
    </row>
    <row r="365" spans="1:1" x14ac:dyDescent="0.35">
      <c r="A365" s="16" t="s">
        <v>2947</v>
      </c>
    </row>
    <row r="366" spans="1:1" x14ac:dyDescent="0.35">
      <c r="A366" s="16" t="s">
        <v>2948</v>
      </c>
    </row>
    <row r="367" spans="1:1" x14ac:dyDescent="0.35">
      <c r="A367" s="16" t="s">
        <v>2949</v>
      </c>
    </row>
    <row r="368" spans="1:1" ht="29" x14ac:dyDescent="0.35">
      <c r="A368" s="16" t="s">
        <v>2950</v>
      </c>
    </row>
    <row r="369" spans="1:1" x14ac:dyDescent="0.35">
      <c r="A369" s="16" t="s">
        <v>2951</v>
      </c>
    </row>
    <row r="370" spans="1:1" x14ac:dyDescent="0.35">
      <c r="A370" s="16" t="s">
        <v>2952</v>
      </c>
    </row>
    <row r="371" spans="1:1" ht="29" x14ac:dyDescent="0.35">
      <c r="A371" s="16" t="s">
        <v>2953</v>
      </c>
    </row>
    <row r="372" spans="1:1" ht="29" x14ac:dyDescent="0.35">
      <c r="A372" s="16" t="s">
        <v>2954</v>
      </c>
    </row>
    <row r="373" spans="1:1" ht="29" x14ac:dyDescent="0.35">
      <c r="A373" s="16" t="s">
        <v>2955</v>
      </c>
    </row>
    <row r="374" spans="1:1" x14ac:dyDescent="0.35">
      <c r="A374" s="16" t="s">
        <v>2956</v>
      </c>
    </row>
    <row r="375" spans="1:1" ht="29" x14ac:dyDescent="0.35">
      <c r="A375" s="16" t="s">
        <v>2957</v>
      </c>
    </row>
    <row r="376" spans="1:1" ht="29" x14ac:dyDescent="0.35">
      <c r="A376" s="16" t="s">
        <v>2958</v>
      </c>
    </row>
    <row r="377" spans="1:1" x14ac:dyDescent="0.35">
      <c r="A377" s="16" t="s">
        <v>2959</v>
      </c>
    </row>
    <row r="378" spans="1:1" x14ac:dyDescent="0.35">
      <c r="A378" s="16" t="s">
        <v>2960</v>
      </c>
    </row>
    <row r="379" spans="1:1" ht="29" x14ac:dyDescent="0.35">
      <c r="A379" s="16" t="s">
        <v>2961</v>
      </c>
    </row>
    <row r="380" spans="1:1" ht="29" x14ac:dyDescent="0.35">
      <c r="A380" s="16" t="s">
        <v>2962</v>
      </c>
    </row>
    <row r="381" spans="1:1" x14ac:dyDescent="0.35">
      <c r="A381" s="16" t="s">
        <v>2963</v>
      </c>
    </row>
    <row r="382" spans="1:1" ht="29" x14ac:dyDescent="0.35">
      <c r="A382" s="16" t="s">
        <v>2964</v>
      </c>
    </row>
    <row r="383" spans="1:1" ht="29" x14ac:dyDescent="0.35">
      <c r="A383" s="16" t="s">
        <v>2965</v>
      </c>
    </row>
    <row r="384" spans="1:1" ht="29" x14ac:dyDescent="0.35">
      <c r="A384" s="16" t="s">
        <v>2966</v>
      </c>
    </row>
    <row r="385" spans="1:1" ht="29" x14ac:dyDescent="0.35">
      <c r="A385" s="16" t="s">
        <v>2967</v>
      </c>
    </row>
    <row r="386" spans="1:1" ht="29" x14ac:dyDescent="0.35">
      <c r="A386" s="16" t="s">
        <v>2968</v>
      </c>
    </row>
    <row r="387" spans="1:1" ht="29" x14ac:dyDescent="0.35">
      <c r="A387" s="16" t="s">
        <v>2969</v>
      </c>
    </row>
    <row r="388" spans="1:1" x14ac:dyDescent="0.35">
      <c r="A388" s="16" t="s">
        <v>2970</v>
      </c>
    </row>
    <row r="389" spans="1:1" ht="29" x14ac:dyDescent="0.35">
      <c r="A389" s="16" t="s">
        <v>2971</v>
      </c>
    </row>
    <row r="390" spans="1:1" x14ac:dyDescent="0.35">
      <c r="A390" s="16" t="s">
        <v>2972</v>
      </c>
    </row>
    <row r="391" spans="1:1" ht="29" x14ac:dyDescent="0.35">
      <c r="A391" s="16" t="s">
        <v>2973</v>
      </c>
    </row>
    <row r="392" spans="1:1" ht="29" x14ac:dyDescent="0.35">
      <c r="A392" s="16" t="s">
        <v>2974</v>
      </c>
    </row>
    <row r="393" spans="1:1" ht="29" x14ac:dyDescent="0.35">
      <c r="A393" s="16" t="s">
        <v>2975</v>
      </c>
    </row>
    <row r="394" spans="1:1" ht="29" x14ac:dyDescent="0.35">
      <c r="A394" s="16" t="s">
        <v>2976</v>
      </c>
    </row>
    <row r="395" spans="1:1" ht="29" x14ac:dyDescent="0.35">
      <c r="A395" s="16" t="s">
        <v>2977</v>
      </c>
    </row>
    <row r="396" spans="1:1" ht="29" x14ac:dyDescent="0.35">
      <c r="A396" s="16" t="s">
        <v>2978</v>
      </c>
    </row>
    <row r="397" spans="1:1" ht="29" x14ac:dyDescent="0.35">
      <c r="A397" s="16" t="s">
        <v>2979</v>
      </c>
    </row>
    <row r="398" spans="1:1" ht="29" x14ac:dyDescent="0.35">
      <c r="A398" s="16" t="s">
        <v>2980</v>
      </c>
    </row>
    <row r="399" spans="1:1" x14ac:dyDescent="0.35">
      <c r="A399" s="16" t="s">
        <v>2981</v>
      </c>
    </row>
    <row r="400" spans="1:1" x14ac:dyDescent="0.35">
      <c r="A400" s="16" t="s">
        <v>2982</v>
      </c>
    </row>
    <row r="401" spans="1:1" x14ac:dyDescent="0.35">
      <c r="A401" s="16" t="s">
        <v>2983</v>
      </c>
    </row>
    <row r="402" spans="1:1" x14ac:dyDescent="0.35">
      <c r="A402" s="16" t="s">
        <v>2984</v>
      </c>
    </row>
    <row r="403" spans="1:1" x14ac:dyDescent="0.35">
      <c r="A403" s="16" t="s">
        <v>2985</v>
      </c>
    </row>
    <row r="404" spans="1:1" ht="29" x14ac:dyDescent="0.35">
      <c r="A404" s="16" t="s">
        <v>2986</v>
      </c>
    </row>
    <row r="405" spans="1:1" x14ac:dyDescent="0.35">
      <c r="A405" s="16" t="s">
        <v>2987</v>
      </c>
    </row>
    <row r="406" spans="1:1" x14ac:dyDescent="0.35">
      <c r="A406" s="16" t="s">
        <v>2988</v>
      </c>
    </row>
    <row r="407" spans="1:1" x14ac:dyDescent="0.35">
      <c r="A407" s="16" t="s">
        <v>2989</v>
      </c>
    </row>
    <row r="408" spans="1:1" x14ac:dyDescent="0.35">
      <c r="A408" s="16" t="s">
        <v>2990</v>
      </c>
    </row>
    <row r="409" spans="1:1" ht="29" x14ac:dyDescent="0.35">
      <c r="A409" s="16" t="s">
        <v>2991</v>
      </c>
    </row>
    <row r="410" spans="1:1" x14ac:dyDescent="0.35">
      <c r="A410" s="16" t="s">
        <v>2992</v>
      </c>
    </row>
    <row r="411" spans="1:1" ht="29" x14ac:dyDescent="0.35">
      <c r="A411" s="16" t="s">
        <v>2993</v>
      </c>
    </row>
    <row r="412" spans="1:1" x14ac:dyDescent="0.35">
      <c r="A412" s="16" t="s">
        <v>2994</v>
      </c>
    </row>
    <row r="413" spans="1:1" x14ac:dyDescent="0.35">
      <c r="A413" s="16" t="s">
        <v>2995</v>
      </c>
    </row>
    <row r="414" spans="1:1" x14ac:dyDescent="0.35">
      <c r="A414" s="16" t="s">
        <v>2996</v>
      </c>
    </row>
    <row r="415" spans="1:1" ht="29" x14ac:dyDescent="0.35">
      <c r="A415" s="16" t="s">
        <v>2997</v>
      </c>
    </row>
    <row r="416" spans="1:1" x14ac:dyDescent="0.35">
      <c r="A416" s="16" t="s">
        <v>2998</v>
      </c>
    </row>
    <row r="417" spans="1:1" ht="29" x14ac:dyDescent="0.35">
      <c r="A417" s="16" t="s">
        <v>2999</v>
      </c>
    </row>
    <row r="418" spans="1:1" ht="29" x14ac:dyDescent="0.35">
      <c r="A418" s="16" t="s">
        <v>3000</v>
      </c>
    </row>
    <row r="419" spans="1:1" ht="29" x14ac:dyDescent="0.35">
      <c r="A419" s="16" t="s">
        <v>3001</v>
      </c>
    </row>
    <row r="420" spans="1:1" x14ac:dyDescent="0.35">
      <c r="A420" s="16" t="s">
        <v>3002</v>
      </c>
    </row>
    <row r="421" spans="1:1" x14ac:dyDescent="0.35">
      <c r="A421" s="16" t="s">
        <v>3003</v>
      </c>
    </row>
    <row r="422" spans="1:1" ht="29" x14ac:dyDescent="0.35">
      <c r="A422" s="16" t="s">
        <v>3004</v>
      </c>
    </row>
    <row r="423" spans="1:1" ht="43.5" x14ac:dyDescent="0.35">
      <c r="A423" s="16" t="s">
        <v>3005</v>
      </c>
    </row>
    <row r="424" spans="1:1" ht="29" x14ac:dyDescent="0.35">
      <c r="A424" s="16" t="s">
        <v>3006</v>
      </c>
    </row>
    <row r="425" spans="1:1" ht="29" x14ac:dyDescent="0.35">
      <c r="A425" s="16" t="s">
        <v>3007</v>
      </c>
    </row>
    <row r="426" spans="1:1" ht="29" x14ac:dyDescent="0.35">
      <c r="A426" s="16" t="s">
        <v>3008</v>
      </c>
    </row>
    <row r="427" spans="1:1" x14ac:dyDescent="0.35">
      <c r="A427" s="16" t="s">
        <v>3009</v>
      </c>
    </row>
    <row r="428" spans="1:1" ht="29" x14ac:dyDescent="0.35">
      <c r="A428" s="16" t="s">
        <v>3010</v>
      </c>
    </row>
    <row r="429" spans="1:1" ht="29" x14ac:dyDescent="0.35">
      <c r="A429" s="16" t="s">
        <v>3011</v>
      </c>
    </row>
    <row r="430" spans="1:1" ht="29" x14ac:dyDescent="0.35">
      <c r="A430" s="16" t="s">
        <v>3012</v>
      </c>
    </row>
    <row r="431" spans="1:1" ht="29" x14ac:dyDescent="0.35">
      <c r="A431" s="16" t="s">
        <v>3013</v>
      </c>
    </row>
    <row r="432" spans="1:1" ht="29" x14ac:dyDescent="0.35">
      <c r="A432" s="16" t="s">
        <v>3014</v>
      </c>
    </row>
    <row r="433" spans="1:1" ht="29" x14ac:dyDescent="0.35">
      <c r="A433" s="16" t="s">
        <v>3015</v>
      </c>
    </row>
    <row r="434" spans="1:1" ht="29" x14ac:dyDescent="0.35">
      <c r="A434" s="16" t="s">
        <v>3016</v>
      </c>
    </row>
    <row r="435" spans="1:1" x14ac:dyDescent="0.35">
      <c r="A435" s="16" t="s">
        <v>3017</v>
      </c>
    </row>
    <row r="436" spans="1:1" x14ac:dyDescent="0.35">
      <c r="A436" s="16" t="s">
        <v>3018</v>
      </c>
    </row>
    <row r="437" spans="1:1" x14ac:dyDescent="0.35">
      <c r="A437" s="16" t="s">
        <v>3019</v>
      </c>
    </row>
    <row r="438" spans="1:1" ht="29" x14ac:dyDescent="0.35">
      <c r="A438" s="16" t="s">
        <v>3020</v>
      </c>
    </row>
    <row r="439" spans="1:1" ht="29" x14ac:dyDescent="0.35">
      <c r="A439" s="16" t="s">
        <v>3021</v>
      </c>
    </row>
    <row r="440" spans="1:1" ht="29" x14ac:dyDescent="0.35">
      <c r="A440" s="16" t="s">
        <v>3022</v>
      </c>
    </row>
    <row r="441" spans="1:1" ht="29" x14ac:dyDescent="0.35">
      <c r="A441" s="16" t="s">
        <v>3023</v>
      </c>
    </row>
    <row r="442" spans="1:1" x14ac:dyDescent="0.35">
      <c r="A442" s="16" t="s">
        <v>3024</v>
      </c>
    </row>
    <row r="443" spans="1:1" x14ac:dyDescent="0.35">
      <c r="A443" s="16" t="s">
        <v>3025</v>
      </c>
    </row>
    <row r="444" spans="1:1" x14ac:dyDescent="0.35">
      <c r="A444" s="16" t="s">
        <v>3026</v>
      </c>
    </row>
    <row r="445" spans="1:1" x14ac:dyDescent="0.35">
      <c r="A445" s="16" t="s">
        <v>3027</v>
      </c>
    </row>
    <row r="446" spans="1:1" x14ac:dyDescent="0.35">
      <c r="A446" s="16" t="s">
        <v>3028</v>
      </c>
    </row>
    <row r="447" spans="1:1" x14ac:dyDescent="0.35">
      <c r="A447" s="16" t="s">
        <v>3029</v>
      </c>
    </row>
    <row r="448" spans="1:1" x14ac:dyDescent="0.35">
      <c r="A448" s="16" t="s">
        <v>3030</v>
      </c>
    </row>
    <row r="449" spans="1:1" ht="29" x14ac:dyDescent="0.35">
      <c r="A449" s="16" t="s">
        <v>3031</v>
      </c>
    </row>
    <row r="450" spans="1:1" ht="29" x14ac:dyDescent="0.35">
      <c r="A450" s="16" t="s">
        <v>3032</v>
      </c>
    </row>
    <row r="451" spans="1:1" ht="29" x14ac:dyDescent="0.35">
      <c r="A451" s="16" t="s">
        <v>3033</v>
      </c>
    </row>
    <row r="452" spans="1:1" x14ac:dyDescent="0.35">
      <c r="A452" s="16" t="s">
        <v>3034</v>
      </c>
    </row>
    <row r="453" spans="1:1" x14ac:dyDescent="0.35">
      <c r="A453" s="16" t="s">
        <v>3035</v>
      </c>
    </row>
    <row r="454" spans="1:1" x14ac:dyDescent="0.35">
      <c r="A454" s="16" t="s">
        <v>3036</v>
      </c>
    </row>
    <row r="455" spans="1:1" ht="29" x14ac:dyDescent="0.35">
      <c r="A455" s="16" t="s">
        <v>3037</v>
      </c>
    </row>
    <row r="456" spans="1:1" ht="29" x14ac:dyDescent="0.35">
      <c r="A456" s="16" t="s">
        <v>3038</v>
      </c>
    </row>
    <row r="457" spans="1:1" ht="29" x14ac:dyDescent="0.35">
      <c r="A457" s="16" t="s">
        <v>3039</v>
      </c>
    </row>
    <row r="458" spans="1:1" ht="29" x14ac:dyDescent="0.35">
      <c r="A458" s="16" t="s">
        <v>3040</v>
      </c>
    </row>
    <row r="459" spans="1:1" ht="29" x14ac:dyDescent="0.35">
      <c r="A459" s="16" t="s">
        <v>3041</v>
      </c>
    </row>
    <row r="460" spans="1:1" ht="29" x14ac:dyDescent="0.35">
      <c r="A460" s="16" t="s">
        <v>3042</v>
      </c>
    </row>
    <row r="461" spans="1:1" x14ac:dyDescent="0.35">
      <c r="A461" s="16" t="s">
        <v>3043</v>
      </c>
    </row>
    <row r="462" spans="1:1" x14ac:dyDescent="0.35">
      <c r="A462" s="16" t="s">
        <v>3044</v>
      </c>
    </row>
    <row r="463" spans="1:1" ht="29" x14ac:dyDescent="0.35">
      <c r="A463" s="16" t="s">
        <v>3045</v>
      </c>
    </row>
    <row r="464" spans="1:1" x14ac:dyDescent="0.35">
      <c r="A464" s="16" t="s">
        <v>3046</v>
      </c>
    </row>
    <row r="465" spans="1:1" x14ac:dyDescent="0.35">
      <c r="A465" s="16" t="s">
        <v>3047</v>
      </c>
    </row>
    <row r="466" spans="1:1" x14ac:dyDescent="0.35">
      <c r="A466" s="16" t="s">
        <v>3048</v>
      </c>
    </row>
    <row r="467" spans="1:1" ht="29" x14ac:dyDescent="0.35">
      <c r="A467" s="16" t="s">
        <v>3049</v>
      </c>
    </row>
    <row r="468" spans="1:1" ht="29" x14ac:dyDescent="0.35">
      <c r="A468" s="16" t="s">
        <v>3050</v>
      </c>
    </row>
    <row r="469" spans="1:1" x14ac:dyDescent="0.35">
      <c r="A469" s="16" t="s">
        <v>3051</v>
      </c>
    </row>
    <row r="470" spans="1:1" x14ac:dyDescent="0.35">
      <c r="A470" s="16" t="s">
        <v>3052</v>
      </c>
    </row>
    <row r="471" spans="1:1" x14ac:dyDescent="0.35">
      <c r="A471" s="16" t="s">
        <v>3053</v>
      </c>
    </row>
    <row r="472" spans="1:1" ht="29" x14ac:dyDescent="0.35">
      <c r="A472" s="16" t="s">
        <v>3054</v>
      </c>
    </row>
    <row r="473" spans="1:1" ht="29" x14ac:dyDescent="0.35">
      <c r="A473" s="16" t="s">
        <v>3055</v>
      </c>
    </row>
    <row r="474" spans="1:1" ht="29" x14ac:dyDescent="0.35">
      <c r="A474" s="16" t="s">
        <v>3056</v>
      </c>
    </row>
    <row r="475" spans="1:1" x14ac:dyDescent="0.35">
      <c r="A475" s="16" t="s">
        <v>3057</v>
      </c>
    </row>
    <row r="476" spans="1:1" x14ac:dyDescent="0.35">
      <c r="A476" s="16" t="s">
        <v>3058</v>
      </c>
    </row>
    <row r="477" spans="1:1" x14ac:dyDescent="0.35">
      <c r="A477" s="16" t="s">
        <v>3059</v>
      </c>
    </row>
    <row r="478" spans="1:1" ht="29" x14ac:dyDescent="0.35">
      <c r="A478" s="16" t="s">
        <v>3060</v>
      </c>
    </row>
    <row r="479" spans="1:1" ht="29" x14ac:dyDescent="0.35">
      <c r="A479" s="16" t="s">
        <v>3061</v>
      </c>
    </row>
    <row r="480" spans="1:1" ht="29" x14ac:dyDescent="0.35">
      <c r="A480" s="16" t="s">
        <v>3062</v>
      </c>
    </row>
    <row r="481" spans="1:1" ht="29" x14ac:dyDescent="0.35">
      <c r="A481" s="16" t="s">
        <v>3063</v>
      </c>
    </row>
    <row r="482" spans="1:1" ht="29" x14ac:dyDescent="0.35">
      <c r="A482" s="16" t="s">
        <v>3064</v>
      </c>
    </row>
    <row r="483" spans="1:1" ht="29" x14ac:dyDescent="0.35">
      <c r="A483" s="16" t="s">
        <v>3065</v>
      </c>
    </row>
    <row r="484" spans="1:1" ht="29" x14ac:dyDescent="0.35">
      <c r="A484" s="16" t="s">
        <v>3066</v>
      </c>
    </row>
    <row r="485" spans="1:1" ht="29" x14ac:dyDescent="0.35">
      <c r="A485" s="16" t="s">
        <v>3067</v>
      </c>
    </row>
    <row r="486" spans="1:1" x14ac:dyDescent="0.35">
      <c r="A486" s="16" t="s">
        <v>3068</v>
      </c>
    </row>
    <row r="487" spans="1:1" ht="29" x14ac:dyDescent="0.35">
      <c r="A487" s="16" t="s">
        <v>3069</v>
      </c>
    </row>
    <row r="488" spans="1:1" x14ac:dyDescent="0.35">
      <c r="A488" s="16" t="s">
        <v>3070</v>
      </c>
    </row>
    <row r="489" spans="1:1" x14ac:dyDescent="0.35">
      <c r="A489" s="16" t="s">
        <v>3071</v>
      </c>
    </row>
    <row r="490" spans="1:1" x14ac:dyDescent="0.35">
      <c r="A490" s="16" t="s">
        <v>3072</v>
      </c>
    </row>
    <row r="491" spans="1:1" ht="29" x14ac:dyDescent="0.35">
      <c r="A491" s="16" t="s">
        <v>3073</v>
      </c>
    </row>
    <row r="492" spans="1:1" x14ac:dyDescent="0.35">
      <c r="A492" s="16" t="s">
        <v>3074</v>
      </c>
    </row>
    <row r="493" spans="1:1" x14ac:dyDescent="0.35">
      <c r="A493" s="16" t="s">
        <v>3075</v>
      </c>
    </row>
    <row r="494" spans="1:1" x14ac:dyDescent="0.35">
      <c r="A494" s="16" t="s">
        <v>3076</v>
      </c>
    </row>
    <row r="495" spans="1:1" x14ac:dyDescent="0.35">
      <c r="A495" s="16" t="s">
        <v>3077</v>
      </c>
    </row>
    <row r="496" spans="1:1" x14ac:dyDescent="0.35">
      <c r="A496" s="16" t="s">
        <v>3078</v>
      </c>
    </row>
    <row r="497" spans="1:1" ht="29" x14ac:dyDescent="0.35">
      <c r="A497" s="16" t="s">
        <v>3079</v>
      </c>
    </row>
    <row r="498" spans="1:1" ht="29" x14ac:dyDescent="0.35">
      <c r="A498" s="16" t="s">
        <v>3080</v>
      </c>
    </row>
    <row r="499" spans="1:1" ht="29" x14ac:dyDescent="0.35">
      <c r="A499" s="16" t="s">
        <v>3081</v>
      </c>
    </row>
    <row r="500" spans="1:1" ht="29" x14ac:dyDescent="0.35">
      <c r="A500" s="16" t="s">
        <v>3082</v>
      </c>
    </row>
    <row r="501" spans="1:1" x14ac:dyDescent="0.35">
      <c r="A501" s="16" t="s">
        <v>3083</v>
      </c>
    </row>
    <row r="502" spans="1:1" ht="29" x14ac:dyDescent="0.35">
      <c r="A502" s="16" t="s">
        <v>3084</v>
      </c>
    </row>
    <row r="503" spans="1:1" ht="29" x14ac:dyDescent="0.35">
      <c r="A503" s="16" t="s">
        <v>3085</v>
      </c>
    </row>
    <row r="504" spans="1:1" ht="29" x14ac:dyDescent="0.35">
      <c r="A504" s="16" t="s">
        <v>3086</v>
      </c>
    </row>
    <row r="505" spans="1:1" x14ac:dyDescent="0.35">
      <c r="A505" s="16" t="s">
        <v>3087</v>
      </c>
    </row>
    <row r="506" spans="1:1" x14ac:dyDescent="0.35">
      <c r="A506" s="16" t="s">
        <v>3088</v>
      </c>
    </row>
    <row r="507" spans="1:1" x14ac:dyDescent="0.35">
      <c r="A507" s="16" t="s">
        <v>3089</v>
      </c>
    </row>
    <row r="508" spans="1:1" ht="29" x14ac:dyDescent="0.35">
      <c r="A508" s="16" t="s">
        <v>3090</v>
      </c>
    </row>
    <row r="509" spans="1:1" ht="29" x14ac:dyDescent="0.35">
      <c r="A509" s="16" t="s">
        <v>3091</v>
      </c>
    </row>
    <row r="510" spans="1:1" x14ac:dyDescent="0.35">
      <c r="A510" s="16" t="s">
        <v>3092</v>
      </c>
    </row>
    <row r="511" spans="1:1" ht="29" x14ac:dyDescent="0.35">
      <c r="A511" s="16" t="s">
        <v>3093</v>
      </c>
    </row>
    <row r="512" spans="1:1" x14ac:dyDescent="0.35">
      <c r="A512" s="16" t="s">
        <v>3094</v>
      </c>
    </row>
    <row r="513" spans="1:1" x14ac:dyDescent="0.35">
      <c r="A513" s="16" t="s">
        <v>3095</v>
      </c>
    </row>
    <row r="514" spans="1:1" x14ac:dyDescent="0.35">
      <c r="A514" s="16" t="s">
        <v>3096</v>
      </c>
    </row>
    <row r="515" spans="1:1" ht="29" x14ac:dyDescent="0.35">
      <c r="A515" s="16" t="s">
        <v>3097</v>
      </c>
    </row>
    <row r="516" spans="1:1" ht="29" x14ac:dyDescent="0.35">
      <c r="A516" s="16" t="s">
        <v>3098</v>
      </c>
    </row>
    <row r="517" spans="1:1" ht="29" x14ac:dyDescent="0.35">
      <c r="A517" s="16" t="s">
        <v>3099</v>
      </c>
    </row>
    <row r="518" spans="1:1" ht="29" x14ac:dyDescent="0.35">
      <c r="A518" s="16" t="s">
        <v>3100</v>
      </c>
    </row>
    <row r="519" spans="1:1" ht="29" x14ac:dyDescent="0.35">
      <c r="A519" s="16" t="s">
        <v>3101</v>
      </c>
    </row>
    <row r="520" spans="1:1" x14ac:dyDescent="0.35">
      <c r="A520" s="16" t="s">
        <v>3102</v>
      </c>
    </row>
    <row r="521" spans="1:1" x14ac:dyDescent="0.35">
      <c r="A521" s="16" t="s">
        <v>3103</v>
      </c>
    </row>
    <row r="522" spans="1:1" ht="29" x14ac:dyDescent="0.35">
      <c r="A522" s="16" t="s">
        <v>3104</v>
      </c>
    </row>
    <row r="523" spans="1:1" x14ac:dyDescent="0.35">
      <c r="A523" s="16" t="s">
        <v>3105</v>
      </c>
    </row>
    <row r="524" spans="1:1" x14ac:dyDescent="0.35">
      <c r="A524" s="16" t="s">
        <v>3106</v>
      </c>
    </row>
    <row r="525" spans="1:1" ht="29" x14ac:dyDescent="0.35">
      <c r="A525" s="16" t="s">
        <v>3107</v>
      </c>
    </row>
    <row r="526" spans="1:1" ht="29" x14ac:dyDescent="0.35">
      <c r="A526" s="16" t="s">
        <v>3108</v>
      </c>
    </row>
    <row r="527" spans="1:1" x14ac:dyDescent="0.35">
      <c r="A527" s="16" t="s">
        <v>3109</v>
      </c>
    </row>
    <row r="528" spans="1:1" ht="29" x14ac:dyDescent="0.35">
      <c r="A528" s="16" t="s">
        <v>3110</v>
      </c>
    </row>
    <row r="529" spans="1:1" x14ac:dyDescent="0.35">
      <c r="A529" s="16" t="s">
        <v>3111</v>
      </c>
    </row>
    <row r="530" spans="1:1" x14ac:dyDescent="0.35">
      <c r="A530" s="16" t="s">
        <v>3112</v>
      </c>
    </row>
    <row r="531" spans="1:1" x14ac:dyDescent="0.35">
      <c r="A531" s="16" t="s">
        <v>3113</v>
      </c>
    </row>
    <row r="532" spans="1:1" ht="29" x14ac:dyDescent="0.35">
      <c r="A532" s="16" t="s">
        <v>3114</v>
      </c>
    </row>
    <row r="533" spans="1:1" ht="29" x14ac:dyDescent="0.35">
      <c r="A533" s="16" t="s">
        <v>3115</v>
      </c>
    </row>
    <row r="534" spans="1:1" ht="29" x14ac:dyDescent="0.35">
      <c r="A534" s="16" t="s">
        <v>3116</v>
      </c>
    </row>
    <row r="535" spans="1:1" ht="29" x14ac:dyDescent="0.35">
      <c r="A535" s="16" t="s">
        <v>3117</v>
      </c>
    </row>
    <row r="536" spans="1:1" ht="29" x14ac:dyDescent="0.35">
      <c r="A536" s="16" t="s">
        <v>3118</v>
      </c>
    </row>
    <row r="537" spans="1:1" x14ac:dyDescent="0.35">
      <c r="A537" s="16" t="s">
        <v>3119</v>
      </c>
    </row>
    <row r="538" spans="1:1" ht="29" x14ac:dyDescent="0.35">
      <c r="A538" s="16" t="s">
        <v>3120</v>
      </c>
    </row>
    <row r="539" spans="1:1" x14ac:dyDescent="0.35">
      <c r="A539" s="16" t="s">
        <v>3121</v>
      </c>
    </row>
    <row r="540" spans="1:1" x14ac:dyDescent="0.35">
      <c r="A540" s="16" t="s">
        <v>3122</v>
      </c>
    </row>
    <row r="541" spans="1:1" x14ac:dyDescent="0.35">
      <c r="A541" s="16" t="s">
        <v>3123</v>
      </c>
    </row>
    <row r="542" spans="1:1" ht="29" x14ac:dyDescent="0.35">
      <c r="A542" s="16" t="s">
        <v>3124</v>
      </c>
    </row>
    <row r="543" spans="1:1" ht="29" x14ac:dyDescent="0.35">
      <c r="A543" s="16" t="s">
        <v>3125</v>
      </c>
    </row>
    <row r="544" spans="1:1" ht="29" x14ac:dyDescent="0.35">
      <c r="A544" s="16" t="s">
        <v>3126</v>
      </c>
    </row>
    <row r="545" spans="1:1" ht="29" x14ac:dyDescent="0.35">
      <c r="A545" s="16" t="s">
        <v>3127</v>
      </c>
    </row>
    <row r="546" spans="1:1" ht="29" x14ac:dyDescent="0.35">
      <c r="A546" s="16" t="s">
        <v>3128</v>
      </c>
    </row>
    <row r="547" spans="1:1" x14ac:dyDescent="0.35">
      <c r="A547" s="16" t="s">
        <v>3129</v>
      </c>
    </row>
    <row r="548" spans="1:1" x14ac:dyDescent="0.35">
      <c r="A548" s="16" t="s">
        <v>3130</v>
      </c>
    </row>
    <row r="549" spans="1:1" x14ac:dyDescent="0.35">
      <c r="A549" s="16" t="s">
        <v>3131</v>
      </c>
    </row>
    <row r="550" spans="1:1" ht="29" x14ac:dyDescent="0.35">
      <c r="A550" s="16" t="s">
        <v>3132</v>
      </c>
    </row>
    <row r="551" spans="1:1" ht="29" x14ac:dyDescent="0.35">
      <c r="A551" s="16" t="s">
        <v>3133</v>
      </c>
    </row>
    <row r="552" spans="1:1" x14ac:dyDescent="0.35">
      <c r="A552" s="16" t="s">
        <v>3134</v>
      </c>
    </row>
    <row r="553" spans="1:1" ht="29" x14ac:dyDescent="0.35">
      <c r="A553" s="16" t="s">
        <v>3135</v>
      </c>
    </row>
    <row r="554" spans="1:1" ht="29" x14ac:dyDescent="0.35">
      <c r="A554" s="16" t="s">
        <v>3136</v>
      </c>
    </row>
    <row r="555" spans="1:1" ht="29" x14ac:dyDescent="0.35">
      <c r="A555" s="16" t="s">
        <v>3137</v>
      </c>
    </row>
    <row r="556" spans="1:1" x14ac:dyDescent="0.35">
      <c r="A556" s="16" t="s">
        <v>3138</v>
      </c>
    </row>
    <row r="557" spans="1:1" ht="29" x14ac:dyDescent="0.35">
      <c r="A557" s="16" t="s">
        <v>3139</v>
      </c>
    </row>
    <row r="558" spans="1:1" ht="29" x14ac:dyDescent="0.35">
      <c r="A558" s="16" t="s">
        <v>3140</v>
      </c>
    </row>
    <row r="559" spans="1:1" x14ac:dyDescent="0.35">
      <c r="A559" s="16" t="s">
        <v>3141</v>
      </c>
    </row>
    <row r="560" spans="1:1" x14ac:dyDescent="0.35">
      <c r="A560" s="16" t="s">
        <v>3142</v>
      </c>
    </row>
    <row r="561" spans="1:1" x14ac:dyDescent="0.35">
      <c r="A561" s="16" t="s">
        <v>3143</v>
      </c>
    </row>
    <row r="562" spans="1:1" ht="29" x14ac:dyDescent="0.35">
      <c r="A562" s="16" t="s">
        <v>3144</v>
      </c>
    </row>
    <row r="563" spans="1:1" x14ac:dyDescent="0.35">
      <c r="A563" s="16" t="s">
        <v>3145</v>
      </c>
    </row>
    <row r="564" spans="1:1" ht="29" x14ac:dyDescent="0.35">
      <c r="A564" s="16" t="s">
        <v>3146</v>
      </c>
    </row>
    <row r="565" spans="1:1" x14ac:dyDescent="0.35">
      <c r="A565" s="16" t="s">
        <v>3147</v>
      </c>
    </row>
    <row r="566" spans="1:1" ht="29" x14ac:dyDescent="0.35">
      <c r="A566" s="16" t="s">
        <v>3148</v>
      </c>
    </row>
    <row r="567" spans="1:1" x14ac:dyDescent="0.35">
      <c r="A567" s="16" t="s">
        <v>3149</v>
      </c>
    </row>
    <row r="568" spans="1:1" x14ac:dyDescent="0.35">
      <c r="A568" s="16" t="s">
        <v>3150</v>
      </c>
    </row>
    <row r="569" spans="1:1" ht="29" x14ac:dyDescent="0.35">
      <c r="A569" s="16" t="s">
        <v>3151</v>
      </c>
    </row>
    <row r="570" spans="1:1" x14ac:dyDescent="0.35">
      <c r="A570" s="16" t="s">
        <v>3152</v>
      </c>
    </row>
    <row r="571" spans="1:1" x14ac:dyDescent="0.35">
      <c r="A571" s="16" t="s">
        <v>3153</v>
      </c>
    </row>
    <row r="572" spans="1:1" x14ac:dyDescent="0.35">
      <c r="A572" s="16" t="s">
        <v>3154</v>
      </c>
    </row>
    <row r="573" spans="1:1" ht="29" x14ac:dyDescent="0.35">
      <c r="A573" s="16" t="s">
        <v>3155</v>
      </c>
    </row>
    <row r="574" spans="1:1" x14ac:dyDescent="0.35">
      <c r="A574" s="16" t="s">
        <v>3156</v>
      </c>
    </row>
    <row r="575" spans="1:1" x14ac:dyDescent="0.35">
      <c r="A575" s="16" t="s">
        <v>3157</v>
      </c>
    </row>
    <row r="576" spans="1:1" ht="29" x14ac:dyDescent="0.35">
      <c r="A576" s="16" t="s">
        <v>3158</v>
      </c>
    </row>
    <row r="577" spans="1:1" ht="29" x14ac:dyDescent="0.35">
      <c r="A577" s="16" t="s">
        <v>3159</v>
      </c>
    </row>
    <row r="578" spans="1:1" x14ac:dyDescent="0.35">
      <c r="A578" s="16" t="s">
        <v>3160</v>
      </c>
    </row>
    <row r="579" spans="1:1" x14ac:dyDescent="0.35">
      <c r="A579" s="16" t="s">
        <v>3161</v>
      </c>
    </row>
    <row r="580" spans="1:1" ht="29" x14ac:dyDescent="0.35">
      <c r="A580" s="16" t="s">
        <v>3162</v>
      </c>
    </row>
    <row r="581" spans="1:1" x14ac:dyDescent="0.35">
      <c r="A581" s="16" t="s">
        <v>3163</v>
      </c>
    </row>
    <row r="582" spans="1:1" ht="29" x14ac:dyDescent="0.35">
      <c r="A582" s="16" t="s">
        <v>3164</v>
      </c>
    </row>
    <row r="583" spans="1:1" ht="29" x14ac:dyDescent="0.35">
      <c r="A583" s="16" t="s">
        <v>3165</v>
      </c>
    </row>
    <row r="584" spans="1:1" ht="29" x14ac:dyDescent="0.35">
      <c r="A584" s="16" t="s">
        <v>3166</v>
      </c>
    </row>
    <row r="585" spans="1:1" ht="29" x14ac:dyDescent="0.35">
      <c r="A585" s="16" t="s">
        <v>3167</v>
      </c>
    </row>
    <row r="586" spans="1:1" x14ac:dyDescent="0.35">
      <c r="A586" s="16" t="s">
        <v>3168</v>
      </c>
    </row>
    <row r="587" spans="1:1" x14ac:dyDescent="0.35">
      <c r="A587" s="16" t="s">
        <v>3169</v>
      </c>
    </row>
    <row r="588" spans="1:1" ht="29" x14ac:dyDescent="0.35">
      <c r="A588" s="16" t="s">
        <v>3170</v>
      </c>
    </row>
    <row r="589" spans="1:1" ht="29" x14ac:dyDescent="0.35">
      <c r="A589" s="16" t="s">
        <v>3171</v>
      </c>
    </row>
    <row r="590" spans="1:1" x14ac:dyDescent="0.35">
      <c r="A590" s="16" t="s">
        <v>3172</v>
      </c>
    </row>
    <row r="591" spans="1:1" x14ac:dyDescent="0.35">
      <c r="A591" s="16" t="s">
        <v>3173</v>
      </c>
    </row>
    <row r="592" spans="1:1" ht="29" x14ac:dyDescent="0.35">
      <c r="A592" s="16" t="s">
        <v>3174</v>
      </c>
    </row>
    <row r="593" spans="1:1" ht="29" x14ac:dyDescent="0.35">
      <c r="A593" s="16" t="s">
        <v>3175</v>
      </c>
    </row>
    <row r="594" spans="1:1" x14ac:dyDescent="0.35">
      <c r="A594" s="16" t="s">
        <v>3176</v>
      </c>
    </row>
    <row r="595" spans="1:1" x14ac:dyDescent="0.35">
      <c r="A595" s="16" t="s">
        <v>3177</v>
      </c>
    </row>
    <row r="596" spans="1:1" ht="29" x14ac:dyDescent="0.35">
      <c r="A596" s="16" t="s">
        <v>3178</v>
      </c>
    </row>
    <row r="597" spans="1:1" x14ac:dyDescent="0.35">
      <c r="A597" s="16" t="s">
        <v>3179</v>
      </c>
    </row>
    <row r="598" spans="1:1" x14ac:dyDescent="0.35">
      <c r="A598" s="16" t="s">
        <v>3180</v>
      </c>
    </row>
    <row r="599" spans="1:1" ht="29" x14ac:dyDescent="0.35">
      <c r="A599" s="16" t="s">
        <v>3181</v>
      </c>
    </row>
    <row r="600" spans="1:1" ht="29" x14ac:dyDescent="0.35">
      <c r="A600" s="16" t="s">
        <v>3182</v>
      </c>
    </row>
    <row r="601" spans="1:1" ht="29" x14ac:dyDescent="0.35">
      <c r="A601" s="16" t="s">
        <v>3183</v>
      </c>
    </row>
    <row r="602" spans="1:1" ht="29" x14ac:dyDescent="0.35">
      <c r="A602" s="16" t="s">
        <v>3184</v>
      </c>
    </row>
    <row r="603" spans="1:1" x14ac:dyDescent="0.35">
      <c r="A603" s="16" t="s">
        <v>3185</v>
      </c>
    </row>
    <row r="604" spans="1:1" x14ac:dyDescent="0.35">
      <c r="A604" s="16" t="s">
        <v>3186</v>
      </c>
    </row>
    <row r="605" spans="1:1" x14ac:dyDescent="0.35">
      <c r="A605" s="16" t="s">
        <v>3187</v>
      </c>
    </row>
    <row r="606" spans="1:1" x14ac:dyDescent="0.35">
      <c r="A606" s="16" t="s">
        <v>3188</v>
      </c>
    </row>
    <row r="607" spans="1:1" x14ac:dyDescent="0.35">
      <c r="A607" s="16" t="s">
        <v>3189</v>
      </c>
    </row>
    <row r="608" spans="1:1" x14ac:dyDescent="0.35">
      <c r="A608" s="16" t="s">
        <v>3190</v>
      </c>
    </row>
    <row r="609" spans="1:1" ht="29" x14ac:dyDescent="0.35">
      <c r="A609" s="16" t="s">
        <v>3191</v>
      </c>
    </row>
    <row r="610" spans="1:1" x14ac:dyDescent="0.35">
      <c r="A610" s="16" t="s">
        <v>3192</v>
      </c>
    </row>
    <row r="611" spans="1:1" ht="29" x14ac:dyDescent="0.35">
      <c r="A611" s="16" t="s">
        <v>3193</v>
      </c>
    </row>
    <row r="612" spans="1:1" ht="29" x14ac:dyDescent="0.35">
      <c r="A612" s="16" t="s">
        <v>3194</v>
      </c>
    </row>
    <row r="613" spans="1:1" ht="29" x14ac:dyDescent="0.35">
      <c r="A613" s="16" t="s">
        <v>3195</v>
      </c>
    </row>
    <row r="614" spans="1:1" x14ac:dyDescent="0.35">
      <c r="A614" s="16" t="s">
        <v>3196</v>
      </c>
    </row>
    <row r="615" spans="1:1" ht="29" x14ac:dyDescent="0.35">
      <c r="A615" s="16" t="s">
        <v>3197</v>
      </c>
    </row>
    <row r="616" spans="1:1" ht="29" x14ac:dyDescent="0.35">
      <c r="A616" s="16" t="s">
        <v>3198</v>
      </c>
    </row>
    <row r="617" spans="1:1" ht="29" x14ac:dyDescent="0.35">
      <c r="A617" s="16" t="s">
        <v>3199</v>
      </c>
    </row>
    <row r="618" spans="1:1" ht="29" x14ac:dyDescent="0.35">
      <c r="A618" s="16" t="s">
        <v>3200</v>
      </c>
    </row>
    <row r="619" spans="1:1" ht="29" x14ac:dyDescent="0.35">
      <c r="A619" s="16" t="s">
        <v>3201</v>
      </c>
    </row>
    <row r="620" spans="1:1" x14ac:dyDescent="0.35">
      <c r="A620" s="16" t="s">
        <v>3202</v>
      </c>
    </row>
    <row r="621" spans="1:1" ht="29" x14ac:dyDescent="0.35">
      <c r="A621" s="16" t="s">
        <v>3203</v>
      </c>
    </row>
    <row r="622" spans="1:1" ht="29" x14ac:dyDescent="0.35">
      <c r="A622" s="16" t="s">
        <v>3204</v>
      </c>
    </row>
    <row r="623" spans="1:1" x14ac:dyDescent="0.35">
      <c r="A623" s="16" t="s">
        <v>3205</v>
      </c>
    </row>
    <row r="624" spans="1:1" ht="29" x14ac:dyDescent="0.35">
      <c r="A624" s="16" t="s">
        <v>3206</v>
      </c>
    </row>
    <row r="625" spans="1:1" ht="29" x14ac:dyDescent="0.35">
      <c r="A625" s="16" t="s">
        <v>3207</v>
      </c>
    </row>
    <row r="626" spans="1:1" ht="29" x14ac:dyDescent="0.35">
      <c r="A626" s="16" t="s">
        <v>3208</v>
      </c>
    </row>
    <row r="627" spans="1:1" ht="29" x14ac:dyDescent="0.35">
      <c r="A627" s="16" t="s">
        <v>3209</v>
      </c>
    </row>
    <row r="628" spans="1:1" x14ac:dyDescent="0.35">
      <c r="A628" s="16" t="s">
        <v>3210</v>
      </c>
    </row>
    <row r="629" spans="1:1" x14ac:dyDescent="0.35">
      <c r="A629" s="16" t="s">
        <v>3211</v>
      </c>
    </row>
    <row r="630" spans="1:1" x14ac:dyDescent="0.35">
      <c r="A630" s="16" t="s">
        <v>3212</v>
      </c>
    </row>
    <row r="631" spans="1:1" x14ac:dyDescent="0.35">
      <c r="A631" s="16" t="s">
        <v>3213</v>
      </c>
    </row>
    <row r="632" spans="1:1" x14ac:dyDescent="0.35">
      <c r="A632" s="16" t="s">
        <v>3214</v>
      </c>
    </row>
    <row r="633" spans="1:1" x14ac:dyDescent="0.35">
      <c r="A633" s="16" t="s">
        <v>3215</v>
      </c>
    </row>
    <row r="634" spans="1:1" ht="29" x14ac:dyDescent="0.35">
      <c r="A634" s="16" t="s">
        <v>3216</v>
      </c>
    </row>
    <row r="635" spans="1:1" x14ac:dyDescent="0.35">
      <c r="A635" s="16" t="s">
        <v>3217</v>
      </c>
    </row>
    <row r="636" spans="1:1" ht="29" x14ac:dyDescent="0.35">
      <c r="A636" s="16" t="s">
        <v>3218</v>
      </c>
    </row>
    <row r="637" spans="1:1" ht="29" x14ac:dyDescent="0.35">
      <c r="A637" s="16" t="s">
        <v>3219</v>
      </c>
    </row>
    <row r="638" spans="1:1" x14ac:dyDescent="0.35">
      <c r="A638" s="16" t="s">
        <v>3220</v>
      </c>
    </row>
    <row r="639" spans="1:1" ht="29" x14ac:dyDescent="0.35">
      <c r="A639" s="16" t="s">
        <v>3221</v>
      </c>
    </row>
    <row r="640" spans="1:1" ht="29" x14ac:dyDescent="0.35">
      <c r="A640" s="16" t="s">
        <v>3222</v>
      </c>
    </row>
    <row r="641" spans="1:1" x14ac:dyDescent="0.35">
      <c r="A641" s="16" t="s">
        <v>3223</v>
      </c>
    </row>
    <row r="642" spans="1:1" x14ac:dyDescent="0.35">
      <c r="A642" s="16" t="s">
        <v>3224</v>
      </c>
    </row>
    <row r="643" spans="1:1" ht="29" x14ac:dyDescent="0.35">
      <c r="A643" s="16" t="s">
        <v>3225</v>
      </c>
    </row>
    <row r="644" spans="1:1" ht="29" x14ac:dyDescent="0.35">
      <c r="A644" s="16" t="s">
        <v>3226</v>
      </c>
    </row>
    <row r="645" spans="1:1" x14ac:dyDescent="0.35">
      <c r="A645" s="16" t="s">
        <v>3227</v>
      </c>
    </row>
    <row r="646" spans="1:1" x14ac:dyDescent="0.35">
      <c r="A646" s="16" t="s">
        <v>3228</v>
      </c>
    </row>
    <row r="647" spans="1:1" ht="29" x14ac:dyDescent="0.35">
      <c r="A647" s="16" t="s">
        <v>3229</v>
      </c>
    </row>
    <row r="648" spans="1:1" ht="29" x14ac:dyDescent="0.35">
      <c r="A648" s="16" t="s">
        <v>3230</v>
      </c>
    </row>
    <row r="649" spans="1:1" x14ac:dyDescent="0.35">
      <c r="A649" s="16" t="s">
        <v>3231</v>
      </c>
    </row>
    <row r="650" spans="1:1" x14ac:dyDescent="0.35">
      <c r="A650" s="16" t="s">
        <v>3232</v>
      </c>
    </row>
    <row r="651" spans="1:1" ht="29" x14ac:dyDescent="0.35">
      <c r="A651" s="16" t="s">
        <v>3233</v>
      </c>
    </row>
    <row r="652" spans="1:1" ht="29" x14ac:dyDescent="0.35">
      <c r="A652" s="16" t="s">
        <v>3234</v>
      </c>
    </row>
    <row r="653" spans="1:1" ht="29" x14ac:dyDescent="0.35">
      <c r="A653" s="16" t="s">
        <v>3235</v>
      </c>
    </row>
    <row r="654" spans="1:1" ht="29" x14ac:dyDescent="0.35">
      <c r="A654" s="16" t="s">
        <v>3236</v>
      </c>
    </row>
    <row r="655" spans="1:1" x14ac:dyDescent="0.35">
      <c r="A655" s="16" t="s">
        <v>3237</v>
      </c>
    </row>
    <row r="656" spans="1:1" x14ac:dyDescent="0.35">
      <c r="A656" s="16" t="s">
        <v>3238</v>
      </c>
    </row>
    <row r="657" spans="1:1" ht="29" x14ac:dyDescent="0.35">
      <c r="A657" s="16" t="s">
        <v>3239</v>
      </c>
    </row>
    <row r="658" spans="1:1" x14ac:dyDescent="0.35">
      <c r="A658" s="16" t="s">
        <v>3240</v>
      </c>
    </row>
    <row r="659" spans="1:1" x14ac:dyDescent="0.35">
      <c r="A659" s="16" t="s">
        <v>3241</v>
      </c>
    </row>
    <row r="660" spans="1:1" x14ac:dyDescent="0.35">
      <c r="A660" s="16" t="s">
        <v>3242</v>
      </c>
    </row>
    <row r="661" spans="1:1" ht="29" x14ac:dyDescent="0.35">
      <c r="A661" s="16" t="s">
        <v>3243</v>
      </c>
    </row>
    <row r="662" spans="1:1" x14ac:dyDescent="0.35">
      <c r="A662" s="16" t="s">
        <v>3244</v>
      </c>
    </row>
    <row r="663" spans="1:1" ht="29" x14ac:dyDescent="0.35">
      <c r="A663" s="16" t="s">
        <v>3245</v>
      </c>
    </row>
    <row r="664" spans="1:1" ht="29" x14ac:dyDescent="0.35">
      <c r="A664" s="16" t="s">
        <v>3246</v>
      </c>
    </row>
    <row r="665" spans="1:1" ht="29" x14ac:dyDescent="0.35">
      <c r="A665" s="16" t="s">
        <v>3247</v>
      </c>
    </row>
    <row r="666" spans="1:1" ht="29" x14ac:dyDescent="0.35">
      <c r="A666" s="16" t="s">
        <v>3248</v>
      </c>
    </row>
    <row r="667" spans="1:1" x14ac:dyDescent="0.35">
      <c r="A667" s="16" t="s">
        <v>3249</v>
      </c>
    </row>
    <row r="668" spans="1:1" ht="29" x14ac:dyDescent="0.35">
      <c r="A668" s="16" t="s">
        <v>3250</v>
      </c>
    </row>
    <row r="669" spans="1:1" x14ac:dyDescent="0.35">
      <c r="A669" s="16" t="s">
        <v>3251</v>
      </c>
    </row>
    <row r="670" spans="1:1" ht="29" x14ac:dyDescent="0.35">
      <c r="A670" s="16" t="s">
        <v>3252</v>
      </c>
    </row>
    <row r="671" spans="1:1" ht="29" x14ac:dyDescent="0.35">
      <c r="A671" s="16" t="s">
        <v>3253</v>
      </c>
    </row>
    <row r="672" spans="1:1" ht="29" x14ac:dyDescent="0.35">
      <c r="A672" s="16" t="s">
        <v>3254</v>
      </c>
    </row>
    <row r="673" spans="1:1" x14ac:dyDescent="0.35">
      <c r="A673" s="16" t="s">
        <v>3255</v>
      </c>
    </row>
    <row r="674" spans="1:1" x14ac:dyDescent="0.35">
      <c r="A674" s="16" t="s">
        <v>3256</v>
      </c>
    </row>
    <row r="675" spans="1:1" ht="29" x14ac:dyDescent="0.35">
      <c r="A675" s="16" t="s">
        <v>3257</v>
      </c>
    </row>
    <row r="676" spans="1:1" x14ac:dyDescent="0.35">
      <c r="A676" s="16" t="s">
        <v>3258</v>
      </c>
    </row>
    <row r="677" spans="1:1" ht="29" x14ac:dyDescent="0.35">
      <c r="A677" s="16" t="s">
        <v>3259</v>
      </c>
    </row>
    <row r="678" spans="1:1" x14ac:dyDescent="0.35">
      <c r="A678" s="16" t="s">
        <v>3260</v>
      </c>
    </row>
    <row r="679" spans="1:1" ht="29" x14ac:dyDescent="0.35">
      <c r="A679" s="16" t="s">
        <v>3261</v>
      </c>
    </row>
    <row r="680" spans="1:1" ht="29" x14ac:dyDescent="0.35">
      <c r="A680" s="16" t="s">
        <v>3262</v>
      </c>
    </row>
    <row r="681" spans="1:1" ht="29" x14ac:dyDescent="0.35">
      <c r="A681" s="16" t="s">
        <v>3263</v>
      </c>
    </row>
    <row r="682" spans="1:1" x14ac:dyDescent="0.35">
      <c r="A682" s="16" t="s">
        <v>3264</v>
      </c>
    </row>
    <row r="683" spans="1:1" ht="29" x14ac:dyDescent="0.35">
      <c r="A683" s="16" t="s">
        <v>3265</v>
      </c>
    </row>
    <row r="684" spans="1:1" x14ac:dyDescent="0.35">
      <c r="A684" s="16" t="s">
        <v>3266</v>
      </c>
    </row>
    <row r="685" spans="1:1" x14ac:dyDescent="0.35">
      <c r="A685" s="16" t="s">
        <v>3267</v>
      </c>
    </row>
    <row r="686" spans="1:1" ht="29" x14ac:dyDescent="0.35">
      <c r="A686" s="16" t="s">
        <v>3268</v>
      </c>
    </row>
    <row r="687" spans="1:1" ht="29" x14ac:dyDescent="0.35">
      <c r="A687" s="16" t="s">
        <v>3269</v>
      </c>
    </row>
    <row r="688" spans="1:1" x14ac:dyDescent="0.35">
      <c r="A688" s="16" t="s">
        <v>3270</v>
      </c>
    </row>
    <row r="689" spans="1:1" ht="29" x14ac:dyDescent="0.35">
      <c r="A689" s="16" t="s">
        <v>3271</v>
      </c>
    </row>
    <row r="690" spans="1:1" ht="29" x14ac:dyDescent="0.35">
      <c r="A690" s="16" t="s">
        <v>3272</v>
      </c>
    </row>
    <row r="691" spans="1:1" ht="29" x14ac:dyDescent="0.35">
      <c r="A691" s="16" t="s">
        <v>3273</v>
      </c>
    </row>
    <row r="692" spans="1:1" ht="29" x14ac:dyDescent="0.35">
      <c r="A692" s="16" t="s">
        <v>3274</v>
      </c>
    </row>
    <row r="693" spans="1:1" ht="29" x14ac:dyDescent="0.35">
      <c r="A693" s="16" t="s">
        <v>3275</v>
      </c>
    </row>
    <row r="694" spans="1:1" x14ac:dyDescent="0.35">
      <c r="A694" s="16" t="s">
        <v>3276</v>
      </c>
    </row>
    <row r="695" spans="1:1" x14ac:dyDescent="0.35">
      <c r="A695" s="16" t="s">
        <v>3277</v>
      </c>
    </row>
    <row r="696" spans="1:1" x14ac:dyDescent="0.35">
      <c r="A696" s="16" t="s">
        <v>3278</v>
      </c>
    </row>
    <row r="697" spans="1:1" ht="29" x14ac:dyDescent="0.35">
      <c r="A697" s="16" t="s">
        <v>3279</v>
      </c>
    </row>
    <row r="698" spans="1:1" ht="29" x14ac:dyDescent="0.35">
      <c r="A698" s="16" t="s">
        <v>3280</v>
      </c>
    </row>
    <row r="699" spans="1:1" ht="29" x14ac:dyDescent="0.35">
      <c r="A699" s="16" t="s">
        <v>3281</v>
      </c>
    </row>
    <row r="700" spans="1:1" ht="29" x14ac:dyDescent="0.35">
      <c r="A700" s="16" t="s">
        <v>3282</v>
      </c>
    </row>
    <row r="701" spans="1:1" ht="29" x14ac:dyDescent="0.35">
      <c r="A701" s="16" t="s">
        <v>3283</v>
      </c>
    </row>
    <row r="702" spans="1:1" x14ac:dyDescent="0.35">
      <c r="A702" s="16" t="s">
        <v>3284</v>
      </c>
    </row>
    <row r="703" spans="1:1" ht="29" x14ac:dyDescent="0.35">
      <c r="A703" s="16" t="s">
        <v>3285</v>
      </c>
    </row>
    <row r="704" spans="1:1" ht="29" x14ac:dyDescent="0.35">
      <c r="A704" s="16" t="s">
        <v>3286</v>
      </c>
    </row>
    <row r="705" spans="1:1" x14ac:dyDescent="0.35">
      <c r="A705" s="16" t="s">
        <v>3287</v>
      </c>
    </row>
    <row r="706" spans="1:1" x14ac:dyDescent="0.35">
      <c r="A706" s="16" t="s">
        <v>3288</v>
      </c>
    </row>
    <row r="707" spans="1:1" x14ac:dyDescent="0.35">
      <c r="A707" s="16" t="s">
        <v>3289</v>
      </c>
    </row>
    <row r="708" spans="1:1" x14ac:dyDescent="0.35">
      <c r="A708" s="16" t="s">
        <v>3290</v>
      </c>
    </row>
    <row r="709" spans="1:1" ht="29" x14ac:dyDescent="0.35">
      <c r="A709" s="16" t="s">
        <v>3291</v>
      </c>
    </row>
    <row r="710" spans="1:1" x14ac:dyDescent="0.35">
      <c r="A710" s="16" t="s">
        <v>3292</v>
      </c>
    </row>
    <row r="711" spans="1:1" x14ac:dyDescent="0.35">
      <c r="A711" s="16" t="s">
        <v>3293</v>
      </c>
    </row>
    <row r="712" spans="1:1" x14ac:dyDescent="0.35">
      <c r="A712" s="16" t="s">
        <v>3294</v>
      </c>
    </row>
    <row r="713" spans="1:1" ht="29" x14ac:dyDescent="0.35">
      <c r="A713" s="16" t="s">
        <v>3295</v>
      </c>
    </row>
    <row r="714" spans="1:1" x14ac:dyDescent="0.35">
      <c r="A714" s="16" t="s">
        <v>3296</v>
      </c>
    </row>
    <row r="715" spans="1:1" x14ac:dyDescent="0.35">
      <c r="A715" s="16" t="s">
        <v>3297</v>
      </c>
    </row>
    <row r="716" spans="1:1" x14ac:dyDescent="0.35">
      <c r="A716" s="16" t="s">
        <v>3298</v>
      </c>
    </row>
    <row r="717" spans="1:1" ht="29" x14ac:dyDescent="0.35">
      <c r="A717" s="16" t="s">
        <v>3299</v>
      </c>
    </row>
    <row r="718" spans="1:1" x14ac:dyDescent="0.35">
      <c r="A718" s="16" t="s">
        <v>3300</v>
      </c>
    </row>
    <row r="719" spans="1:1" ht="29" x14ac:dyDescent="0.35">
      <c r="A719" s="16" t="s">
        <v>3301</v>
      </c>
    </row>
    <row r="720" spans="1:1" ht="29" x14ac:dyDescent="0.35">
      <c r="A720" s="16" t="s">
        <v>3302</v>
      </c>
    </row>
    <row r="721" spans="1:1" ht="29" x14ac:dyDescent="0.35">
      <c r="A721" s="16" t="s">
        <v>3303</v>
      </c>
    </row>
    <row r="722" spans="1:1" x14ac:dyDescent="0.35">
      <c r="A722" s="16" t="s">
        <v>3304</v>
      </c>
    </row>
    <row r="723" spans="1:1" x14ac:dyDescent="0.35">
      <c r="A723" s="16" t="s">
        <v>3305</v>
      </c>
    </row>
    <row r="724" spans="1:1" x14ac:dyDescent="0.35">
      <c r="A724" s="16" t="s">
        <v>3306</v>
      </c>
    </row>
    <row r="725" spans="1:1" ht="29" x14ac:dyDescent="0.35">
      <c r="A725" s="16" t="s">
        <v>3307</v>
      </c>
    </row>
    <row r="726" spans="1:1" ht="29" x14ac:dyDescent="0.35">
      <c r="A726" s="16" t="s">
        <v>3308</v>
      </c>
    </row>
    <row r="727" spans="1:1" ht="29" x14ac:dyDescent="0.35">
      <c r="A727" s="16" t="s">
        <v>3309</v>
      </c>
    </row>
    <row r="728" spans="1:1" x14ac:dyDescent="0.35">
      <c r="A728" s="16" t="s">
        <v>3310</v>
      </c>
    </row>
    <row r="729" spans="1:1" x14ac:dyDescent="0.35">
      <c r="A729" s="16" t="s">
        <v>3311</v>
      </c>
    </row>
    <row r="730" spans="1:1" x14ac:dyDescent="0.35">
      <c r="A730" s="16" t="s">
        <v>3312</v>
      </c>
    </row>
    <row r="731" spans="1:1" ht="29" x14ac:dyDescent="0.35">
      <c r="A731" s="16" t="s">
        <v>3313</v>
      </c>
    </row>
    <row r="732" spans="1:1" ht="29" x14ac:dyDescent="0.35">
      <c r="A732" s="16" t="s">
        <v>3314</v>
      </c>
    </row>
    <row r="733" spans="1:1" ht="29" x14ac:dyDescent="0.35">
      <c r="A733" s="16" t="s">
        <v>3315</v>
      </c>
    </row>
    <row r="734" spans="1:1" x14ac:dyDescent="0.35">
      <c r="A734" s="16" t="s">
        <v>3316</v>
      </c>
    </row>
    <row r="735" spans="1:1" ht="29" x14ac:dyDescent="0.35">
      <c r="A735" s="16" t="s">
        <v>3317</v>
      </c>
    </row>
    <row r="736" spans="1:1" x14ac:dyDescent="0.35">
      <c r="A736" s="16" t="s">
        <v>3318</v>
      </c>
    </row>
    <row r="737" spans="1:1" x14ac:dyDescent="0.35">
      <c r="A737" s="16" t="s">
        <v>3319</v>
      </c>
    </row>
    <row r="738" spans="1:1" x14ac:dyDescent="0.35">
      <c r="A738" s="16" t="s">
        <v>3320</v>
      </c>
    </row>
    <row r="739" spans="1:1" ht="29" x14ac:dyDescent="0.35">
      <c r="A739" s="16" t="s">
        <v>3321</v>
      </c>
    </row>
    <row r="740" spans="1:1" ht="29" x14ac:dyDescent="0.35">
      <c r="A740" s="16" t="s">
        <v>3322</v>
      </c>
    </row>
    <row r="741" spans="1:1" ht="29" x14ac:dyDescent="0.35">
      <c r="A741" s="16" t="s">
        <v>3323</v>
      </c>
    </row>
    <row r="742" spans="1:1" x14ac:dyDescent="0.35">
      <c r="A742" s="16" t="s">
        <v>3324</v>
      </c>
    </row>
    <row r="743" spans="1:1" x14ac:dyDescent="0.35">
      <c r="A743" s="16" t="s">
        <v>3325</v>
      </c>
    </row>
    <row r="744" spans="1:1" x14ac:dyDescent="0.35">
      <c r="A744" s="16" t="s">
        <v>3326</v>
      </c>
    </row>
    <row r="745" spans="1:1" ht="29" x14ac:dyDescent="0.35">
      <c r="A745" s="16" t="s">
        <v>3327</v>
      </c>
    </row>
    <row r="746" spans="1:1" ht="29" x14ac:dyDescent="0.35">
      <c r="A746" s="16" t="s">
        <v>3328</v>
      </c>
    </row>
    <row r="747" spans="1:1" ht="29" x14ac:dyDescent="0.35">
      <c r="A747" s="16" t="s">
        <v>3329</v>
      </c>
    </row>
    <row r="748" spans="1:1" x14ac:dyDescent="0.35">
      <c r="A748" s="16" t="s">
        <v>3330</v>
      </c>
    </row>
    <row r="749" spans="1:1" x14ac:dyDescent="0.35">
      <c r="A749" s="16" t="s">
        <v>3331</v>
      </c>
    </row>
    <row r="750" spans="1:1" x14ac:dyDescent="0.35">
      <c r="A750" s="16" t="s">
        <v>3332</v>
      </c>
    </row>
    <row r="751" spans="1:1" ht="29" x14ac:dyDescent="0.35">
      <c r="A751" s="16" t="s">
        <v>3333</v>
      </c>
    </row>
    <row r="752" spans="1:1" ht="29" x14ac:dyDescent="0.35">
      <c r="A752" s="16" t="s">
        <v>3334</v>
      </c>
    </row>
    <row r="753" spans="1:1" x14ac:dyDescent="0.35">
      <c r="A753" s="16" t="s">
        <v>3335</v>
      </c>
    </row>
    <row r="754" spans="1:1" ht="29" x14ac:dyDescent="0.35">
      <c r="A754" s="16" t="s">
        <v>3336</v>
      </c>
    </row>
    <row r="755" spans="1:1" ht="29" x14ac:dyDescent="0.35">
      <c r="A755" s="16" t="s">
        <v>3337</v>
      </c>
    </row>
    <row r="756" spans="1:1" x14ac:dyDescent="0.35">
      <c r="A756" s="16" t="s">
        <v>3338</v>
      </c>
    </row>
    <row r="757" spans="1:1" ht="29" x14ac:dyDescent="0.35">
      <c r="A757" s="16" t="s">
        <v>3339</v>
      </c>
    </row>
    <row r="758" spans="1:1" ht="29" x14ac:dyDescent="0.35">
      <c r="A758" s="16" t="s">
        <v>3340</v>
      </c>
    </row>
    <row r="759" spans="1:1" x14ac:dyDescent="0.35">
      <c r="A759" s="16" t="s">
        <v>3341</v>
      </c>
    </row>
    <row r="760" spans="1:1" x14ac:dyDescent="0.35">
      <c r="A760" s="16" t="s">
        <v>3342</v>
      </c>
    </row>
    <row r="761" spans="1:1" ht="29" x14ac:dyDescent="0.35">
      <c r="A761" s="16" t="s">
        <v>3343</v>
      </c>
    </row>
    <row r="762" spans="1:1" ht="29" x14ac:dyDescent="0.35">
      <c r="A762" s="16" t="s">
        <v>3344</v>
      </c>
    </row>
    <row r="763" spans="1:1" x14ac:dyDescent="0.35">
      <c r="A763" s="16" t="s">
        <v>3345</v>
      </c>
    </row>
    <row r="764" spans="1:1" ht="29" x14ac:dyDescent="0.35">
      <c r="A764" s="16" t="s">
        <v>3346</v>
      </c>
    </row>
    <row r="765" spans="1:1" x14ac:dyDescent="0.35">
      <c r="A765" s="16" t="s">
        <v>3347</v>
      </c>
    </row>
    <row r="766" spans="1:1" x14ac:dyDescent="0.35">
      <c r="A766" s="16" t="s">
        <v>3348</v>
      </c>
    </row>
    <row r="767" spans="1:1" x14ac:dyDescent="0.35">
      <c r="A767" s="16" t="s">
        <v>3349</v>
      </c>
    </row>
    <row r="768" spans="1:1" ht="29" x14ac:dyDescent="0.35">
      <c r="A768" s="16" t="s">
        <v>3350</v>
      </c>
    </row>
    <row r="769" spans="1:1" x14ac:dyDescent="0.35">
      <c r="A769" s="16" t="s">
        <v>3351</v>
      </c>
    </row>
    <row r="770" spans="1:1" x14ac:dyDescent="0.35">
      <c r="A770" s="16" t="s">
        <v>3352</v>
      </c>
    </row>
    <row r="771" spans="1:1" ht="29" x14ac:dyDescent="0.35">
      <c r="A771" s="16" t="s">
        <v>3353</v>
      </c>
    </row>
    <row r="772" spans="1:1" x14ac:dyDescent="0.35">
      <c r="A772" s="16" t="s">
        <v>3354</v>
      </c>
    </row>
    <row r="773" spans="1:1" ht="29" x14ac:dyDescent="0.35">
      <c r="A773" s="16" t="s">
        <v>3355</v>
      </c>
    </row>
    <row r="774" spans="1:1" ht="29" x14ac:dyDescent="0.35">
      <c r="A774" s="16" t="s">
        <v>3356</v>
      </c>
    </row>
    <row r="775" spans="1:1" x14ac:dyDescent="0.35">
      <c r="A775" s="16" t="s">
        <v>3357</v>
      </c>
    </row>
    <row r="776" spans="1:1" x14ac:dyDescent="0.35">
      <c r="A776" s="16" t="s">
        <v>3358</v>
      </c>
    </row>
    <row r="777" spans="1:1" ht="29" x14ac:dyDescent="0.35">
      <c r="A777" s="16" t="s">
        <v>3359</v>
      </c>
    </row>
    <row r="778" spans="1:1" ht="29" x14ac:dyDescent="0.35">
      <c r="A778" s="16" t="s">
        <v>3360</v>
      </c>
    </row>
    <row r="779" spans="1:1" x14ac:dyDescent="0.35">
      <c r="A779" s="16" t="s">
        <v>3361</v>
      </c>
    </row>
    <row r="780" spans="1:1" x14ac:dyDescent="0.35">
      <c r="A780" s="16" t="s">
        <v>3362</v>
      </c>
    </row>
    <row r="781" spans="1:1" ht="29" x14ac:dyDescent="0.35">
      <c r="A781" s="16" t="s">
        <v>3363</v>
      </c>
    </row>
    <row r="782" spans="1:1" x14ac:dyDescent="0.35">
      <c r="A782" s="16" t="s">
        <v>3364</v>
      </c>
    </row>
    <row r="783" spans="1:1" ht="29" x14ac:dyDescent="0.35">
      <c r="A783" s="16" t="s">
        <v>3365</v>
      </c>
    </row>
    <row r="784" spans="1:1" x14ac:dyDescent="0.35">
      <c r="A784" s="16" t="s">
        <v>3366</v>
      </c>
    </row>
    <row r="785" spans="1:1" x14ac:dyDescent="0.35">
      <c r="A785" s="16" t="s">
        <v>3367</v>
      </c>
    </row>
    <row r="786" spans="1:1" ht="29" x14ac:dyDescent="0.35">
      <c r="A786" s="16" t="s">
        <v>3368</v>
      </c>
    </row>
    <row r="787" spans="1:1" x14ac:dyDescent="0.35">
      <c r="A787" s="16" t="s">
        <v>3369</v>
      </c>
    </row>
    <row r="788" spans="1:1" x14ac:dyDescent="0.35">
      <c r="A788" s="16" t="s">
        <v>3370</v>
      </c>
    </row>
    <row r="789" spans="1:1" x14ac:dyDescent="0.35">
      <c r="A789" s="16" t="s">
        <v>3371</v>
      </c>
    </row>
    <row r="790" spans="1:1" x14ac:dyDescent="0.35">
      <c r="A790" s="16" t="s">
        <v>3372</v>
      </c>
    </row>
    <row r="791" spans="1:1" ht="29" x14ac:dyDescent="0.35">
      <c r="A791" s="16" t="s">
        <v>3373</v>
      </c>
    </row>
    <row r="792" spans="1:1" ht="29" x14ac:dyDescent="0.35">
      <c r="A792" s="16" t="s">
        <v>3374</v>
      </c>
    </row>
    <row r="793" spans="1:1" ht="29" x14ac:dyDescent="0.35">
      <c r="A793" s="16" t="s">
        <v>3375</v>
      </c>
    </row>
    <row r="794" spans="1:1" x14ac:dyDescent="0.35">
      <c r="A794" s="16" t="s">
        <v>3376</v>
      </c>
    </row>
    <row r="795" spans="1:1" x14ac:dyDescent="0.35">
      <c r="A795" s="16" t="s">
        <v>3377</v>
      </c>
    </row>
    <row r="796" spans="1:1" ht="29" x14ac:dyDescent="0.35">
      <c r="A796" s="16" t="s">
        <v>3378</v>
      </c>
    </row>
    <row r="797" spans="1:1" ht="29" x14ac:dyDescent="0.35">
      <c r="A797" s="16" t="s">
        <v>3379</v>
      </c>
    </row>
    <row r="798" spans="1:1" ht="29" x14ac:dyDescent="0.35">
      <c r="A798" s="16" t="s">
        <v>3380</v>
      </c>
    </row>
    <row r="799" spans="1:1" x14ac:dyDescent="0.35">
      <c r="A799" s="16" t="s">
        <v>3381</v>
      </c>
    </row>
    <row r="800" spans="1:1" x14ac:dyDescent="0.35">
      <c r="A800" s="16" t="s">
        <v>3382</v>
      </c>
    </row>
    <row r="801" spans="1:1" ht="29" x14ac:dyDescent="0.35">
      <c r="A801" s="16" t="s">
        <v>3383</v>
      </c>
    </row>
    <row r="802" spans="1:1" ht="29" x14ac:dyDescent="0.35">
      <c r="A802" s="16" t="s">
        <v>3384</v>
      </c>
    </row>
    <row r="803" spans="1:1" x14ac:dyDescent="0.35">
      <c r="A803" s="16" t="s">
        <v>3385</v>
      </c>
    </row>
    <row r="804" spans="1:1" x14ac:dyDescent="0.35">
      <c r="A804" s="16" t="s">
        <v>3386</v>
      </c>
    </row>
    <row r="805" spans="1:1" ht="29" x14ac:dyDescent="0.35">
      <c r="A805" s="16" t="s">
        <v>3387</v>
      </c>
    </row>
    <row r="806" spans="1:1" ht="29" x14ac:dyDescent="0.35">
      <c r="A806" s="16" t="s">
        <v>3388</v>
      </c>
    </row>
    <row r="807" spans="1:1" x14ac:dyDescent="0.35">
      <c r="A807" s="16" t="s">
        <v>3389</v>
      </c>
    </row>
    <row r="808" spans="1:1" ht="29" x14ac:dyDescent="0.35">
      <c r="A808" s="16" t="s">
        <v>3390</v>
      </c>
    </row>
    <row r="809" spans="1:1" x14ac:dyDescent="0.35">
      <c r="A809" s="16" t="s">
        <v>3391</v>
      </c>
    </row>
    <row r="810" spans="1:1" ht="29" x14ac:dyDescent="0.35">
      <c r="A810" s="16" t="s">
        <v>3392</v>
      </c>
    </row>
    <row r="811" spans="1:1" x14ac:dyDescent="0.35">
      <c r="A811" s="16" t="s">
        <v>3393</v>
      </c>
    </row>
    <row r="812" spans="1:1" x14ac:dyDescent="0.35">
      <c r="A812" s="16" t="s">
        <v>3394</v>
      </c>
    </row>
    <row r="813" spans="1:1" ht="29" x14ac:dyDescent="0.35">
      <c r="A813" s="16" t="s">
        <v>3395</v>
      </c>
    </row>
    <row r="814" spans="1:1" x14ac:dyDescent="0.35">
      <c r="A814" s="16" t="s">
        <v>3396</v>
      </c>
    </row>
    <row r="815" spans="1:1" x14ac:dyDescent="0.35">
      <c r="A815" s="16" t="s">
        <v>3397</v>
      </c>
    </row>
    <row r="816" spans="1:1" x14ac:dyDescent="0.35">
      <c r="A816" s="16" t="s">
        <v>3398</v>
      </c>
    </row>
    <row r="817" spans="1:1" x14ac:dyDescent="0.35">
      <c r="A817" s="16" t="s">
        <v>3399</v>
      </c>
    </row>
    <row r="818" spans="1:1" x14ac:dyDescent="0.35">
      <c r="A818" s="16" t="s">
        <v>3400</v>
      </c>
    </row>
    <row r="819" spans="1:1" x14ac:dyDescent="0.35">
      <c r="A819" s="16" t="s">
        <v>3401</v>
      </c>
    </row>
    <row r="820" spans="1:1" ht="29" x14ac:dyDescent="0.35">
      <c r="A820" s="16" t="s">
        <v>3402</v>
      </c>
    </row>
    <row r="821" spans="1:1" x14ac:dyDescent="0.35">
      <c r="A821" s="16" t="s">
        <v>3403</v>
      </c>
    </row>
    <row r="822" spans="1:1" ht="29" x14ac:dyDescent="0.35">
      <c r="A822" s="16" t="s">
        <v>3404</v>
      </c>
    </row>
    <row r="823" spans="1:1" x14ac:dyDescent="0.35">
      <c r="A823" s="16" t="s">
        <v>3405</v>
      </c>
    </row>
    <row r="824" spans="1:1" ht="29" x14ac:dyDescent="0.35">
      <c r="A824" s="16" t="s">
        <v>3406</v>
      </c>
    </row>
    <row r="825" spans="1:1" x14ac:dyDescent="0.35">
      <c r="A825" s="16" t="s">
        <v>3407</v>
      </c>
    </row>
    <row r="826" spans="1:1" ht="29" x14ac:dyDescent="0.35">
      <c r="A826" s="16" t="s">
        <v>3408</v>
      </c>
    </row>
    <row r="827" spans="1:1" x14ac:dyDescent="0.35">
      <c r="A827" s="16" t="s">
        <v>3409</v>
      </c>
    </row>
    <row r="828" spans="1:1" x14ac:dyDescent="0.35">
      <c r="A828" s="16" t="s">
        <v>3410</v>
      </c>
    </row>
    <row r="829" spans="1:1" x14ac:dyDescent="0.35">
      <c r="A829" s="16" t="s">
        <v>3411</v>
      </c>
    </row>
    <row r="830" spans="1:1" x14ac:dyDescent="0.35">
      <c r="A830" s="16" t="s">
        <v>3412</v>
      </c>
    </row>
    <row r="831" spans="1:1" ht="29" x14ac:dyDescent="0.35">
      <c r="A831" s="16" t="s">
        <v>3413</v>
      </c>
    </row>
    <row r="832" spans="1:1" x14ac:dyDescent="0.35">
      <c r="A832" s="16" t="s">
        <v>3414</v>
      </c>
    </row>
    <row r="833" spans="1:1" ht="29" x14ac:dyDescent="0.35">
      <c r="A833" s="16" t="s">
        <v>3415</v>
      </c>
    </row>
    <row r="834" spans="1:1" x14ac:dyDescent="0.35">
      <c r="A834" s="16" t="s">
        <v>3416</v>
      </c>
    </row>
    <row r="835" spans="1:1" x14ac:dyDescent="0.35">
      <c r="A835" s="16" t="s">
        <v>3417</v>
      </c>
    </row>
    <row r="836" spans="1:1" x14ac:dyDescent="0.35">
      <c r="A836" s="16" t="s">
        <v>3418</v>
      </c>
    </row>
    <row r="837" spans="1:1" ht="29" x14ac:dyDescent="0.35">
      <c r="A837" s="16" t="s">
        <v>3419</v>
      </c>
    </row>
    <row r="838" spans="1:1" x14ac:dyDescent="0.35">
      <c r="A838" s="16" t="s">
        <v>3420</v>
      </c>
    </row>
    <row r="839" spans="1:1" ht="29" x14ac:dyDescent="0.35">
      <c r="A839" s="16" t="s">
        <v>3421</v>
      </c>
    </row>
    <row r="840" spans="1:1" ht="29" x14ac:dyDescent="0.35">
      <c r="A840" s="16" t="s">
        <v>3422</v>
      </c>
    </row>
    <row r="841" spans="1:1" ht="29" x14ac:dyDescent="0.35">
      <c r="A841" s="16" t="s">
        <v>3423</v>
      </c>
    </row>
    <row r="842" spans="1:1" ht="29" x14ac:dyDescent="0.35">
      <c r="A842" s="16" t="s">
        <v>3424</v>
      </c>
    </row>
    <row r="843" spans="1:1" x14ac:dyDescent="0.35">
      <c r="A843" s="16" t="s">
        <v>3425</v>
      </c>
    </row>
    <row r="844" spans="1:1" x14ac:dyDescent="0.35">
      <c r="A844" s="16" t="s">
        <v>3426</v>
      </c>
    </row>
    <row r="845" spans="1:1" ht="29" x14ac:dyDescent="0.35">
      <c r="A845" s="16" t="s">
        <v>3427</v>
      </c>
    </row>
    <row r="846" spans="1:1" ht="29" x14ac:dyDescent="0.35">
      <c r="A846" s="16" t="s">
        <v>3428</v>
      </c>
    </row>
    <row r="847" spans="1:1" x14ac:dyDescent="0.35">
      <c r="A847" s="16" t="s">
        <v>3429</v>
      </c>
    </row>
    <row r="848" spans="1:1" x14ac:dyDescent="0.35">
      <c r="A848" s="16" t="s">
        <v>3430</v>
      </c>
    </row>
    <row r="849" spans="1:1" x14ac:dyDescent="0.35">
      <c r="A849" s="16" t="s">
        <v>3431</v>
      </c>
    </row>
    <row r="850" spans="1:1" ht="29" x14ac:dyDescent="0.35">
      <c r="A850" s="16" t="s">
        <v>3432</v>
      </c>
    </row>
    <row r="851" spans="1:1" x14ac:dyDescent="0.35">
      <c r="A851" s="16" t="s">
        <v>3433</v>
      </c>
    </row>
    <row r="852" spans="1:1" ht="29" x14ac:dyDescent="0.35">
      <c r="A852" s="16" t="s">
        <v>3434</v>
      </c>
    </row>
    <row r="853" spans="1:1" ht="29" x14ac:dyDescent="0.35">
      <c r="A853" s="16" t="s">
        <v>3435</v>
      </c>
    </row>
    <row r="854" spans="1:1" x14ac:dyDescent="0.35">
      <c r="A854" s="16" t="s">
        <v>3436</v>
      </c>
    </row>
    <row r="855" spans="1:1" x14ac:dyDescent="0.35">
      <c r="A855" s="16" t="s">
        <v>3437</v>
      </c>
    </row>
    <row r="856" spans="1:1" x14ac:dyDescent="0.35">
      <c r="A856" s="16" t="s">
        <v>3438</v>
      </c>
    </row>
    <row r="857" spans="1:1" x14ac:dyDescent="0.35">
      <c r="A857" s="16" t="s">
        <v>3439</v>
      </c>
    </row>
    <row r="858" spans="1:1" x14ac:dyDescent="0.35">
      <c r="A858" s="16" t="s">
        <v>3440</v>
      </c>
    </row>
    <row r="859" spans="1:1" x14ac:dyDescent="0.35">
      <c r="A859" s="16" t="s">
        <v>3441</v>
      </c>
    </row>
    <row r="860" spans="1:1" x14ac:dyDescent="0.35">
      <c r="A860" s="16" t="s">
        <v>3442</v>
      </c>
    </row>
    <row r="861" spans="1:1" ht="29" x14ac:dyDescent="0.35">
      <c r="A861" s="16" t="s">
        <v>3443</v>
      </c>
    </row>
    <row r="862" spans="1:1" ht="29" x14ac:dyDescent="0.35">
      <c r="A862" s="16" t="s">
        <v>3444</v>
      </c>
    </row>
    <row r="863" spans="1:1" ht="29" x14ac:dyDescent="0.35">
      <c r="A863" s="16" t="s">
        <v>3445</v>
      </c>
    </row>
    <row r="864" spans="1:1" ht="29" x14ac:dyDescent="0.35">
      <c r="A864" s="16" t="s">
        <v>3446</v>
      </c>
    </row>
    <row r="865" spans="1:1" ht="29" x14ac:dyDescent="0.35">
      <c r="A865" s="16" t="s">
        <v>3447</v>
      </c>
    </row>
    <row r="866" spans="1:1" ht="29" x14ac:dyDescent="0.35">
      <c r="A866" s="16" t="s">
        <v>3448</v>
      </c>
    </row>
    <row r="867" spans="1:1" x14ac:dyDescent="0.35">
      <c r="A867" s="16" t="s">
        <v>3449</v>
      </c>
    </row>
    <row r="868" spans="1:1" x14ac:dyDescent="0.35">
      <c r="A868" s="16" t="s">
        <v>3450</v>
      </c>
    </row>
    <row r="869" spans="1:1" x14ac:dyDescent="0.35">
      <c r="A869" s="16" t="s">
        <v>3451</v>
      </c>
    </row>
    <row r="870" spans="1:1" x14ac:dyDescent="0.35">
      <c r="A870" s="16" t="s">
        <v>3452</v>
      </c>
    </row>
    <row r="871" spans="1:1" x14ac:dyDescent="0.35">
      <c r="A871" s="16" t="s">
        <v>3453</v>
      </c>
    </row>
    <row r="872" spans="1:1" ht="29" x14ac:dyDescent="0.35">
      <c r="A872" s="16" t="s">
        <v>3454</v>
      </c>
    </row>
    <row r="873" spans="1:1" ht="29" x14ac:dyDescent="0.35">
      <c r="A873" s="16" t="s">
        <v>3455</v>
      </c>
    </row>
    <row r="874" spans="1:1" x14ac:dyDescent="0.35">
      <c r="A874" s="16" t="s">
        <v>3456</v>
      </c>
    </row>
    <row r="875" spans="1:1" x14ac:dyDescent="0.35">
      <c r="A875" s="16" t="s">
        <v>3457</v>
      </c>
    </row>
    <row r="876" spans="1:1" x14ac:dyDescent="0.35">
      <c r="A876" s="16" t="s">
        <v>3458</v>
      </c>
    </row>
    <row r="877" spans="1:1" ht="29" x14ac:dyDescent="0.35">
      <c r="A877" s="16" t="s">
        <v>3459</v>
      </c>
    </row>
    <row r="878" spans="1:1" ht="29" x14ac:dyDescent="0.35">
      <c r="A878" s="16" t="s">
        <v>3460</v>
      </c>
    </row>
    <row r="879" spans="1:1" x14ac:dyDescent="0.35">
      <c r="A879" s="16" t="s">
        <v>3461</v>
      </c>
    </row>
    <row r="880" spans="1:1" ht="29" x14ac:dyDescent="0.35">
      <c r="A880" s="16" t="s">
        <v>3462</v>
      </c>
    </row>
    <row r="881" spans="1:1" x14ac:dyDescent="0.35">
      <c r="A881" s="16" t="s">
        <v>3463</v>
      </c>
    </row>
    <row r="882" spans="1:1" x14ac:dyDescent="0.35">
      <c r="A882" s="16" t="s">
        <v>3464</v>
      </c>
    </row>
    <row r="883" spans="1:1" x14ac:dyDescent="0.35">
      <c r="A883" s="16" t="s">
        <v>3465</v>
      </c>
    </row>
    <row r="884" spans="1:1" x14ac:dyDescent="0.35">
      <c r="A884" s="16" t="s">
        <v>3466</v>
      </c>
    </row>
    <row r="885" spans="1:1" x14ac:dyDescent="0.35">
      <c r="A885" s="16" t="s">
        <v>3467</v>
      </c>
    </row>
    <row r="886" spans="1:1" ht="29" x14ac:dyDescent="0.35">
      <c r="A886" s="16" t="s">
        <v>3468</v>
      </c>
    </row>
    <row r="887" spans="1:1" x14ac:dyDescent="0.35">
      <c r="A887" s="16" t="s">
        <v>3469</v>
      </c>
    </row>
    <row r="888" spans="1:1" ht="29" x14ac:dyDescent="0.35">
      <c r="A888" s="16" t="s">
        <v>3470</v>
      </c>
    </row>
    <row r="889" spans="1:1" x14ac:dyDescent="0.35">
      <c r="A889" s="16" t="s">
        <v>3471</v>
      </c>
    </row>
    <row r="890" spans="1:1" x14ac:dyDescent="0.35">
      <c r="A890" s="16" t="s">
        <v>3472</v>
      </c>
    </row>
    <row r="891" spans="1:1" ht="29" x14ac:dyDescent="0.35">
      <c r="A891" s="16" t="s">
        <v>3473</v>
      </c>
    </row>
    <row r="892" spans="1:1" x14ac:dyDescent="0.35">
      <c r="A892" s="16" t="s">
        <v>3474</v>
      </c>
    </row>
    <row r="893" spans="1:1" x14ac:dyDescent="0.35">
      <c r="A893" s="16" t="s">
        <v>3475</v>
      </c>
    </row>
    <row r="894" spans="1:1" x14ac:dyDescent="0.35">
      <c r="A894" s="16" t="s">
        <v>3476</v>
      </c>
    </row>
    <row r="895" spans="1:1" x14ac:dyDescent="0.35">
      <c r="A895" s="16" t="s">
        <v>3477</v>
      </c>
    </row>
    <row r="896" spans="1:1" x14ac:dyDescent="0.35">
      <c r="A896" s="16" t="s">
        <v>3478</v>
      </c>
    </row>
    <row r="897" spans="1:1" x14ac:dyDescent="0.35">
      <c r="A897" s="16" t="s">
        <v>3479</v>
      </c>
    </row>
    <row r="898" spans="1:1" ht="29" x14ac:dyDescent="0.35">
      <c r="A898" s="16" t="s">
        <v>3480</v>
      </c>
    </row>
    <row r="899" spans="1:1" ht="29" x14ac:dyDescent="0.35">
      <c r="A899" s="16" t="s">
        <v>3481</v>
      </c>
    </row>
    <row r="900" spans="1:1" ht="29" x14ac:dyDescent="0.35">
      <c r="A900" s="16" t="s">
        <v>3482</v>
      </c>
    </row>
    <row r="901" spans="1:1" ht="29" x14ac:dyDescent="0.35">
      <c r="A901" s="16" t="s">
        <v>3483</v>
      </c>
    </row>
    <row r="902" spans="1:1" x14ac:dyDescent="0.35">
      <c r="A902" s="16" t="s">
        <v>3484</v>
      </c>
    </row>
    <row r="903" spans="1:1" x14ac:dyDescent="0.35">
      <c r="A903" s="16" t="s">
        <v>3485</v>
      </c>
    </row>
    <row r="904" spans="1:1" ht="29" x14ac:dyDescent="0.35">
      <c r="A904" s="16" t="s">
        <v>3486</v>
      </c>
    </row>
    <row r="905" spans="1:1" ht="29" x14ac:dyDescent="0.35">
      <c r="A905" s="16" t="s">
        <v>3487</v>
      </c>
    </row>
    <row r="906" spans="1:1" ht="29" x14ac:dyDescent="0.35">
      <c r="A906" s="16" t="s">
        <v>3488</v>
      </c>
    </row>
    <row r="907" spans="1:1" x14ac:dyDescent="0.35">
      <c r="A907" s="16" t="s">
        <v>3489</v>
      </c>
    </row>
    <row r="908" spans="1:1" x14ac:dyDescent="0.35">
      <c r="A908" s="16" t="s">
        <v>3490</v>
      </c>
    </row>
    <row r="909" spans="1:1" x14ac:dyDescent="0.35">
      <c r="A909" s="16" t="s">
        <v>3491</v>
      </c>
    </row>
    <row r="910" spans="1:1" ht="29" x14ac:dyDescent="0.35">
      <c r="A910" s="16" t="s">
        <v>3492</v>
      </c>
    </row>
    <row r="911" spans="1:1" x14ac:dyDescent="0.35">
      <c r="A911" s="16" t="s">
        <v>3493</v>
      </c>
    </row>
    <row r="912" spans="1:1" x14ac:dyDescent="0.35">
      <c r="A912" s="16" t="s">
        <v>3494</v>
      </c>
    </row>
    <row r="913" spans="1:1" ht="29" x14ac:dyDescent="0.35">
      <c r="A913" s="16" t="s">
        <v>3495</v>
      </c>
    </row>
    <row r="914" spans="1:1" x14ac:dyDescent="0.35">
      <c r="A914" s="16" t="s">
        <v>3496</v>
      </c>
    </row>
    <row r="915" spans="1:1" x14ac:dyDescent="0.35">
      <c r="A915" s="16" t="s">
        <v>3497</v>
      </c>
    </row>
    <row r="916" spans="1:1" x14ac:dyDescent="0.35">
      <c r="A916" s="16" t="s">
        <v>3498</v>
      </c>
    </row>
    <row r="917" spans="1:1" x14ac:dyDescent="0.35">
      <c r="A917" s="16" t="s">
        <v>3499</v>
      </c>
    </row>
    <row r="918" spans="1:1" x14ac:dyDescent="0.35">
      <c r="A918" s="16" t="s">
        <v>3500</v>
      </c>
    </row>
    <row r="919" spans="1:1" x14ac:dyDescent="0.35">
      <c r="A919" s="16" t="s">
        <v>3501</v>
      </c>
    </row>
    <row r="920" spans="1:1" ht="29" x14ac:dyDescent="0.35">
      <c r="A920" s="16" t="s">
        <v>3502</v>
      </c>
    </row>
    <row r="921" spans="1:1" x14ac:dyDescent="0.35">
      <c r="A921" s="16" t="s">
        <v>3503</v>
      </c>
    </row>
    <row r="922" spans="1:1" x14ac:dyDescent="0.35">
      <c r="A922" s="16" t="s">
        <v>3504</v>
      </c>
    </row>
    <row r="923" spans="1:1" x14ac:dyDescent="0.35">
      <c r="A923" s="16" t="s">
        <v>3505</v>
      </c>
    </row>
    <row r="924" spans="1:1" ht="29" x14ac:dyDescent="0.35">
      <c r="A924" s="16" t="s">
        <v>3506</v>
      </c>
    </row>
    <row r="925" spans="1:1" x14ac:dyDescent="0.35">
      <c r="A925" s="16" t="s">
        <v>3507</v>
      </c>
    </row>
    <row r="926" spans="1:1" x14ac:dyDescent="0.35">
      <c r="A926" s="16" t="s">
        <v>3508</v>
      </c>
    </row>
    <row r="927" spans="1:1" x14ac:dyDescent="0.35">
      <c r="A927" s="16" t="s">
        <v>3509</v>
      </c>
    </row>
    <row r="928" spans="1:1" ht="29" x14ac:dyDescent="0.35">
      <c r="A928" s="16" t="s">
        <v>3510</v>
      </c>
    </row>
    <row r="929" spans="1:1" ht="29" x14ac:dyDescent="0.35">
      <c r="A929" s="16" t="s">
        <v>3511</v>
      </c>
    </row>
    <row r="930" spans="1:1" x14ac:dyDescent="0.35">
      <c r="A930" s="16" t="s">
        <v>3512</v>
      </c>
    </row>
    <row r="931" spans="1:1" ht="29" x14ac:dyDescent="0.35">
      <c r="A931" s="16" t="s">
        <v>3513</v>
      </c>
    </row>
    <row r="932" spans="1:1" x14ac:dyDescent="0.35">
      <c r="A932" s="16" t="s">
        <v>3514</v>
      </c>
    </row>
    <row r="933" spans="1:1" x14ac:dyDescent="0.35">
      <c r="A933" s="16" t="s">
        <v>3515</v>
      </c>
    </row>
    <row r="934" spans="1:1" x14ac:dyDescent="0.35">
      <c r="A934" s="16" t="s">
        <v>3516</v>
      </c>
    </row>
    <row r="935" spans="1:1" ht="29" x14ac:dyDescent="0.35">
      <c r="A935" s="16" t="s">
        <v>3517</v>
      </c>
    </row>
    <row r="936" spans="1:1" ht="29" x14ac:dyDescent="0.35">
      <c r="A936" s="16" t="s">
        <v>3518</v>
      </c>
    </row>
    <row r="937" spans="1:1" ht="29" x14ac:dyDescent="0.35">
      <c r="A937" s="16" t="s">
        <v>3519</v>
      </c>
    </row>
    <row r="938" spans="1:1" x14ac:dyDescent="0.35">
      <c r="A938" s="16" t="s">
        <v>3520</v>
      </c>
    </row>
    <row r="939" spans="1:1" ht="29" x14ac:dyDescent="0.35">
      <c r="A939" s="16" t="s">
        <v>3521</v>
      </c>
    </row>
    <row r="940" spans="1:1" x14ac:dyDescent="0.35">
      <c r="A940" s="16" t="s">
        <v>3522</v>
      </c>
    </row>
    <row r="941" spans="1:1" x14ac:dyDescent="0.35">
      <c r="A941" s="16" t="s">
        <v>3523</v>
      </c>
    </row>
    <row r="942" spans="1:1" ht="29" x14ac:dyDescent="0.35">
      <c r="A942" s="16" t="s">
        <v>3524</v>
      </c>
    </row>
    <row r="943" spans="1:1" x14ac:dyDescent="0.35">
      <c r="A943" s="16" t="s">
        <v>3525</v>
      </c>
    </row>
    <row r="944" spans="1:1" x14ac:dyDescent="0.35">
      <c r="A944" s="16" t="s">
        <v>3526</v>
      </c>
    </row>
    <row r="945" spans="1:1" ht="29" x14ac:dyDescent="0.35">
      <c r="A945" s="16" t="s">
        <v>3527</v>
      </c>
    </row>
    <row r="946" spans="1:1" ht="29" x14ac:dyDescent="0.35">
      <c r="A946" s="16" t="s">
        <v>3528</v>
      </c>
    </row>
    <row r="947" spans="1:1" x14ac:dyDescent="0.35">
      <c r="A947" s="16" t="s">
        <v>3529</v>
      </c>
    </row>
    <row r="948" spans="1:1" x14ac:dyDescent="0.35">
      <c r="A948" s="16" t="s">
        <v>3530</v>
      </c>
    </row>
    <row r="949" spans="1:1" ht="29" x14ac:dyDescent="0.35">
      <c r="A949" s="16" t="s">
        <v>3531</v>
      </c>
    </row>
    <row r="950" spans="1:1" ht="29" x14ac:dyDescent="0.35">
      <c r="A950" s="16" t="s">
        <v>3532</v>
      </c>
    </row>
    <row r="951" spans="1:1" x14ac:dyDescent="0.35">
      <c r="A951" s="16" t="s">
        <v>3533</v>
      </c>
    </row>
    <row r="952" spans="1:1" ht="29" x14ac:dyDescent="0.35">
      <c r="A952" s="16" t="s">
        <v>3534</v>
      </c>
    </row>
    <row r="953" spans="1:1" x14ac:dyDescent="0.35">
      <c r="A953" s="16" t="s">
        <v>3535</v>
      </c>
    </row>
    <row r="954" spans="1:1" x14ac:dyDescent="0.35">
      <c r="A954" s="16" t="s">
        <v>3536</v>
      </c>
    </row>
    <row r="955" spans="1:1" ht="29" x14ac:dyDescent="0.35">
      <c r="A955" s="16" t="s">
        <v>3537</v>
      </c>
    </row>
    <row r="956" spans="1:1" x14ac:dyDescent="0.35">
      <c r="A956" s="16" t="s">
        <v>3538</v>
      </c>
    </row>
    <row r="957" spans="1:1" x14ac:dyDescent="0.35">
      <c r="A957" s="16" t="s">
        <v>3539</v>
      </c>
    </row>
    <row r="958" spans="1:1" ht="29" x14ac:dyDescent="0.35">
      <c r="A958" s="16" t="s">
        <v>3540</v>
      </c>
    </row>
    <row r="959" spans="1:1" x14ac:dyDescent="0.35">
      <c r="A959" s="16" t="s">
        <v>3541</v>
      </c>
    </row>
    <row r="960" spans="1:1" x14ac:dyDescent="0.35">
      <c r="A960" s="16" t="s">
        <v>3542</v>
      </c>
    </row>
    <row r="961" spans="1:1" x14ac:dyDescent="0.35">
      <c r="A961" s="16" t="s">
        <v>3543</v>
      </c>
    </row>
    <row r="962" spans="1:1" x14ac:dyDescent="0.35">
      <c r="A962" s="16" t="s">
        <v>3544</v>
      </c>
    </row>
    <row r="963" spans="1:1" x14ac:dyDescent="0.35">
      <c r="A963" s="16" t="s">
        <v>3545</v>
      </c>
    </row>
    <row r="964" spans="1:1" ht="29" x14ac:dyDescent="0.35">
      <c r="A964" s="16" t="s">
        <v>3546</v>
      </c>
    </row>
    <row r="965" spans="1:1" ht="29" x14ac:dyDescent="0.35">
      <c r="A965" s="16" t="s">
        <v>3547</v>
      </c>
    </row>
    <row r="966" spans="1:1" x14ac:dyDescent="0.35">
      <c r="A966" s="16" t="s">
        <v>3548</v>
      </c>
    </row>
    <row r="967" spans="1:1" x14ac:dyDescent="0.35">
      <c r="A967" s="16" t="s">
        <v>3549</v>
      </c>
    </row>
    <row r="968" spans="1:1" ht="29" x14ac:dyDescent="0.35">
      <c r="A968" s="16" t="s">
        <v>3550</v>
      </c>
    </row>
    <row r="969" spans="1:1" x14ac:dyDescent="0.35">
      <c r="A969" s="16" t="s">
        <v>3551</v>
      </c>
    </row>
    <row r="970" spans="1:1" x14ac:dyDescent="0.35">
      <c r="A970" s="16" t="s">
        <v>3552</v>
      </c>
    </row>
    <row r="971" spans="1:1" ht="29" x14ac:dyDescent="0.35">
      <c r="A971" s="16" t="s">
        <v>3553</v>
      </c>
    </row>
    <row r="972" spans="1:1" x14ac:dyDescent="0.35">
      <c r="A972" s="16" t="s">
        <v>3554</v>
      </c>
    </row>
    <row r="973" spans="1:1" x14ac:dyDescent="0.35">
      <c r="A973" s="16" t="s">
        <v>3555</v>
      </c>
    </row>
    <row r="974" spans="1:1" x14ac:dyDescent="0.35">
      <c r="A974" s="16" t="s">
        <v>3556</v>
      </c>
    </row>
    <row r="975" spans="1:1" ht="29" x14ac:dyDescent="0.35">
      <c r="A975" s="16" t="s">
        <v>3557</v>
      </c>
    </row>
    <row r="976" spans="1:1" ht="29" x14ac:dyDescent="0.35">
      <c r="A976" s="16" t="s">
        <v>3558</v>
      </c>
    </row>
    <row r="977" spans="1:1" x14ac:dyDescent="0.35">
      <c r="A977" s="16" t="s">
        <v>3559</v>
      </c>
    </row>
    <row r="978" spans="1:1" ht="29" x14ac:dyDescent="0.35">
      <c r="A978" s="16" t="s">
        <v>3560</v>
      </c>
    </row>
    <row r="979" spans="1:1" ht="29" x14ac:dyDescent="0.35">
      <c r="A979" s="16" t="s">
        <v>3561</v>
      </c>
    </row>
    <row r="980" spans="1:1" ht="29" x14ac:dyDescent="0.35">
      <c r="A980" s="16" t="s">
        <v>3562</v>
      </c>
    </row>
    <row r="981" spans="1:1" ht="29" x14ac:dyDescent="0.35">
      <c r="A981" s="16" t="s">
        <v>3563</v>
      </c>
    </row>
    <row r="982" spans="1:1" x14ac:dyDescent="0.35">
      <c r="A982" s="16" t="s">
        <v>3564</v>
      </c>
    </row>
    <row r="983" spans="1:1" ht="29" x14ac:dyDescent="0.35">
      <c r="A983" s="16" t="s">
        <v>3565</v>
      </c>
    </row>
    <row r="984" spans="1:1" x14ac:dyDescent="0.35">
      <c r="A984" s="16" t="s">
        <v>3566</v>
      </c>
    </row>
    <row r="985" spans="1:1" x14ac:dyDescent="0.35">
      <c r="A985" s="16" t="s">
        <v>3567</v>
      </c>
    </row>
    <row r="986" spans="1:1" ht="29" x14ac:dyDescent="0.35">
      <c r="A986" s="16" t="s">
        <v>3568</v>
      </c>
    </row>
    <row r="987" spans="1:1" ht="29" x14ac:dyDescent="0.35">
      <c r="A987" s="16" t="s">
        <v>3569</v>
      </c>
    </row>
    <row r="988" spans="1:1" x14ac:dyDescent="0.35">
      <c r="A988" s="16" t="s">
        <v>3570</v>
      </c>
    </row>
    <row r="989" spans="1:1" ht="29" x14ac:dyDescent="0.35">
      <c r="A989" s="16" t="s">
        <v>3571</v>
      </c>
    </row>
    <row r="990" spans="1:1" ht="29" x14ac:dyDescent="0.35">
      <c r="A990" s="16" t="s">
        <v>3572</v>
      </c>
    </row>
    <row r="991" spans="1:1" x14ac:dyDescent="0.35">
      <c r="A991" s="16" t="s">
        <v>3573</v>
      </c>
    </row>
    <row r="992" spans="1:1" ht="29" x14ac:dyDescent="0.35">
      <c r="A992" s="16" t="s">
        <v>3574</v>
      </c>
    </row>
    <row r="993" spans="1:1" x14ac:dyDescent="0.35">
      <c r="A993" s="16" t="s">
        <v>3575</v>
      </c>
    </row>
    <row r="994" spans="1:1" x14ac:dyDescent="0.35">
      <c r="A994" s="16" t="s">
        <v>3576</v>
      </c>
    </row>
    <row r="995" spans="1:1" x14ac:dyDescent="0.35">
      <c r="A995" s="16" t="s">
        <v>3577</v>
      </c>
    </row>
    <row r="996" spans="1:1" x14ac:dyDescent="0.35">
      <c r="A996" s="16" t="s">
        <v>3578</v>
      </c>
    </row>
    <row r="997" spans="1:1" x14ac:dyDescent="0.35">
      <c r="A997" s="16" t="s">
        <v>3579</v>
      </c>
    </row>
    <row r="998" spans="1:1" ht="29" x14ac:dyDescent="0.35">
      <c r="A998" s="16" t="s">
        <v>3580</v>
      </c>
    </row>
    <row r="999" spans="1:1" ht="29" x14ac:dyDescent="0.35">
      <c r="A999" s="16" t="s">
        <v>3581</v>
      </c>
    </row>
    <row r="1000" spans="1:1" ht="29" x14ac:dyDescent="0.35">
      <c r="A1000" s="16" t="s">
        <v>3582</v>
      </c>
    </row>
    <row r="1001" spans="1:1" x14ac:dyDescent="0.35">
      <c r="A1001" s="16" t="s">
        <v>3583</v>
      </c>
    </row>
    <row r="1002" spans="1:1" ht="29" x14ac:dyDescent="0.35">
      <c r="A1002" s="16" t="s">
        <v>3584</v>
      </c>
    </row>
    <row r="1003" spans="1:1" ht="29" x14ac:dyDescent="0.35">
      <c r="A1003" s="16" t="s">
        <v>3585</v>
      </c>
    </row>
    <row r="1004" spans="1:1" ht="29" x14ac:dyDescent="0.35">
      <c r="A1004" s="16" t="s">
        <v>3586</v>
      </c>
    </row>
    <row r="1005" spans="1:1" x14ac:dyDescent="0.35">
      <c r="A1005" s="16" t="s">
        <v>3587</v>
      </c>
    </row>
    <row r="1006" spans="1:1" x14ac:dyDescent="0.35">
      <c r="A1006" s="16" t="s">
        <v>3588</v>
      </c>
    </row>
    <row r="1007" spans="1:1" ht="29" x14ac:dyDescent="0.35">
      <c r="A1007" s="16" t="s">
        <v>3589</v>
      </c>
    </row>
    <row r="1008" spans="1:1" ht="29" x14ac:dyDescent="0.35">
      <c r="A1008" s="16" t="s">
        <v>3590</v>
      </c>
    </row>
    <row r="1009" spans="1:1" x14ac:dyDescent="0.35">
      <c r="A1009" s="16" t="s">
        <v>3591</v>
      </c>
    </row>
    <row r="1010" spans="1:1" ht="29" x14ac:dyDescent="0.35">
      <c r="A1010" s="16" t="s">
        <v>3592</v>
      </c>
    </row>
    <row r="1011" spans="1:1" x14ac:dyDescent="0.35">
      <c r="A1011" s="16" t="s">
        <v>3593</v>
      </c>
    </row>
    <row r="1012" spans="1:1" x14ac:dyDescent="0.35">
      <c r="A1012" s="16" t="s">
        <v>3594</v>
      </c>
    </row>
    <row r="1013" spans="1:1" x14ac:dyDescent="0.35">
      <c r="A1013" s="16" t="s">
        <v>3595</v>
      </c>
    </row>
    <row r="1014" spans="1:1" x14ac:dyDescent="0.35">
      <c r="A1014" s="16" t="s">
        <v>3596</v>
      </c>
    </row>
    <row r="1015" spans="1:1" ht="29" x14ac:dyDescent="0.35">
      <c r="A1015" s="16" t="s">
        <v>3597</v>
      </c>
    </row>
    <row r="1016" spans="1:1" ht="29" x14ac:dyDescent="0.35">
      <c r="A1016" s="16" t="s">
        <v>3598</v>
      </c>
    </row>
    <row r="1017" spans="1:1" ht="29" x14ac:dyDescent="0.35">
      <c r="A1017" s="16" t="s">
        <v>3599</v>
      </c>
    </row>
    <row r="1018" spans="1:1" ht="29" x14ac:dyDescent="0.35">
      <c r="A1018" s="16" t="s">
        <v>3600</v>
      </c>
    </row>
    <row r="1019" spans="1:1" ht="29" x14ac:dyDescent="0.35">
      <c r="A1019" s="16" t="s">
        <v>3601</v>
      </c>
    </row>
    <row r="1020" spans="1:1" ht="29" x14ac:dyDescent="0.35">
      <c r="A1020" s="16" t="s">
        <v>3602</v>
      </c>
    </row>
    <row r="1021" spans="1:1" x14ac:dyDescent="0.35">
      <c r="A1021" s="16" t="s">
        <v>3603</v>
      </c>
    </row>
    <row r="1022" spans="1:1" x14ac:dyDescent="0.35">
      <c r="A1022" s="16" t="s">
        <v>3604</v>
      </c>
    </row>
    <row r="1023" spans="1:1" ht="29" x14ac:dyDescent="0.35">
      <c r="A1023" s="16" t="s">
        <v>3605</v>
      </c>
    </row>
    <row r="1024" spans="1:1" ht="29" x14ac:dyDescent="0.35">
      <c r="A1024" s="16" t="s">
        <v>3606</v>
      </c>
    </row>
    <row r="1025" spans="1:1" ht="29" x14ac:dyDescent="0.35">
      <c r="A1025" s="16" t="s">
        <v>3607</v>
      </c>
    </row>
    <row r="1026" spans="1:1" ht="29" x14ac:dyDescent="0.35">
      <c r="A1026" s="16" t="s">
        <v>3608</v>
      </c>
    </row>
    <row r="1027" spans="1:1" ht="29" x14ac:dyDescent="0.35">
      <c r="A1027" s="16" t="s">
        <v>3609</v>
      </c>
    </row>
    <row r="1028" spans="1:1" x14ac:dyDescent="0.35">
      <c r="A1028" s="16" t="s">
        <v>3610</v>
      </c>
    </row>
    <row r="1029" spans="1:1" ht="29" x14ac:dyDescent="0.35">
      <c r="A1029" s="16" t="s">
        <v>3611</v>
      </c>
    </row>
    <row r="1030" spans="1:1" x14ac:dyDescent="0.35">
      <c r="A1030" s="16" t="s">
        <v>3612</v>
      </c>
    </row>
    <row r="1031" spans="1:1" ht="29" x14ac:dyDescent="0.35">
      <c r="A1031" s="16" t="s">
        <v>3613</v>
      </c>
    </row>
    <row r="1032" spans="1:1" x14ac:dyDescent="0.35">
      <c r="A1032" s="16" t="s">
        <v>3614</v>
      </c>
    </row>
    <row r="1033" spans="1:1" x14ac:dyDescent="0.35">
      <c r="A1033" s="16" t="s">
        <v>3615</v>
      </c>
    </row>
    <row r="1034" spans="1:1" ht="29" x14ac:dyDescent="0.35">
      <c r="A1034" s="16" t="s">
        <v>3616</v>
      </c>
    </row>
    <row r="1035" spans="1:1" x14ac:dyDescent="0.35">
      <c r="A1035" s="16" t="s">
        <v>3617</v>
      </c>
    </row>
    <row r="1036" spans="1:1" x14ac:dyDescent="0.35">
      <c r="A1036" s="16" t="s">
        <v>3618</v>
      </c>
    </row>
    <row r="1037" spans="1:1" x14ac:dyDescent="0.35">
      <c r="A1037" s="16" t="s">
        <v>3619</v>
      </c>
    </row>
    <row r="1038" spans="1:1" ht="29" x14ac:dyDescent="0.35">
      <c r="A1038" s="16" t="s">
        <v>3620</v>
      </c>
    </row>
    <row r="1039" spans="1:1" x14ac:dyDescent="0.35">
      <c r="A1039" s="16" t="s">
        <v>3621</v>
      </c>
    </row>
    <row r="1040" spans="1:1" x14ac:dyDescent="0.35">
      <c r="A1040" s="16" t="s">
        <v>3622</v>
      </c>
    </row>
    <row r="1041" spans="1:1" x14ac:dyDescent="0.35">
      <c r="A1041" s="16" t="s">
        <v>3623</v>
      </c>
    </row>
    <row r="1042" spans="1:1" x14ac:dyDescent="0.35">
      <c r="A1042" s="16" t="s">
        <v>3624</v>
      </c>
    </row>
    <row r="1043" spans="1:1" x14ac:dyDescent="0.35">
      <c r="A1043" s="16" t="s">
        <v>3625</v>
      </c>
    </row>
    <row r="1044" spans="1:1" ht="29" x14ac:dyDescent="0.35">
      <c r="A1044" s="16" t="s">
        <v>3626</v>
      </c>
    </row>
    <row r="1045" spans="1:1" x14ac:dyDescent="0.35">
      <c r="A1045" s="16" t="s">
        <v>3627</v>
      </c>
    </row>
    <row r="1046" spans="1:1" x14ac:dyDescent="0.35">
      <c r="A1046" s="16" t="s">
        <v>3628</v>
      </c>
    </row>
    <row r="1047" spans="1:1" ht="29" x14ac:dyDescent="0.35">
      <c r="A1047" s="16" t="s">
        <v>3629</v>
      </c>
    </row>
    <row r="1048" spans="1:1" x14ac:dyDescent="0.35">
      <c r="A1048" s="16" t="s">
        <v>3630</v>
      </c>
    </row>
    <row r="1049" spans="1:1" ht="29" x14ac:dyDescent="0.35">
      <c r="A1049" s="16" t="s">
        <v>3631</v>
      </c>
    </row>
    <row r="1050" spans="1:1" x14ac:dyDescent="0.35">
      <c r="A1050" s="16" t="s">
        <v>3632</v>
      </c>
    </row>
    <row r="1051" spans="1:1" ht="29" x14ac:dyDescent="0.35">
      <c r="A1051" s="16" t="s">
        <v>3633</v>
      </c>
    </row>
    <row r="1052" spans="1:1" x14ac:dyDescent="0.35">
      <c r="A1052" s="16" t="s">
        <v>3634</v>
      </c>
    </row>
    <row r="1053" spans="1:1" x14ac:dyDescent="0.35">
      <c r="A1053" s="16" t="s">
        <v>3635</v>
      </c>
    </row>
    <row r="1054" spans="1:1" x14ac:dyDescent="0.35">
      <c r="A1054" s="16" t="s">
        <v>3636</v>
      </c>
    </row>
    <row r="1055" spans="1:1" x14ac:dyDescent="0.35">
      <c r="A1055" s="16" t="s">
        <v>3637</v>
      </c>
    </row>
    <row r="1056" spans="1:1" x14ac:dyDescent="0.35">
      <c r="A1056" s="16" t="s">
        <v>3638</v>
      </c>
    </row>
    <row r="1057" spans="1:1" x14ac:dyDescent="0.35">
      <c r="A1057" s="16" t="s">
        <v>3639</v>
      </c>
    </row>
    <row r="1058" spans="1:1" ht="29" x14ac:dyDescent="0.35">
      <c r="A1058" s="16" t="s">
        <v>3640</v>
      </c>
    </row>
    <row r="1059" spans="1:1" x14ac:dyDescent="0.35">
      <c r="A1059" s="16" t="s">
        <v>3641</v>
      </c>
    </row>
    <row r="1060" spans="1:1" x14ac:dyDescent="0.35">
      <c r="A1060" s="16" t="s">
        <v>3642</v>
      </c>
    </row>
    <row r="1061" spans="1:1" x14ac:dyDescent="0.35">
      <c r="A1061" s="16" t="s">
        <v>3643</v>
      </c>
    </row>
    <row r="1062" spans="1:1" x14ac:dyDescent="0.35">
      <c r="A1062" s="16" t="s">
        <v>3644</v>
      </c>
    </row>
    <row r="1063" spans="1:1" x14ac:dyDescent="0.35">
      <c r="A1063" s="16" t="s">
        <v>3645</v>
      </c>
    </row>
    <row r="1064" spans="1:1" ht="29" x14ac:dyDescent="0.35">
      <c r="A1064" s="16" t="s">
        <v>3646</v>
      </c>
    </row>
    <row r="1065" spans="1:1" ht="29" x14ac:dyDescent="0.35">
      <c r="A1065" s="16" t="s">
        <v>3647</v>
      </c>
    </row>
    <row r="1066" spans="1:1" x14ac:dyDescent="0.35">
      <c r="A1066" s="16" t="s">
        <v>3648</v>
      </c>
    </row>
    <row r="1067" spans="1:1" x14ac:dyDescent="0.35">
      <c r="A1067" s="16" t="s">
        <v>3649</v>
      </c>
    </row>
    <row r="1068" spans="1:1" x14ac:dyDescent="0.35">
      <c r="A1068" s="16" t="s">
        <v>3650</v>
      </c>
    </row>
    <row r="1069" spans="1:1" x14ac:dyDescent="0.35">
      <c r="A1069" s="16" t="s">
        <v>3651</v>
      </c>
    </row>
    <row r="1070" spans="1:1" ht="29" x14ac:dyDescent="0.35">
      <c r="A1070" s="16" t="s">
        <v>3652</v>
      </c>
    </row>
    <row r="1071" spans="1:1" x14ac:dyDescent="0.35">
      <c r="A1071" s="16" t="s">
        <v>3653</v>
      </c>
    </row>
    <row r="1072" spans="1:1" ht="29" x14ac:dyDescent="0.35">
      <c r="A1072" s="16" t="s">
        <v>3654</v>
      </c>
    </row>
    <row r="1073" spans="1:1" ht="29" x14ac:dyDescent="0.35">
      <c r="A1073" s="16" t="s">
        <v>3655</v>
      </c>
    </row>
    <row r="1074" spans="1:1" x14ac:dyDescent="0.35">
      <c r="A1074" s="16" t="s">
        <v>3656</v>
      </c>
    </row>
    <row r="1075" spans="1:1" ht="29" x14ac:dyDescent="0.35">
      <c r="A1075" s="16" t="s">
        <v>3657</v>
      </c>
    </row>
    <row r="1076" spans="1:1" x14ac:dyDescent="0.35">
      <c r="A1076" s="16" t="s">
        <v>3658</v>
      </c>
    </row>
    <row r="1077" spans="1:1" x14ac:dyDescent="0.35">
      <c r="A1077" s="16" t="s">
        <v>3659</v>
      </c>
    </row>
    <row r="1078" spans="1:1" ht="29" x14ac:dyDescent="0.35">
      <c r="A1078" s="16" t="s">
        <v>3660</v>
      </c>
    </row>
    <row r="1079" spans="1:1" x14ac:dyDescent="0.35">
      <c r="A1079" s="16" t="s">
        <v>3661</v>
      </c>
    </row>
    <row r="1080" spans="1:1" ht="29" x14ac:dyDescent="0.35">
      <c r="A1080" s="16" t="s">
        <v>3662</v>
      </c>
    </row>
    <row r="1081" spans="1:1" ht="29" x14ac:dyDescent="0.35">
      <c r="A1081" s="16" t="s">
        <v>3663</v>
      </c>
    </row>
    <row r="1082" spans="1:1" x14ac:dyDescent="0.35">
      <c r="A1082" s="16" t="s">
        <v>3664</v>
      </c>
    </row>
    <row r="1083" spans="1:1" ht="29" x14ac:dyDescent="0.35">
      <c r="A1083" s="16" t="s">
        <v>3665</v>
      </c>
    </row>
    <row r="1084" spans="1:1" x14ac:dyDescent="0.35">
      <c r="A1084" s="16" t="s">
        <v>3666</v>
      </c>
    </row>
    <row r="1085" spans="1:1" ht="29" x14ac:dyDescent="0.35">
      <c r="A1085" s="16" t="s">
        <v>3667</v>
      </c>
    </row>
    <row r="1086" spans="1:1" x14ac:dyDescent="0.35">
      <c r="A1086" s="16" t="s">
        <v>3668</v>
      </c>
    </row>
    <row r="1087" spans="1:1" x14ac:dyDescent="0.35">
      <c r="A1087" s="16" t="s">
        <v>3669</v>
      </c>
    </row>
    <row r="1088" spans="1:1" x14ac:dyDescent="0.35">
      <c r="A1088" s="16" t="s">
        <v>3670</v>
      </c>
    </row>
    <row r="1089" spans="1:1" x14ac:dyDescent="0.35">
      <c r="A1089" s="16" t="s">
        <v>3671</v>
      </c>
    </row>
    <row r="1090" spans="1:1" ht="29" x14ac:dyDescent="0.35">
      <c r="A1090" s="16" t="s">
        <v>3672</v>
      </c>
    </row>
    <row r="1091" spans="1:1" ht="29" x14ac:dyDescent="0.35">
      <c r="A1091" s="16" t="s">
        <v>3673</v>
      </c>
    </row>
    <row r="1092" spans="1:1" ht="29" x14ac:dyDescent="0.35">
      <c r="A1092" s="16" t="s">
        <v>3674</v>
      </c>
    </row>
    <row r="1093" spans="1:1" x14ac:dyDescent="0.35">
      <c r="A1093" s="16" t="s">
        <v>3675</v>
      </c>
    </row>
    <row r="1094" spans="1:1" x14ac:dyDescent="0.35">
      <c r="A1094" s="16" t="s">
        <v>3676</v>
      </c>
    </row>
    <row r="1095" spans="1:1" ht="29" x14ac:dyDescent="0.35">
      <c r="A1095" s="16" t="s">
        <v>3677</v>
      </c>
    </row>
    <row r="1096" spans="1:1" ht="29" x14ac:dyDescent="0.35">
      <c r="A1096" s="16" t="s">
        <v>3678</v>
      </c>
    </row>
    <row r="1097" spans="1:1" x14ac:dyDescent="0.35">
      <c r="A1097" s="16" t="s">
        <v>3679</v>
      </c>
    </row>
    <row r="1098" spans="1:1" ht="29" x14ac:dyDescent="0.35">
      <c r="A1098" s="16" t="s">
        <v>3680</v>
      </c>
    </row>
    <row r="1099" spans="1:1" ht="29" x14ac:dyDescent="0.35">
      <c r="A1099" s="16" t="s">
        <v>3681</v>
      </c>
    </row>
    <row r="1100" spans="1:1" ht="29" x14ac:dyDescent="0.35">
      <c r="A1100" s="16" t="s">
        <v>3682</v>
      </c>
    </row>
    <row r="1101" spans="1:1" x14ac:dyDescent="0.35">
      <c r="A1101" s="16" t="s">
        <v>3683</v>
      </c>
    </row>
    <row r="1102" spans="1:1" x14ac:dyDescent="0.35">
      <c r="A1102" s="16" t="s">
        <v>3684</v>
      </c>
    </row>
    <row r="1103" spans="1:1" x14ac:dyDescent="0.35">
      <c r="A1103" s="16" t="s">
        <v>3685</v>
      </c>
    </row>
    <row r="1104" spans="1:1" ht="29" x14ac:dyDescent="0.35">
      <c r="A1104" s="16" t="s">
        <v>3686</v>
      </c>
    </row>
    <row r="1105" spans="1:1" ht="29" x14ac:dyDescent="0.35">
      <c r="A1105" s="16" t="s">
        <v>3687</v>
      </c>
    </row>
    <row r="1106" spans="1:1" ht="29" x14ac:dyDescent="0.35">
      <c r="A1106" s="16" t="s">
        <v>3688</v>
      </c>
    </row>
    <row r="1107" spans="1:1" x14ac:dyDescent="0.35">
      <c r="A1107" s="16" t="s">
        <v>3689</v>
      </c>
    </row>
    <row r="1108" spans="1:1" x14ac:dyDescent="0.35">
      <c r="A1108" s="16" t="s">
        <v>3690</v>
      </c>
    </row>
    <row r="1109" spans="1:1" ht="29" x14ac:dyDescent="0.35">
      <c r="A1109" s="16" t="s">
        <v>3691</v>
      </c>
    </row>
    <row r="1110" spans="1:1" x14ac:dyDescent="0.35">
      <c r="A1110" s="16" t="s">
        <v>3692</v>
      </c>
    </row>
    <row r="1111" spans="1:1" ht="29" x14ac:dyDescent="0.35">
      <c r="A1111" s="16" t="s">
        <v>3693</v>
      </c>
    </row>
    <row r="1112" spans="1:1" x14ac:dyDescent="0.35">
      <c r="A1112" s="16" t="s">
        <v>3694</v>
      </c>
    </row>
    <row r="1113" spans="1:1" ht="29" x14ac:dyDescent="0.35">
      <c r="A1113" s="16" t="s">
        <v>3695</v>
      </c>
    </row>
    <row r="1114" spans="1:1" x14ac:dyDescent="0.35">
      <c r="A1114" s="16" t="s">
        <v>3696</v>
      </c>
    </row>
    <row r="1115" spans="1:1" ht="29" x14ac:dyDescent="0.35">
      <c r="A1115" s="16" t="s">
        <v>3697</v>
      </c>
    </row>
    <row r="1116" spans="1:1" x14ac:dyDescent="0.35">
      <c r="A1116" s="16" t="s">
        <v>3698</v>
      </c>
    </row>
    <row r="1117" spans="1:1" ht="29" x14ac:dyDescent="0.35">
      <c r="A1117" s="16" t="s">
        <v>3699</v>
      </c>
    </row>
    <row r="1118" spans="1:1" x14ac:dyDescent="0.35">
      <c r="A1118" s="16" t="s">
        <v>3700</v>
      </c>
    </row>
    <row r="1119" spans="1:1" x14ac:dyDescent="0.35">
      <c r="A1119" s="16" t="s">
        <v>3701</v>
      </c>
    </row>
    <row r="1120" spans="1:1" ht="29" x14ac:dyDescent="0.35">
      <c r="A1120" s="16" t="s">
        <v>3702</v>
      </c>
    </row>
    <row r="1121" spans="1:1" ht="29" x14ac:dyDescent="0.35">
      <c r="A1121" s="16" t="s">
        <v>3703</v>
      </c>
    </row>
    <row r="1122" spans="1:1" ht="29" x14ac:dyDescent="0.35">
      <c r="A1122" s="16" t="s">
        <v>3704</v>
      </c>
    </row>
    <row r="1123" spans="1:1" ht="29" x14ac:dyDescent="0.35">
      <c r="A1123" s="16" t="s">
        <v>3705</v>
      </c>
    </row>
    <row r="1124" spans="1:1" ht="29" x14ac:dyDescent="0.35">
      <c r="A1124" s="16" t="s">
        <v>3706</v>
      </c>
    </row>
    <row r="1125" spans="1:1" x14ac:dyDescent="0.35">
      <c r="A1125" s="16" t="s">
        <v>3707</v>
      </c>
    </row>
    <row r="1126" spans="1:1" x14ac:dyDescent="0.35">
      <c r="A1126" s="16" t="s">
        <v>3708</v>
      </c>
    </row>
    <row r="1127" spans="1:1" ht="29" x14ac:dyDescent="0.35">
      <c r="A1127" s="16" t="s">
        <v>3709</v>
      </c>
    </row>
    <row r="1128" spans="1:1" x14ac:dyDescent="0.35">
      <c r="A1128" s="16" t="s">
        <v>3710</v>
      </c>
    </row>
    <row r="1129" spans="1:1" ht="29" x14ac:dyDescent="0.35">
      <c r="A1129" s="16" t="s">
        <v>3711</v>
      </c>
    </row>
    <row r="1130" spans="1:1" x14ac:dyDescent="0.35">
      <c r="A1130" s="16" t="s">
        <v>3712</v>
      </c>
    </row>
    <row r="1131" spans="1:1" x14ac:dyDescent="0.35">
      <c r="A1131" s="16" t="s">
        <v>3713</v>
      </c>
    </row>
    <row r="1132" spans="1:1" ht="29" x14ac:dyDescent="0.35">
      <c r="A1132" s="16" t="s">
        <v>3714</v>
      </c>
    </row>
    <row r="1133" spans="1:1" ht="29" x14ac:dyDescent="0.35">
      <c r="A1133" s="16" t="s">
        <v>3715</v>
      </c>
    </row>
    <row r="1134" spans="1:1" ht="29" x14ac:dyDescent="0.35">
      <c r="A1134" s="16" t="s">
        <v>3716</v>
      </c>
    </row>
    <row r="1135" spans="1:1" ht="29" x14ac:dyDescent="0.35">
      <c r="A1135" s="16" t="s">
        <v>3717</v>
      </c>
    </row>
    <row r="1136" spans="1:1" ht="29" x14ac:dyDescent="0.35">
      <c r="A1136" s="16" t="s">
        <v>3718</v>
      </c>
    </row>
    <row r="1137" spans="1:1" x14ac:dyDescent="0.35">
      <c r="A1137" s="16" t="s">
        <v>3719</v>
      </c>
    </row>
    <row r="1138" spans="1:1" x14ac:dyDescent="0.35">
      <c r="A1138" s="16" t="s">
        <v>3720</v>
      </c>
    </row>
    <row r="1139" spans="1:1" x14ac:dyDescent="0.35">
      <c r="A1139" s="16" t="s">
        <v>3721</v>
      </c>
    </row>
    <row r="1140" spans="1:1" x14ac:dyDescent="0.35">
      <c r="A1140" s="16" t="s">
        <v>3722</v>
      </c>
    </row>
    <row r="1141" spans="1:1" x14ac:dyDescent="0.35">
      <c r="A1141" s="16" t="s">
        <v>3723</v>
      </c>
    </row>
    <row r="1142" spans="1:1" x14ac:dyDescent="0.35">
      <c r="A1142" s="16" t="s">
        <v>3724</v>
      </c>
    </row>
    <row r="1143" spans="1:1" x14ac:dyDescent="0.35">
      <c r="A1143" s="16" t="s">
        <v>3725</v>
      </c>
    </row>
    <row r="1144" spans="1:1" x14ac:dyDescent="0.35">
      <c r="A1144" s="16" t="s">
        <v>3726</v>
      </c>
    </row>
    <row r="1145" spans="1:1" ht="29" x14ac:dyDescent="0.35">
      <c r="A1145" s="16" t="s">
        <v>3727</v>
      </c>
    </row>
    <row r="1146" spans="1:1" x14ac:dyDescent="0.35">
      <c r="A1146" s="16" t="s">
        <v>3728</v>
      </c>
    </row>
    <row r="1147" spans="1:1" ht="29" x14ac:dyDescent="0.35">
      <c r="A1147" s="16" t="s">
        <v>3729</v>
      </c>
    </row>
    <row r="1148" spans="1:1" ht="29" x14ac:dyDescent="0.35">
      <c r="A1148" s="16" t="s">
        <v>3730</v>
      </c>
    </row>
    <row r="1149" spans="1:1" ht="29" x14ac:dyDescent="0.35">
      <c r="A1149" s="16" t="s">
        <v>3731</v>
      </c>
    </row>
    <row r="1150" spans="1:1" ht="29" x14ac:dyDescent="0.35">
      <c r="A1150" s="16" t="s">
        <v>3732</v>
      </c>
    </row>
    <row r="1151" spans="1:1" ht="29" x14ac:dyDescent="0.35">
      <c r="A1151" s="16" t="s">
        <v>3733</v>
      </c>
    </row>
    <row r="1152" spans="1:1" ht="29" x14ac:dyDescent="0.35">
      <c r="A1152" s="16" t="s">
        <v>3734</v>
      </c>
    </row>
    <row r="1153" spans="1:1" ht="29" x14ac:dyDescent="0.35">
      <c r="A1153" s="16" t="s">
        <v>3735</v>
      </c>
    </row>
    <row r="1154" spans="1:1" ht="29" x14ac:dyDescent="0.35">
      <c r="A1154" s="16" t="s">
        <v>3736</v>
      </c>
    </row>
    <row r="1155" spans="1:1" x14ac:dyDescent="0.35">
      <c r="A1155" s="16" t="s">
        <v>3737</v>
      </c>
    </row>
    <row r="1156" spans="1:1" x14ac:dyDescent="0.35">
      <c r="A1156" s="16" t="s">
        <v>3738</v>
      </c>
    </row>
    <row r="1157" spans="1:1" x14ac:dyDescent="0.35">
      <c r="A1157" s="16" t="s">
        <v>3739</v>
      </c>
    </row>
    <row r="1158" spans="1:1" x14ac:dyDescent="0.35">
      <c r="A1158" s="16" t="s">
        <v>3740</v>
      </c>
    </row>
    <row r="1159" spans="1:1" x14ac:dyDescent="0.35">
      <c r="A1159" s="16" t="s">
        <v>3741</v>
      </c>
    </row>
    <row r="1160" spans="1:1" ht="29" x14ac:dyDescent="0.35">
      <c r="A1160" s="16" t="s">
        <v>3742</v>
      </c>
    </row>
    <row r="1161" spans="1:1" ht="29" x14ac:dyDescent="0.35">
      <c r="A1161" s="16" t="s">
        <v>3743</v>
      </c>
    </row>
    <row r="1162" spans="1:1" ht="29" x14ac:dyDescent="0.35">
      <c r="A1162" s="16" t="s">
        <v>3744</v>
      </c>
    </row>
    <row r="1163" spans="1:1" x14ac:dyDescent="0.35">
      <c r="A1163" s="16" t="s">
        <v>3745</v>
      </c>
    </row>
    <row r="1164" spans="1:1" x14ac:dyDescent="0.35">
      <c r="A1164" s="16" t="s">
        <v>3746</v>
      </c>
    </row>
    <row r="1165" spans="1:1" x14ac:dyDescent="0.35">
      <c r="A1165" s="16" t="s">
        <v>3747</v>
      </c>
    </row>
    <row r="1166" spans="1:1" x14ac:dyDescent="0.35">
      <c r="A1166" s="16" t="s">
        <v>3748</v>
      </c>
    </row>
    <row r="1167" spans="1:1" ht="29" x14ac:dyDescent="0.35">
      <c r="A1167" s="16" t="s">
        <v>3749</v>
      </c>
    </row>
    <row r="1168" spans="1:1" x14ac:dyDescent="0.35">
      <c r="A1168" s="16" t="s">
        <v>3750</v>
      </c>
    </row>
    <row r="1169" spans="1:1" x14ac:dyDescent="0.35">
      <c r="A1169" s="16" t="s">
        <v>3751</v>
      </c>
    </row>
    <row r="1170" spans="1:1" x14ac:dyDescent="0.35">
      <c r="A1170" s="16" t="s">
        <v>3752</v>
      </c>
    </row>
    <row r="1171" spans="1:1" x14ac:dyDescent="0.35">
      <c r="A1171" s="16" t="s">
        <v>3753</v>
      </c>
    </row>
    <row r="1172" spans="1:1" x14ac:dyDescent="0.35">
      <c r="A1172" s="16" t="s">
        <v>3754</v>
      </c>
    </row>
    <row r="1173" spans="1:1" ht="29" x14ac:dyDescent="0.35">
      <c r="A1173" s="16" t="s">
        <v>3755</v>
      </c>
    </row>
    <row r="1174" spans="1:1" ht="29" x14ac:dyDescent="0.35">
      <c r="A1174" s="16" t="s">
        <v>3756</v>
      </c>
    </row>
    <row r="1175" spans="1:1" ht="29" x14ac:dyDescent="0.35">
      <c r="A1175" s="16" t="s">
        <v>3757</v>
      </c>
    </row>
    <row r="1176" spans="1:1" x14ac:dyDescent="0.35">
      <c r="A1176" s="16" t="s">
        <v>3758</v>
      </c>
    </row>
    <row r="1177" spans="1:1" ht="29" x14ac:dyDescent="0.35">
      <c r="A1177" s="16" t="s">
        <v>3759</v>
      </c>
    </row>
    <row r="1178" spans="1:1" ht="29" x14ac:dyDescent="0.35">
      <c r="A1178" s="16" t="s">
        <v>3760</v>
      </c>
    </row>
    <row r="1179" spans="1:1" ht="29" x14ac:dyDescent="0.35">
      <c r="A1179" s="16" t="s">
        <v>3761</v>
      </c>
    </row>
    <row r="1180" spans="1:1" ht="29" x14ac:dyDescent="0.35">
      <c r="A1180" s="16" t="s">
        <v>3762</v>
      </c>
    </row>
    <row r="1181" spans="1:1" x14ac:dyDescent="0.35">
      <c r="A1181" s="16" t="s">
        <v>3763</v>
      </c>
    </row>
    <row r="1182" spans="1:1" x14ac:dyDescent="0.35">
      <c r="A1182" s="16" t="s">
        <v>3764</v>
      </c>
    </row>
    <row r="1183" spans="1:1" ht="29" x14ac:dyDescent="0.35">
      <c r="A1183" s="16" t="s">
        <v>3765</v>
      </c>
    </row>
    <row r="1184" spans="1:1" x14ac:dyDescent="0.35">
      <c r="A1184" s="16" t="s">
        <v>3766</v>
      </c>
    </row>
    <row r="1185" spans="1:1" ht="29" x14ac:dyDescent="0.35">
      <c r="A1185" s="16" t="s">
        <v>3767</v>
      </c>
    </row>
    <row r="1186" spans="1:1" x14ac:dyDescent="0.35">
      <c r="A1186" s="16" t="s">
        <v>3768</v>
      </c>
    </row>
    <row r="1187" spans="1:1" x14ac:dyDescent="0.35">
      <c r="A1187" s="16" t="s">
        <v>3769</v>
      </c>
    </row>
    <row r="1188" spans="1:1" x14ac:dyDescent="0.35">
      <c r="A1188" s="16" t="s">
        <v>3770</v>
      </c>
    </row>
    <row r="1189" spans="1:1" x14ac:dyDescent="0.35">
      <c r="A1189" s="16" t="s">
        <v>3771</v>
      </c>
    </row>
    <row r="1190" spans="1:1" x14ac:dyDescent="0.35">
      <c r="A1190" s="16" t="s">
        <v>3772</v>
      </c>
    </row>
    <row r="1191" spans="1:1" x14ac:dyDescent="0.35">
      <c r="A1191" s="16" t="s">
        <v>3773</v>
      </c>
    </row>
    <row r="1192" spans="1:1" x14ac:dyDescent="0.35">
      <c r="A1192" s="16" t="s">
        <v>3774</v>
      </c>
    </row>
    <row r="1193" spans="1:1" x14ac:dyDescent="0.35">
      <c r="A1193" s="16" t="s">
        <v>3775</v>
      </c>
    </row>
    <row r="1194" spans="1:1" x14ac:dyDescent="0.35">
      <c r="A1194" s="16" t="s">
        <v>3776</v>
      </c>
    </row>
    <row r="1195" spans="1:1" x14ac:dyDescent="0.35">
      <c r="A1195" s="16" t="s">
        <v>3777</v>
      </c>
    </row>
    <row r="1196" spans="1:1" ht="29" x14ac:dyDescent="0.35">
      <c r="A1196" s="16" t="s">
        <v>3778</v>
      </c>
    </row>
    <row r="1197" spans="1:1" ht="29" x14ac:dyDescent="0.35">
      <c r="A1197" s="16" t="s">
        <v>3779</v>
      </c>
    </row>
    <row r="1198" spans="1:1" x14ac:dyDescent="0.35">
      <c r="A1198" s="16" t="s">
        <v>3780</v>
      </c>
    </row>
    <row r="1199" spans="1:1" ht="29" x14ac:dyDescent="0.35">
      <c r="A1199" s="16" t="s">
        <v>3781</v>
      </c>
    </row>
    <row r="1200" spans="1:1" x14ac:dyDescent="0.35">
      <c r="A1200" s="16" t="s">
        <v>3782</v>
      </c>
    </row>
    <row r="1201" spans="1:1" x14ac:dyDescent="0.35">
      <c r="A1201" s="16" t="s">
        <v>3783</v>
      </c>
    </row>
    <row r="1202" spans="1:1" ht="29" x14ac:dyDescent="0.35">
      <c r="A1202" s="16" t="s">
        <v>3784</v>
      </c>
    </row>
    <row r="1203" spans="1:1" x14ac:dyDescent="0.35">
      <c r="A1203" s="16" t="s">
        <v>3785</v>
      </c>
    </row>
    <row r="1204" spans="1:1" x14ac:dyDescent="0.35">
      <c r="A1204" s="16" t="s">
        <v>3786</v>
      </c>
    </row>
    <row r="1205" spans="1:1" x14ac:dyDescent="0.35">
      <c r="A1205" s="16" t="s">
        <v>3787</v>
      </c>
    </row>
    <row r="1206" spans="1:1" x14ac:dyDescent="0.35">
      <c r="A1206" s="16" t="s">
        <v>3788</v>
      </c>
    </row>
    <row r="1207" spans="1:1" x14ac:dyDescent="0.35">
      <c r="A1207" s="16" t="s">
        <v>3789</v>
      </c>
    </row>
    <row r="1208" spans="1:1" ht="29" x14ac:dyDescent="0.35">
      <c r="A1208" s="16" t="s">
        <v>3790</v>
      </c>
    </row>
    <row r="1209" spans="1:1" ht="29" x14ac:dyDescent="0.35">
      <c r="A1209" s="16" t="s">
        <v>3791</v>
      </c>
    </row>
    <row r="1210" spans="1:1" ht="29" x14ac:dyDescent="0.35">
      <c r="A1210" s="16" t="s">
        <v>3792</v>
      </c>
    </row>
    <row r="1211" spans="1:1" x14ac:dyDescent="0.35">
      <c r="A1211" s="16" t="s">
        <v>3793</v>
      </c>
    </row>
    <row r="1212" spans="1:1" ht="29" x14ac:dyDescent="0.35">
      <c r="A1212" s="16" t="s">
        <v>3794</v>
      </c>
    </row>
    <row r="1213" spans="1:1" x14ac:dyDescent="0.35">
      <c r="A1213" s="16" t="s">
        <v>3795</v>
      </c>
    </row>
    <row r="1214" spans="1:1" ht="29" x14ac:dyDescent="0.35">
      <c r="A1214" s="16" t="s">
        <v>3796</v>
      </c>
    </row>
    <row r="1215" spans="1:1" ht="29" x14ac:dyDescent="0.35">
      <c r="A1215" s="16" t="s">
        <v>3797</v>
      </c>
    </row>
    <row r="1216" spans="1:1" ht="29" x14ac:dyDescent="0.35">
      <c r="A1216" s="16" t="s">
        <v>3798</v>
      </c>
    </row>
    <row r="1217" spans="1:1" ht="29" x14ac:dyDescent="0.35">
      <c r="A1217" s="16" t="s">
        <v>3799</v>
      </c>
    </row>
    <row r="1218" spans="1:1" ht="29" x14ac:dyDescent="0.35">
      <c r="A1218" s="16" t="s">
        <v>3800</v>
      </c>
    </row>
    <row r="1219" spans="1:1" x14ac:dyDescent="0.35">
      <c r="A1219" s="16" t="s">
        <v>3801</v>
      </c>
    </row>
    <row r="1220" spans="1:1" x14ac:dyDescent="0.35">
      <c r="A1220" s="16" t="s">
        <v>3802</v>
      </c>
    </row>
    <row r="1221" spans="1:1" x14ac:dyDescent="0.35">
      <c r="A1221" s="16" t="s">
        <v>3803</v>
      </c>
    </row>
    <row r="1222" spans="1:1" ht="29" x14ac:dyDescent="0.35">
      <c r="A1222" s="16" t="s">
        <v>3804</v>
      </c>
    </row>
    <row r="1223" spans="1:1" ht="29" x14ac:dyDescent="0.35">
      <c r="A1223" s="16" t="s">
        <v>3805</v>
      </c>
    </row>
    <row r="1224" spans="1:1" x14ac:dyDescent="0.35">
      <c r="A1224" s="16" t="s">
        <v>3806</v>
      </c>
    </row>
    <row r="1225" spans="1:1" x14ac:dyDescent="0.35">
      <c r="A1225" s="16" t="s">
        <v>3807</v>
      </c>
    </row>
    <row r="1226" spans="1:1" x14ac:dyDescent="0.35">
      <c r="A1226" s="16" t="s">
        <v>3808</v>
      </c>
    </row>
    <row r="1227" spans="1:1" ht="29" x14ac:dyDescent="0.35">
      <c r="A1227" s="16" t="s">
        <v>3809</v>
      </c>
    </row>
    <row r="1228" spans="1:1" x14ac:dyDescent="0.35">
      <c r="A1228" s="16" t="s">
        <v>3810</v>
      </c>
    </row>
    <row r="1229" spans="1:1" x14ac:dyDescent="0.35">
      <c r="A1229" s="16" t="s">
        <v>3811</v>
      </c>
    </row>
    <row r="1230" spans="1:1" ht="29" x14ac:dyDescent="0.35">
      <c r="A1230" s="16" t="s">
        <v>3812</v>
      </c>
    </row>
    <row r="1231" spans="1:1" ht="29" x14ac:dyDescent="0.35">
      <c r="A1231" s="16" t="s">
        <v>3813</v>
      </c>
    </row>
    <row r="1232" spans="1:1" x14ac:dyDescent="0.35">
      <c r="A1232" s="16" t="s">
        <v>3814</v>
      </c>
    </row>
    <row r="1233" spans="1:1" x14ac:dyDescent="0.35">
      <c r="A1233" s="16" t="s">
        <v>3815</v>
      </c>
    </row>
    <row r="1234" spans="1:1" x14ac:dyDescent="0.35">
      <c r="A1234" s="16" t="s">
        <v>3816</v>
      </c>
    </row>
    <row r="1235" spans="1:1" ht="29" x14ac:dyDescent="0.35">
      <c r="A1235" s="16" t="s">
        <v>3817</v>
      </c>
    </row>
    <row r="1236" spans="1:1" ht="29" x14ac:dyDescent="0.35">
      <c r="A1236" s="16" t="s">
        <v>3818</v>
      </c>
    </row>
    <row r="1237" spans="1:1" x14ac:dyDescent="0.35">
      <c r="A1237" s="16" t="s">
        <v>3819</v>
      </c>
    </row>
    <row r="1238" spans="1:1" ht="29" x14ac:dyDescent="0.35">
      <c r="A1238" s="16" t="s">
        <v>3820</v>
      </c>
    </row>
    <row r="1239" spans="1:1" ht="29" x14ac:dyDescent="0.35">
      <c r="A1239" s="16" t="s">
        <v>3821</v>
      </c>
    </row>
    <row r="1240" spans="1:1" x14ac:dyDescent="0.35">
      <c r="A1240" s="16" t="s">
        <v>3822</v>
      </c>
    </row>
    <row r="1241" spans="1:1" ht="29" x14ac:dyDescent="0.35">
      <c r="A1241" s="16" t="s">
        <v>3823</v>
      </c>
    </row>
    <row r="1242" spans="1:1" x14ac:dyDescent="0.35">
      <c r="A1242" s="16" t="s">
        <v>3824</v>
      </c>
    </row>
    <row r="1243" spans="1:1" x14ac:dyDescent="0.35">
      <c r="A1243" s="16" t="s">
        <v>3825</v>
      </c>
    </row>
    <row r="1244" spans="1:1" ht="29" x14ac:dyDescent="0.35">
      <c r="A1244" s="16" t="s">
        <v>3826</v>
      </c>
    </row>
    <row r="1245" spans="1:1" x14ac:dyDescent="0.35">
      <c r="A1245" s="16" t="s">
        <v>3827</v>
      </c>
    </row>
    <row r="1246" spans="1:1" x14ac:dyDescent="0.35">
      <c r="A1246" s="16" t="s">
        <v>3828</v>
      </c>
    </row>
    <row r="1247" spans="1:1" x14ac:dyDescent="0.35">
      <c r="A1247" s="16" t="s">
        <v>3829</v>
      </c>
    </row>
    <row r="1248" spans="1:1" x14ac:dyDescent="0.35">
      <c r="A1248" s="16" t="s">
        <v>3830</v>
      </c>
    </row>
    <row r="1249" spans="1:1" x14ac:dyDescent="0.35">
      <c r="A1249" s="16" t="s">
        <v>3831</v>
      </c>
    </row>
    <row r="1250" spans="1:1" x14ac:dyDescent="0.35">
      <c r="A1250" s="16" t="s">
        <v>3832</v>
      </c>
    </row>
    <row r="1251" spans="1:1" ht="29" x14ac:dyDescent="0.35">
      <c r="A1251" s="16" t="s">
        <v>3833</v>
      </c>
    </row>
    <row r="1252" spans="1:1" ht="29" x14ac:dyDescent="0.35">
      <c r="A1252" s="16" t="s">
        <v>3834</v>
      </c>
    </row>
    <row r="1253" spans="1:1" x14ac:dyDescent="0.35">
      <c r="A1253" s="16" t="s">
        <v>3835</v>
      </c>
    </row>
    <row r="1254" spans="1:1" x14ac:dyDescent="0.35">
      <c r="A1254" s="16" t="s">
        <v>3836</v>
      </c>
    </row>
    <row r="1255" spans="1:1" x14ac:dyDescent="0.35">
      <c r="A1255" s="16" t="s">
        <v>3837</v>
      </c>
    </row>
    <row r="1256" spans="1:1" ht="29" x14ac:dyDescent="0.35">
      <c r="A1256" s="16" t="s">
        <v>3838</v>
      </c>
    </row>
    <row r="1257" spans="1:1" x14ac:dyDescent="0.35">
      <c r="A1257" s="16" t="s">
        <v>3839</v>
      </c>
    </row>
    <row r="1258" spans="1:1" x14ac:dyDescent="0.35">
      <c r="A1258" s="16" t="s">
        <v>3840</v>
      </c>
    </row>
    <row r="1259" spans="1:1" x14ac:dyDescent="0.35">
      <c r="A1259" s="16" t="s">
        <v>3841</v>
      </c>
    </row>
    <row r="1260" spans="1:1" ht="29" x14ac:dyDescent="0.35">
      <c r="A1260" s="16" t="s">
        <v>3842</v>
      </c>
    </row>
    <row r="1261" spans="1:1" x14ac:dyDescent="0.35">
      <c r="A1261" s="16" t="s">
        <v>3843</v>
      </c>
    </row>
    <row r="1262" spans="1:1" ht="29" x14ac:dyDescent="0.35">
      <c r="A1262" s="16" t="s">
        <v>3844</v>
      </c>
    </row>
    <row r="1263" spans="1:1" ht="29" x14ac:dyDescent="0.35">
      <c r="A1263" s="16" t="s">
        <v>3845</v>
      </c>
    </row>
    <row r="1264" spans="1:1" x14ac:dyDescent="0.35">
      <c r="A1264" s="16" t="s">
        <v>3846</v>
      </c>
    </row>
    <row r="1265" spans="1:1" ht="29" x14ac:dyDescent="0.35">
      <c r="A1265" s="16" t="s">
        <v>3847</v>
      </c>
    </row>
    <row r="1266" spans="1:1" ht="29" x14ac:dyDescent="0.35">
      <c r="A1266" s="16" t="s">
        <v>3848</v>
      </c>
    </row>
    <row r="1267" spans="1:1" x14ac:dyDescent="0.35">
      <c r="A1267" s="16" t="s">
        <v>3849</v>
      </c>
    </row>
    <row r="1268" spans="1:1" x14ac:dyDescent="0.35">
      <c r="A1268" s="16" t="s">
        <v>3850</v>
      </c>
    </row>
    <row r="1269" spans="1:1" ht="29" x14ac:dyDescent="0.35">
      <c r="A1269" s="16" t="s">
        <v>3851</v>
      </c>
    </row>
    <row r="1270" spans="1:1" x14ac:dyDescent="0.35">
      <c r="A1270" s="16" t="s">
        <v>3852</v>
      </c>
    </row>
    <row r="1271" spans="1:1" ht="29" x14ac:dyDescent="0.35">
      <c r="A1271" s="16" t="s">
        <v>3853</v>
      </c>
    </row>
    <row r="1272" spans="1:1" x14ac:dyDescent="0.35">
      <c r="A1272" s="16" t="s">
        <v>3854</v>
      </c>
    </row>
    <row r="1273" spans="1:1" x14ac:dyDescent="0.35">
      <c r="A1273" s="16" t="s">
        <v>3855</v>
      </c>
    </row>
    <row r="1274" spans="1:1" ht="29" x14ac:dyDescent="0.35">
      <c r="A1274" s="16" t="s">
        <v>3856</v>
      </c>
    </row>
    <row r="1275" spans="1:1" ht="29" x14ac:dyDescent="0.35">
      <c r="A1275" s="16" t="s">
        <v>3857</v>
      </c>
    </row>
    <row r="1276" spans="1:1" x14ac:dyDescent="0.35">
      <c r="A1276" s="16" t="s">
        <v>3858</v>
      </c>
    </row>
    <row r="1277" spans="1:1" ht="29" x14ac:dyDescent="0.35">
      <c r="A1277" s="16" t="s">
        <v>3859</v>
      </c>
    </row>
    <row r="1278" spans="1:1" x14ac:dyDescent="0.35">
      <c r="A1278" s="16" t="s">
        <v>3860</v>
      </c>
    </row>
    <row r="1279" spans="1:1" x14ac:dyDescent="0.35">
      <c r="A1279" s="16" t="s">
        <v>3861</v>
      </c>
    </row>
    <row r="1280" spans="1:1" ht="29" x14ac:dyDescent="0.35">
      <c r="A1280" s="16" t="s">
        <v>3862</v>
      </c>
    </row>
    <row r="1281" spans="1:1" ht="29" x14ac:dyDescent="0.35">
      <c r="A1281" s="16" t="s">
        <v>3863</v>
      </c>
    </row>
    <row r="1282" spans="1:1" x14ac:dyDescent="0.35">
      <c r="A1282" s="16" t="s">
        <v>3864</v>
      </c>
    </row>
    <row r="1283" spans="1:1" x14ac:dyDescent="0.35">
      <c r="A1283" s="16" t="s">
        <v>3865</v>
      </c>
    </row>
    <row r="1284" spans="1:1" ht="29" x14ac:dyDescent="0.35">
      <c r="A1284" s="16" t="s">
        <v>3866</v>
      </c>
    </row>
    <row r="1285" spans="1:1" ht="29" x14ac:dyDescent="0.35">
      <c r="A1285" s="16" t="s">
        <v>3867</v>
      </c>
    </row>
    <row r="1286" spans="1:1" ht="29" x14ac:dyDescent="0.35">
      <c r="A1286" s="16" t="s">
        <v>3868</v>
      </c>
    </row>
    <row r="1287" spans="1:1" x14ac:dyDescent="0.35">
      <c r="A1287" s="16" t="s">
        <v>3869</v>
      </c>
    </row>
    <row r="1288" spans="1:1" x14ac:dyDescent="0.35">
      <c r="A1288" s="16" t="s">
        <v>3870</v>
      </c>
    </row>
    <row r="1289" spans="1:1" x14ac:dyDescent="0.35">
      <c r="A1289" s="16" t="s">
        <v>3871</v>
      </c>
    </row>
    <row r="1290" spans="1:1" x14ac:dyDescent="0.35">
      <c r="A1290" s="16" t="s">
        <v>3872</v>
      </c>
    </row>
    <row r="1291" spans="1:1" x14ac:dyDescent="0.35">
      <c r="A1291" s="16" t="s">
        <v>3873</v>
      </c>
    </row>
    <row r="1292" spans="1:1" x14ac:dyDescent="0.35">
      <c r="A1292" s="16" t="s">
        <v>3874</v>
      </c>
    </row>
    <row r="1293" spans="1:1" x14ac:dyDescent="0.35">
      <c r="A1293" s="16" t="s">
        <v>3875</v>
      </c>
    </row>
    <row r="1294" spans="1:1" x14ac:dyDescent="0.35">
      <c r="A1294" s="16" t="s">
        <v>3876</v>
      </c>
    </row>
    <row r="1295" spans="1:1" x14ac:dyDescent="0.35">
      <c r="A1295" s="16" t="s">
        <v>3877</v>
      </c>
    </row>
    <row r="1296" spans="1:1" x14ac:dyDescent="0.35">
      <c r="A1296" s="16" t="s">
        <v>3878</v>
      </c>
    </row>
    <row r="1297" spans="1:1" ht="29" x14ac:dyDescent="0.35">
      <c r="A1297" s="16" t="s">
        <v>3879</v>
      </c>
    </row>
    <row r="1298" spans="1:1" x14ac:dyDescent="0.35">
      <c r="A1298" s="16" t="s">
        <v>3880</v>
      </c>
    </row>
    <row r="1299" spans="1:1" x14ac:dyDescent="0.35">
      <c r="A1299" s="16" t="s">
        <v>3881</v>
      </c>
    </row>
    <row r="1300" spans="1:1" x14ac:dyDescent="0.35">
      <c r="A1300" s="16" t="s">
        <v>3882</v>
      </c>
    </row>
    <row r="1301" spans="1:1" x14ac:dyDescent="0.35">
      <c r="A1301" s="16" t="s">
        <v>3883</v>
      </c>
    </row>
    <row r="1302" spans="1:1" ht="29" x14ac:dyDescent="0.35">
      <c r="A1302" s="16" t="s">
        <v>3884</v>
      </c>
    </row>
    <row r="1303" spans="1:1" ht="29" x14ac:dyDescent="0.35">
      <c r="A1303" s="16" t="s">
        <v>3885</v>
      </c>
    </row>
    <row r="1304" spans="1:1" x14ac:dyDescent="0.35">
      <c r="A1304" s="16" t="s">
        <v>3886</v>
      </c>
    </row>
    <row r="1305" spans="1:1" x14ac:dyDescent="0.35">
      <c r="A1305" s="16" t="s">
        <v>3887</v>
      </c>
    </row>
    <row r="1306" spans="1:1" ht="29" x14ac:dyDescent="0.35">
      <c r="A1306" s="16" t="s">
        <v>3888</v>
      </c>
    </row>
    <row r="1307" spans="1:1" x14ac:dyDescent="0.35">
      <c r="A1307" s="16" t="s">
        <v>3889</v>
      </c>
    </row>
    <row r="1308" spans="1:1" ht="29" x14ac:dyDescent="0.35">
      <c r="A1308" s="16" t="s">
        <v>3890</v>
      </c>
    </row>
    <row r="1309" spans="1:1" ht="29" x14ac:dyDescent="0.35">
      <c r="A1309" s="16" t="s">
        <v>3891</v>
      </c>
    </row>
    <row r="1310" spans="1:1" x14ac:dyDescent="0.35">
      <c r="A1310" s="16" t="s">
        <v>3892</v>
      </c>
    </row>
    <row r="1311" spans="1:1" x14ac:dyDescent="0.35">
      <c r="A1311" s="16" t="s">
        <v>3893</v>
      </c>
    </row>
    <row r="1312" spans="1:1" ht="29" x14ac:dyDescent="0.35">
      <c r="A1312" s="16" t="s">
        <v>3894</v>
      </c>
    </row>
    <row r="1313" spans="1:1" ht="29" x14ac:dyDescent="0.35">
      <c r="A1313" s="16" t="s">
        <v>3895</v>
      </c>
    </row>
    <row r="1314" spans="1:1" x14ac:dyDescent="0.35">
      <c r="A1314" s="16" t="s">
        <v>3896</v>
      </c>
    </row>
    <row r="1315" spans="1:1" x14ac:dyDescent="0.35">
      <c r="A1315" s="16" t="s">
        <v>3897</v>
      </c>
    </row>
    <row r="1316" spans="1:1" x14ac:dyDescent="0.35">
      <c r="A1316" s="16" t="s">
        <v>3898</v>
      </c>
    </row>
    <row r="1317" spans="1:1" x14ac:dyDescent="0.35">
      <c r="A1317" s="16" t="s">
        <v>3899</v>
      </c>
    </row>
    <row r="1318" spans="1:1" x14ac:dyDescent="0.35">
      <c r="A1318" s="16" t="s">
        <v>3900</v>
      </c>
    </row>
    <row r="1319" spans="1:1" x14ac:dyDescent="0.35">
      <c r="A1319" s="16" t="s">
        <v>3901</v>
      </c>
    </row>
    <row r="1320" spans="1:1" x14ac:dyDescent="0.35">
      <c r="A1320" s="16" t="s">
        <v>3902</v>
      </c>
    </row>
    <row r="1321" spans="1:1" ht="29" x14ac:dyDescent="0.35">
      <c r="A1321" s="16" t="s">
        <v>3903</v>
      </c>
    </row>
    <row r="1322" spans="1:1" x14ac:dyDescent="0.35">
      <c r="A1322" s="16" t="s">
        <v>3904</v>
      </c>
    </row>
    <row r="1323" spans="1:1" ht="29" x14ac:dyDescent="0.35">
      <c r="A1323" s="16" t="s">
        <v>3905</v>
      </c>
    </row>
    <row r="1324" spans="1:1" x14ac:dyDescent="0.35">
      <c r="A1324" s="16" t="s">
        <v>3906</v>
      </c>
    </row>
    <row r="1325" spans="1:1" x14ac:dyDescent="0.35">
      <c r="A1325" s="16" t="s">
        <v>3907</v>
      </c>
    </row>
    <row r="1326" spans="1:1" x14ac:dyDescent="0.35">
      <c r="A1326" s="16" t="s">
        <v>3908</v>
      </c>
    </row>
    <row r="1327" spans="1:1" x14ac:dyDescent="0.35">
      <c r="A1327" s="16" t="s">
        <v>3909</v>
      </c>
    </row>
    <row r="1328" spans="1:1" x14ac:dyDescent="0.35">
      <c r="A1328" s="16" t="s">
        <v>3910</v>
      </c>
    </row>
    <row r="1329" spans="1:1" x14ac:dyDescent="0.35">
      <c r="A1329" s="16" t="s">
        <v>3911</v>
      </c>
    </row>
    <row r="1330" spans="1:1" x14ac:dyDescent="0.35">
      <c r="A1330" s="16" t="s">
        <v>3912</v>
      </c>
    </row>
    <row r="1331" spans="1:1" x14ac:dyDescent="0.35">
      <c r="A1331" s="16" t="s">
        <v>3913</v>
      </c>
    </row>
    <row r="1332" spans="1:1" x14ac:dyDescent="0.35">
      <c r="A1332" s="16" t="s">
        <v>3914</v>
      </c>
    </row>
    <row r="1333" spans="1:1" ht="29" x14ac:dyDescent="0.35">
      <c r="A1333" s="16" t="s">
        <v>3915</v>
      </c>
    </row>
    <row r="1334" spans="1:1" ht="29" x14ac:dyDescent="0.35">
      <c r="A1334" s="16" t="s">
        <v>3916</v>
      </c>
    </row>
    <row r="1335" spans="1:1" ht="29" x14ac:dyDescent="0.35">
      <c r="A1335" s="16" t="s">
        <v>3917</v>
      </c>
    </row>
    <row r="1336" spans="1:1" x14ac:dyDescent="0.35">
      <c r="A1336" s="16" t="s">
        <v>3918</v>
      </c>
    </row>
    <row r="1337" spans="1:1" x14ac:dyDescent="0.35">
      <c r="A1337" s="16" t="s">
        <v>3919</v>
      </c>
    </row>
    <row r="1338" spans="1:1" x14ac:dyDescent="0.35">
      <c r="A1338" s="16" t="s">
        <v>3920</v>
      </c>
    </row>
    <row r="1339" spans="1:1" ht="29" x14ac:dyDescent="0.35">
      <c r="A1339" s="16" t="s">
        <v>3921</v>
      </c>
    </row>
    <row r="1340" spans="1:1" x14ac:dyDescent="0.35">
      <c r="A1340" s="16" t="s">
        <v>3922</v>
      </c>
    </row>
    <row r="1341" spans="1:1" x14ac:dyDescent="0.35">
      <c r="A1341" s="16" t="s">
        <v>3923</v>
      </c>
    </row>
    <row r="1342" spans="1:1" x14ac:dyDescent="0.35">
      <c r="A1342" s="16" t="s">
        <v>3924</v>
      </c>
    </row>
    <row r="1343" spans="1:1" x14ac:dyDescent="0.35">
      <c r="A1343" s="16" t="s">
        <v>3925</v>
      </c>
    </row>
    <row r="1344" spans="1:1" x14ac:dyDescent="0.35">
      <c r="A1344" s="16" t="s">
        <v>3926</v>
      </c>
    </row>
    <row r="1345" spans="1:1" x14ac:dyDescent="0.35">
      <c r="A1345" s="16" t="s">
        <v>3927</v>
      </c>
    </row>
    <row r="1346" spans="1:1" x14ac:dyDescent="0.35">
      <c r="A1346" s="16" t="s">
        <v>3928</v>
      </c>
    </row>
    <row r="1347" spans="1:1" x14ac:dyDescent="0.35">
      <c r="A1347" s="16" t="s">
        <v>3929</v>
      </c>
    </row>
    <row r="1348" spans="1:1" x14ac:dyDescent="0.35">
      <c r="A1348" s="16" t="s">
        <v>3930</v>
      </c>
    </row>
    <row r="1349" spans="1:1" x14ac:dyDescent="0.35">
      <c r="A1349" s="16" t="s">
        <v>3931</v>
      </c>
    </row>
    <row r="1350" spans="1:1" x14ac:dyDescent="0.35">
      <c r="A1350" s="16" t="s">
        <v>3932</v>
      </c>
    </row>
    <row r="1351" spans="1:1" x14ac:dyDescent="0.35">
      <c r="A1351" s="16" t="s">
        <v>3933</v>
      </c>
    </row>
    <row r="1352" spans="1:1" x14ac:dyDescent="0.35">
      <c r="A1352" s="16" t="s">
        <v>3934</v>
      </c>
    </row>
    <row r="1353" spans="1:1" x14ac:dyDescent="0.35">
      <c r="A1353" s="16" t="s">
        <v>3935</v>
      </c>
    </row>
    <row r="1354" spans="1:1" x14ac:dyDescent="0.35">
      <c r="A1354" s="16" t="s">
        <v>3936</v>
      </c>
    </row>
    <row r="1355" spans="1:1" x14ac:dyDescent="0.35">
      <c r="A1355" s="16" t="s">
        <v>3937</v>
      </c>
    </row>
    <row r="1356" spans="1:1" x14ac:dyDescent="0.35">
      <c r="A1356" s="16" t="s">
        <v>3938</v>
      </c>
    </row>
    <row r="1357" spans="1:1" x14ac:dyDescent="0.35">
      <c r="A1357" s="16" t="s">
        <v>3939</v>
      </c>
    </row>
    <row r="1358" spans="1:1" x14ac:dyDescent="0.35">
      <c r="A1358" s="16" t="s">
        <v>3940</v>
      </c>
    </row>
    <row r="1359" spans="1:1" ht="29" x14ac:dyDescent="0.35">
      <c r="A1359" s="16" t="s">
        <v>3941</v>
      </c>
    </row>
    <row r="1360" spans="1:1" x14ac:dyDescent="0.35">
      <c r="A1360" s="16" t="s">
        <v>3942</v>
      </c>
    </row>
    <row r="1361" spans="1:1" x14ac:dyDescent="0.35">
      <c r="A1361" s="16" t="s">
        <v>3943</v>
      </c>
    </row>
    <row r="1362" spans="1:1" x14ac:dyDescent="0.35">
      <c r="A1362" s="16" t="s">
        <v>3944</v>
      </c>
    </row>
    <row r="1363" spans="1:1" x14ac:dyDescent="0.35">
      <c r="A1363" s="16" t="s">
        <v>3945</v>
      </c>
    </row>
    <row r="1364" spans="1:1" x14ac:dyDescent="0.35">
      <c r="A1364" s="16" t="s">
        <v>3946</v>
      </c>
    </row>
    <row r="1365" spans="1:1" x14ac:dyDescent="0.35">
      <c r="A1365" s="16" t="s">
        <v>3947</v>
      </c>
    </row>
    <row r="1366" spans="1:1" x14ac:dyDescent="0.35">
      <c r="A1366" s="16" t="s">
        <v>3948</v>
      </c>
    </row>
    <row r="1367" spans="1:1" x14ac:dyDescent="0.35">
      <c r="A1367" s="16" t="s">
        <v>3949</v>
      </c>
    </row>
    <row r="1368" spans="1:1" x14ac:dyDescent="0.35">
      <c r="A1368" s="16" t="s">
        <v>3950</v>
      </c>
    </row>
    <row r="1369" spans="1:1" x14ac:dyDescent="0.35">
      <c r="A1369" s="16" t="s">
        <v>3951</v>
      </c>
    </row>
    <row r="1370" spans="1:1" x14ac:dyDescent="0.35">
      <c r="A1370" s="16" t="s">
        <v>3952</v>
      </c>
    </row>
    <row r="1371" spans="1:1" ht="29" x14ac:dyDescent="0.35">
      <c r="A1371" s="16" t="s">
        <v>3953</v>
      </c>
    </row>
    <row r="1372" spans="1:1" x14ac:dyDescent="0.35">
      <c r="A1372" s="16" t="s">
        <v>3954</v>
      </c>
    </row>
    <row r="1373" spans="1:1" x14ac:dyDescent="0.35">
      <c r="A1373" s="16" t="s">
        <v>3955</v>
      </c>
    </row>
    <row r="1374" spans="1:1" x14ac:dyDescent="0.35">
      <c r="A1374" s="16" t="s">
        <v>3956</v>
      </c>
    </row>
    <row r="1375" spans="1:1" x14ac:dyDescent="0.35">
      <c r="A1375" s="16" t="s">
        <v>3957</v>
      </c>
    </row>
    <row r="1376" spans="1:1" ht="29" x14ac:dyDescent="0.35">
      <c r="A1376" s="16" t="s">
        <v>3958</v>
      </c>
    </row>
    <row r="1377" spans="1:1" x14ac:dyDescent="0.35">
      <c r="A1377" s="16" t="s">
        <v>3959</v>
      </c>
    </row>
    <row r="1378" spans="1:1" ht="29" x14ac:dyDescent="0.35">
      <c r="A1378" s="16" t="s">
        <v>3960</v>
      </c>
    </row>
    <row r="1379" spans="1:1" x14ac:dyDescent="0.35">
      <c r="A1379" s="16" t="s">
        <v>3961</v>
      </c>
    </row>
    <row r="1380" spans="1:1" ht="29" x14ac:dyDescent="0.35">
      <c r="A1380" s="16" t="s">
        <v>3962</v>
      </c>
    </row>
    <row r="1381" spans="1:1" x14ac:dyDescent="0.35">
      <c r="A1381" s="16" t="s">
        <v>3963</v>
      </c>
    </row>
    <row r="1382" spans="1:1" x14ac:dyDescent="0.35">
      <c r="A1382" s="16" t="s">
        <v>3964</v>
      </c>
    </row>
    <row r="1383" spans="1:1" x14ac:dyDescent="0.35">
      <c r="A1383" s="16" t="s">
        <v>3965</v>
      </c>
    </row>
    <row r="1384" spans="1:1" x14ac:dyDescent="0.35">
      <c r="A1384" s="16" t="s">
        <v>3966</v>
      </c>
    </row>
    <row r="1385" spans="1:1" x14ac:dyDescent="0.35">
      <c r="A1385" s="16" t="s">
        <v>3967</v>
      </c>
    </row>
    <row r="1386" spans="1:1" x14ac:dyDescent="0.35">
      <c r="A1386" s="16" t="s">
        <v>3968</v>
      </c>
    </row>
    <row r="1387" spans="1:1" x14ac:dyDescent="0.35">
      <c r="A1387" s="16" t="s">
        <v>3969</v>
      </c>
    </row>
    <row r="1388" spans="1:1" x14ac:dyDescent="0.35">
      <c r="A1388" s="16" t="s">
        <v>3970</v>
      </c>
    </row>
    <row r="1389" spans="1:1" x14ac:dyDescent="0.35">
      <c r="A1389" s="16" t="s">
        <v>3971</v>
      </c>
    </row>
    <row r="1390" spans="1:1" x14ac:dyDescent="0.35">
      <c r="A1390" s="16" t="s">
        <v>3972</v>
      </c>
    </row>
    <row r="1391" spans="1:1" x14ac:dyDescent="0.35">
      <c r="A1391" s="16" t="s">
        <v>3973</v>
      </c>
    </row>
    <row r="1392" spans="1:1" x14ac:dyDescent="0.35">
      <c r="A1392" s="16" t="s">
        <v>3974</v>
      </c>
    </row>
    <row r="1393" spans="1:1" x14ac:dyDescent="0.35">
      <c r="A1393" s="16" t="s">
        <v>3975</v>
      </c>
    </row>
    <row r="1394" spans="1:1" x14ac:dyDescent="0.35">
      <c r="A1394" s="16" t="s">
        <v>3976</v>
      </c>
    </row>
    <row r="1395" spans="1:1" x14ac:dyDescent="0.35">
      <c r="A1395" s="16" t="s">
        <v>3977</v>
      </c>
    </row>
    <row r="1396" spans="1:1" x14ac:dyDescent="0.35">
      <c r="A1396" s="16" t="s">
        <v>3978</v>
      </c>
    </row>
    <row r="1397" spans="1:1" ht="29" x14ac:dyDescent="0.35">
      <c r="A1397" s="16" t="s">
        <v>3979</v>
      </c>
    </row>
    <row r="1398" spans="1:1" ht="29" x14ac:dyDescent="0.35">
      <c r="A1398" s="16" t="s">
        <v>3980</v>
      </c>
    </row>
    <row r="1399" spans="1:1" ht="29" x14ac:dyDescent="0.35">
      <c r="A1399" s="16" t="s">
        <v>3981</v>
      </c>
    </row>
    <row r="1400" spans="1:1" x14ac:dyDescent="0.35">
      <c r="A1400" s="16" t="s">
        <v>3982</v>
      </c>
    </row>
    <row r="1401" spans="1:1" ht="29" x14ac:dyDescent="0.35">
      <c r="A1401" s="16" t="s">
        <v>3983</v>
      </c>
    </row>
    <row r="1402" spans="1:1" ht="29" x14ac:dyDescent="0.35">
      <c r="A1402" s="16" t="s">
        <v>3984</v>
      </c>
    </row>
    <row r="1403" spans="1:1" ht="29" x14ac:dyDescent="0.35">
      <c r="A1403" s="16" t="s">
        <v>3985</v>
      </c>
    </row>
    <row r="1404" spans="1:1" ht="29" x14ac:dyDescent="0.35">
      <c r="A1404" s="16" t="s">
        <v>3986</v>
      </c>
    </row>
    <row r="1405" spans="1:1" x14ac:dyDescent="0.35">
      <c r="A1405" s="16" t="s">
        <v>3987</v>
      </c>
    </row>
    <row r="1406" spans="1:1" x14ac:dyDescent="0.35">
      <c r="A1406" s="16" t="s">
        <v>3988</v>
      </c>
    </row>
    <row r="1407" spans="1:1" x14ac:dyDescent="0.35">
      <c r="A1407" s="16" t="s">
        <v>3989</v>
      </c>
    </row>
    <row r="1408" spans="1:1" ht="29" x14ac:dyDescent="0.35">
      <c r="A1408" s="16" t="s">
        <v>3990</v>
      </c>
    </row>
    <row r="1409" spans="1:1" x14ac:dyDescent="0.35">
      <c r="A1409" s="16" t="s">
        <v>3991</v>
      </c>
    </row>
    <row r="1410" spans="1:1" x14ac:dyDescent="0.35">
      <c r="A1410" s="16" t="s">
        <v>3992</v>
      </c>
    </row>
    <row r="1411" spans="1:1" ht="29" x14ac:dyDescent="0.35">
      <c r="A1411" s="16" t="s">
        <v>3993</v>
      </c>
    </row>
    <row r="1412" spans="1:1" x14ac:dyDescent="0.35">
      <c r="A1412" s="16" t="s">
        <v>3994</v>
      </c>
    </row>
    <row r="1413" spans="1:1" ht="29" x14ac:dyDescent="0.35">
      <c r="A1413" s="16" t="s">
        <v>3995</v>
      </c>
    </row>
    <row r="1414" spans="1:1" ht="29" x14ac:dyDescent="0.35">
      <c r="A1414" s="16" t="s">
        <v>3996</v>
      </c>
    </row>
    <row r="1415" spans="1:1" ht="29" x14ac:dyDescent="0.35">
      <c r="A1415" s="16" t="s">
        <v>3997</v>
      </c>
    </row>
    <row r="1416" spans="1:1" ht="29" x14ac:dyDescent="0.35">
      <c r="A1416" s="16" t="s">
        <v>3998</v>
      </c>
    </row>
    <row r="1417" spans="1:1" x14ac:dyDescent="0.35">
      <c r="A1417" s="16" t="s">
        <v>3999</v>
      </c>
    </row>
    <row r="1418" spans="1:1" ht="29" x14ac:dyDescent="0.35">
      <c r="A1418" s="16" t="s">
        <v>4000</v>
      </c>
    </row>
    <row r="1419" spans="1:1" ht="29" x14ac:dyDescent="0.35">
      <c r="A1419" s="16" t="s">
        <v>4001</v>
      </c>
    </row>
    <row r="1420" spans="1:1" x14ac:dyDescent="0.35">
      <c r="A1420" s="16" t="s">
        <v>4002</v>
      </c>
    </row>
    <row r="1421" spans="1:1" ht="29" x14ac:dyDescent="0.35">
      <c r="A1421" s="16" t="s">
        <v>4003</v>
      </c>
    </row>
    <row r="1422" spans="1:1" x14ac:dyDescent="0.35">
      <c r="A1422" s="16" t="s">
        <v>4004</v>
      </c>
    </row>
    <row r="1423" spans="1:1" ht="29" x14ac:dyDescent="0.35">
      <c r="A1423" s="16" t="s">
        <v>4005</v>
      </c>
    </row>
    <row r="1424" spans="1:1" x14ac:dyDescent="0.35">
      <c r="A1424" s="16" t="s">
        <v>4006</v>
      </c>
    </row>
    <row r="1425" spans="1:1" ht="29" x14ac:dyDescent="0.35">
      <c r="A1425" s="16" t="s">
        <v>4007</v>
      </c>
    </row>
    <row r="1426" spans="1:1" ht="29" x14ac:dyDescent="0.35">
      <c r="A1426" s="16" t="s">
        <v>4008</v>
      </c>
    </row>
    <row r="1427" spans="1:1" x14ac:dyDescent="0.35">
      <c r="A1427" s="16" t="s">
        <v>4009</v>
      </c>
    </row>
    <row r="1428" spans="1:1" x14ac:dyDescent="0.35">
      <c r="A1428" s="16" t="s">
        <v>4010</v>
      </c>
    </row>
    <row r="1429" spans="1:1" ht="29" x14ac:dyDescent="0.35">
      <c r="A1429" s="16" t="s">
        <v>4011</v>
      </c>
    </row>
    <row r="1430" spans="1:1" ht="29" x14ac:dyDescent="0.35">
      <c r="A1430" s="16" t="s">
        <v>4012</v>
      </c>
    </row>
    <row r="1431" spans="1:1" x14ac:dyDescent="0.35">
      <c r="A1431" s="16" t="s">
        <v>4013</v>
      </c>
    </row>
    <row r="1432" spans="1:1" x14ac:dyDescent="0.35">
      <c r="A1432" s="16" t="s">
        <v>4014</v>
      </c>
    </row>
    <row r="1433" spans="1:1" ht="29" x14ac:dyDescent="0.35">
      <c r="A1433" s="16" t="s">
        <v>4015</v>
      </c>
    </row>
    <row r="1434" spans="1:1" ht="29" x14ac:dyDescent="0.35">
      <c r="A1434" s="16" t="s">
        <v>4016</v>
      </c>
    </row>
    <row r="1435" spans="1:1" ht="29" x14ac:dyDescent="0.35">
      <c r="A1435" s="16" t="s">
        <v>4017</v>
      </c>
    </row>
    <row r="1436" spans="1:1" ht="29" x14ac:dyDescent="0.35">
      <c r="A1436" s="16" t="s">
        <v>4018</v>
      </c>
    </row>
    <row r="1437" spans="1:1" x14ac:dyDescent="0.35">
      <c r="A1437" s="16" t="s">
        <v>4019</v>
      </c>
    </row>
    <row r="1438" spans="1:1" x14ac:dyDescent="0.35">
      <c r="A1438" s="16" t="s">
        <v>4020</v>
      </c>
    </row>
    <row r="1439" spans="1:1" ht="29" x14ac:dyDescent="0.35">
      <c r="A1439" s="16" t="s">
        <v>4021</v>
      </c>
    </row>
    <row r="1440" spans="1:1" ht="29" x14ac:dyDescent="0.35">
      <c r="A1440" s="16" t="s">
        <v>4022</v>
      </c>
    </row>
    <row r="1441" spans="1:1" x14ac:dyDescent="0.35">
      <c r="A1441" s="16" t="s">
        <v>4023</v>
      </c>
    </row>
    <row r="1442" spans="1:1" ht="29" x14ac:dyDescent="0.35">
      <c r="A1442" s="16" t="s">
        <v>4024</v>
      </c>
    </row>
    <row r="1443" spans="1:1" x14ac:dyDescent="0.35">
      <c r="A1443" s="16" t="s">
        <v>4025</v>
      </c>
    </row>
    <row r="1444" spans="1:1" x14ac:dyDescent="0.35">
      <c r="A1444" s="16" t="s">
        <v>4026</v>
      </c>
    </row>
    <row r="1445" spans="1:1" x14ac:dyDescent="0.35">
      <c r="A1445" s="16" t="s">
        <v>4027</v>
      </c>
    </row>
    <row r="1446" spans="1:1" x14ac:dyDescent="0.35">
      <c r="A1446" s="16" t="s">
        <v>4028</v>
      </c>
    </row>
    <row r="1447" spans="1:1" ht="29" x14ac:dyDescent="0.35">
      <c r="A1447" s="16" t="s">
        <v>4029</v>
      </c>
    </row>
    <row r="1448" spans="1:1" x14ac:dyDescent="0.35">
      <c r="A1448" s="16" t="s">
        <v>4030</v>
      </c>
    </row>
    <row r="1449" spans="1:1" ht="29" x14ac:dyDescent="0.35">
      <c r="A1449" s="16" t="s">
        <v>4031</v>
      </c>
    </row>
    <row r="1450" spans="1:1" ht="29" x14ac:dyDescent="0.35">
      <c r="A1450" s="16" t="s">
        <v>4032</v>
      </c>
    </row>
    <row r="1451" spans="1:1" x14ac:dyDescent="0.35">
      <c r="A1451" s="16" t="s">
        <v>4033</v>
      </c>
    </row>
    <row r="1452" spans="1:1" x14ac:dyDescent="0.35">
      <c r="A1452" s="16" t="s">
        <v>4034</v>
      </c>
    </row>
    <row r="1453" spans="1:1" x14ac:dyDescent="0.35">
      <c r="A1453" s="16" t="s">
        <v>4035</v>
      </c>
    </row>
    <row r="1454" spans="1:1" x14ac:dyDescent="0.35">
      <c r="A1454" s="16" t="s">
        <v>4036</v>
      </c>
    </row>
    <row r="1455" spans="1:1" x14ac:dyDescent="0.35">
      <c r="A1455" s="16" t="s">
        <v>4037</v>
      </c>
    </row>
    <row r="1456" spans="1:1" x14ac:dyDescent="0.35">
      <c r="A1456" s="16" t="s">
        <v>4038</v>
      </c>
    </row>
    <row r="1457" spans="1:1" ht="29" x14ac:dyDescent="0.35">
      <c r="A1457" s="16" t="s">
        <v>4039</v>
      </c>
    </row>
    <row r="1458" spans="1:1" ht="29" x14ac:dyDescent="0.35">
      <c r="A1458" s="16" t="s">
        <v>4040</v>
      </c>
    </row>
    <row r="1459" spans="1:1" x14ac:dyDescent="0.35">
      <c r="A1459" s="16" t="s">
        <v>4041</v>
      </c>
    </row>
    <row r="1460" spans="1:1" x14ac:dyDescent="0.35">
      <c r="A1460" s="16" t="s">
        <v>4042</v>
      </c>
    </row>
    <row r="1461" spans="1:1" ht="29" x14ac:dyDescent="0.35">
      <c r="A1461" s="16" t="s">
        <v>4043</v>
      </c>
    </row>
    <row r="1462" spans="1:1" ht="29" x14ac:dyDescent="0.35">
      <c r="A1462" s="16" t="s">
        <v>4044</v>
      </c>
    </row>
    <row r="1463" spans="1:1" ht="29" x14ac:dyDescent="0.35">
      <c r="A1463" s="16" t="s">
        <v>4045</v>
      </c>
    </row>
    <row r="1464" spans="1:1" x14ac:dyDescent="0.35">
      <c r="A1464" s="16" t="s">
        <v>4046</v>
      </c>
    </row>
    <row r="1465" spans="1:1" x14ac:dyDescent="0.35">
      <c r="A1465" s="16" t="s">
        <v>4047</v>
      </c>
    </row>
    <row r="1466" spans="1:1" ht="29" x14ac:dyDescent="0.35">
      <c r="A1466" s="16" t="s">
        <v>4048</v>
      </c>
    </row>
    <row r="1467" spans="1:1" ht="29" x14ac:dyDescent="0.35">
      <c r="A1467" s="16" t="s">
        <v>4049</v>
      </c>
    </row>
    <row r="1468" spans="1:1" ht="29" x14ac:dyDescent="0.35">
      <c r="A1468" s="16" t="s">
        <v>4050</v>
      </c>
    </row>
    <row r="1469" spans="1:1" x14ac:dyDescent="0.35">
      <c r="A1469" s="16" t="s">
        <v>4051</v>
      </c>
    </row>
    <row r="1470" spans="1:1" x14ac:dyDescent="0.35">
      <c r="A1470" s="16" t="s">
        <v>4052</v>
      </c>
    </row>
    <row r="1471" spans="1:1" ht="29" x14ac:dyDescent="0.35">
      <c r="A1471" s="16" t="s">
        <v>4053</v>
      </c>
    </row>
    <row r="1472" spans="1:1" ht="29" x14ac:dyDescent="0.35">
      <c r="A1472" s="16" t="s">
        <v>4054</v>
      </c>
    </row>
    <row r="1473" spans="1:1" x14ac:dyDescent="0.35">
      <c r="A1473" s="16" t="s">
        <v>4055</v>
      </c>
    </row>
    <row r="1474" spans="1:1" x14ac:dyDescent="0.35">
      <c r="A1474" s="16" t="s">
        <v>4056</v>
      </c>
    </row>
    <row r="1475" spans="1:1" ht="29" x14ac:dyDescent="0.35">
      <c r="A1475" s="16" t="s">
        <v>4057</v>
      </c>
    </row>
    <row r="1476" spans="1:1" ht="29" x14ac:dyDescent="0.35">
      <c r="A1476" s="16" t="s">
        <v>4058</v>
      </c>
    </row>
    <row r="1477" spans="1:1" ht="29" x14ac:dyDescent="0.35">
      <c r="A1477" s="16" t="s">
        <v>4059</v>
      </c>
    </row>
    <row r="1478" spans="1:1" ht="29" x14ac:dyDescent="0.35">
      <c r="A1478" s="16" t="s">
        <v>4060</v>
      </c>
    </row>
    <row r="1479" spans="1:1" x14ac:dyDescent="0.35">
      <c r="A1479" s="16" t="s">
        <v>4061</v>
      </c>
    </row>
    <row r="1480" spans="1:1" ht="29" x14ac:dyDescent="0.35">
      <c r="A1480" s="16" t="s">
        <v>4062</v>
      </c>
    </row>
    <row r="1481" spans="1:1" ht="29" x14ac:dyDescent="0.35">
      <c r="A1481" s="16" t="s">
        <v>4063</v>
      </c>
    </row>
    <row r="1482" spans="1:1" ht="29" x14ac:dyDescent="0.35">
      <c r="A1482" s="16" t="s">
        <v>4064</v>
      </c>
    </row>
    <row r="1483" spans="1:1" x14ac:dyDescent="0.35">
      <c r="A1483" s="16" t="s">
        <v>4065</v>
      </c>
    </row>
    <row r="1484" spans="1:1" x14ac:dyDescent="0.35">
      <c r="A1484" s="16" t="s">
        <v>4066</v>
      </c>
    </row>
    <row r="1485" spans="1:1" x14ac:dyDescent="0.35">
      <c r="A1485" s="16" t="s">
        <v>4067</v>
      </c>
    </row>
    <row r="1486" spans="1:1" ht="29" x14ac:dyDescent="0.35">
      <c r="A1486" s="16" t="s">
        <v>4068</v>
      </c>
    </row>
    <row r="1487" spans="1:1" x14ac:dyDescent="0.35">
      <c r="A1487" s="16" t="s">
        <v>4069</v>
      </c>
    </row>
    <row r="1488" spans="1:1" x14ac:dyDescent="0.35">
      <c r="A1488" s="16" t="s">
        <v>4070</v>
      </c>
    </row>
    <row r="1489" spans="1:1" x14ac:dyDescent="0.35">
      <c r="A1489" s="16" t="s">
        <v>4071</v>
      </c>
    </row>
    <row r="1490" spans="1:1" x14ac:dyDescent="0.35">
      <c r="A1490" s="16" t="s">
        <v>4072</v>
      </c>
    </row>
    <row r="1491" spans="1:1" x14ac:dyDescent="0.35">
      <c r="A1491" s="16" t="s">
        <v>4073</v>
      </c>
    </row>
    <row r="1492" spans="1:1" ht="29" x14ac:dyDescent="0.35">
      <c r="A1492" s="16" t="s">
        <v>4074</v>
      </c>
    </row>
    <row r="1493" spans="1:1" ht="29" x14ac:dyDescent="0.35">
      <c r="A1493" s="16" t="s">
        <v>4075</v>
      </c>
    </row>
    <row r="1494" spans="1:1" ht="29" x14ac:dyDescent="0.35">
      <c r="A1494" s="16" t="s">
        <v>4076</v>
      </c>
    </row>
    <row r="1495" spans="1:1" x14ac:dyDescent="0.35">
      <c r="A1495" s="16" t="s">
        <v>4077</v>
      </c>
    </row>
    <row r="1496" spans="1:1" x14ac:dyDescent="0.35">
      <c r="A1496" s="16" t="s">
        <v>4078</v>
      </c>
    </row>
    <row r="1497" spans="1:1" ht="29" x14ac:dyDescent="0.35">
      <c r="A1497" s="16" t="s">
        <v>4079</v>
      </c>
    </row>
    <row r="1498" spans="1:1" x14ac:dyDescent="0.35">
      <c r="A1498" s="16" t="s">
        <v>4080</v>
      </c>
    </row>
    <row r="1499" spans="1:1" x14ac:dyDescent="0.35">
      <c r="A1499" s="16" t="s">
        <v>4081</v>
      </c>
    </row>
    <row r="1500" spans="1:1" x14ac:dyDescent="0.35">
      <c r="A1500" s="16" t="s">
        <v>4082</v>
      </c>
    </row>
    <row r="1501" spans="1:1" x14ac:dyDescent="0.35">
      <c r="A1501" s="16" t="s">
        <v>4083</v>
      </c>
    </row>
    <row r="1502" spans="1:1" ht="29" x14ac:dyDescent="0.35">
      <c r="A1502" s="16" t="s">
        <v>4084</v>
      </c>
    </row>
    <row r="1503" spans="1:1" ht="29" x14ac:dyDescent="0.35">
      <c r="A1503" s="16" t="s">
        <v>4085</v>
      </c>
    </row>
    <row r="1504" spans="1:1" x14ac:dyDescent="0.35">
      <c r="A1504" s="16" t="s">
        <v>4086</v>
      </c>
    </row>
    <row r="1505" spans="1:1" x14ac:dyDescent="0.35">
      <c r="A1505" s="16" t="s">
        <v>4087</v>
      </c>
    </row>
    <row r="1506" spans="1:1" x14ac:dyDescent="0.35">
      <c r="A1506" s="16" t="s">
        <v>4088</v>
      </c>
    </row>
    <row r="1507" spans="1:1" x14ac:dyDescent="0.35">
      <c r="A1507" s="16" t="s">
        <v>4089</v>
      </c>
    </row>
    <row r="1508" spans="1:1" x14ac:dyDescent="0.35">
      <c r="A1508" s="16" t="s">
        <v>4090</v>
      </c>
    </row>
    <row r="1509" spans="1:1" x14ac:dyDescent="0.35">
      <c r="A1509" s="16" t="s">
        <v>4091</v>
      </c>
    </row>
    <row r="1510" spans="1:1" x14ac:dyDescent="0.35">
      <c r="A1510" s="16" t="s">
        <v>4092</v>
      </c>
    </row>
    <row r="1511" spans="1:1" x14ac:dyDescent="0.35">
      <c r="A1511" s="16" t="s">
        <v>4093</v>
      </c>
    </row>
    <row r="1512" spans="1:1" x14ac:dyDescent="0.35">
      <c r="A1512" s="16" t="s">
        <v>4094</v>
      </c>
    </row>
    <row r="1513" spans="1:1" ht="29" x14ac:dyDescent="0.35">
      <c r="A1513" s="16" t="s">
        <v>4095</v>
      </c>
    </row>
    <row r="1514" spans="1:1" ht="29" x14ac:dyDescent="0.35">
      <c r="A1514" s="16" t="s">
        <v>4096</v>
      </c>
    </row>
    <row r="1515" spans="1:1" x14ac:dyDescent="0.35">
      <c r="A1515" s="16" t="s">
        <v>4097</v>
      </c>
    </row>
    <row r="1516" spans="1:1" x14ac:dyDescent="0.35">
      <c r="A1516" s="16" t="s">
        <v>4098</v>
      </c>
    </row>
    <row r="1517" spans="1:1" ht="29" x14ac:dyDescent="0.35">
      <c r="A1517" s="16" t="s">
        <v>4099</v>
      </c>
    </row>
    <row r="1518" spans="1:1" x14ac:dyDescent="0.35">
      <c r="A1518" s="16" t="s">
        <v>4100</v>
      </c>
    </row>
    <row r="1519" spans="1:1" x14ac:dyDescent="0.35">
      <c r="A1519" s="16" t="s">
        <v>4101</v>
      </c>
    </row>
    <row r="1520" spans="1:1" ht="29" x14ac:dyDescent="0.35">
      <c r="A1520" s="16" t="s">
        <v>4102</v>
      </c>
    </row>
    <row r="1521" spans="1:1" ht="29" x14ac:dyDescent="0.35">
      <c r="A1521" s="16" t="s">
        <v>4103</v>
      </c>
    </row>
    <row r="1522" spans="1:1" x14ac:dyDescent="0.35">
      <c r="A1522" s="16" t="s">
        <v>4104</v>
      </c>
    </row>
    <row r="1523" spans="1:1" x14ac:dyDescent="0.35">
      <c r="A1523" s="16" t="s">
        <v>4105</v>
      </c>
    </row>
    <row r="1524" spans="1:1" ht="29" x14ac:dyDescent="0.35">
      <c r="A1524" s="16" t="s">
        <v>4106</v>
      </c>
    </row>
    <row r="1525" spans="1:1" x14ac:dyDescent="0.35">
      <c r="A1525" s="16" t="s">
        <v>4107</v>
      </c>
    </row>
    <row r="1526" spans="1:1" ht="29" x14ac:dyDescent="0.35">
      <c r="A1526" s="16" t="s">
        <v>4108</v>
      </c>
    </row>
    <row r="1527" spans="1:1" x14ac:dyDescent="0.35">
      <c r="A1527" s="16" t="s">
        <v>4109</v>
      </c>
    </row>
    <row r="1528" spans="1:1" ht="29" x14ac:dyDescent="0.35">
      <c r="A1528" s="16" t="s">
        <v>4110</v>
      </c>
    </row>
    <row r="1529" spans="1:1" ht="29" x14ac:dyDescent="0.35">
      <c r="A1529" s="16" t="s">
        <v>4111</v>
      </c>
    </row>
    <row r="1530" spans="1:1" x14ac:dyDescent="0.35">
      <c r="A1530" s="16" t="s">
        <v>4112</v>
      </c>
    </row>
    <row r="1531" spans="1:1" ht="29" x14ac:dyDescent="0.35">
      <c r="A1531" s="16" t="s">
        <v>4113</v>
      </c>
    </row>
    <row r="1532" spans="1:1" ht="29" x14ac:dyDescent="0.35">
      <c r="A1532" s="16" t="s">
        <v>4114</v>
      </c>
    </row>
    <row r="1533" spans="1:1" ht="29" x14ac:dyDescent="0.35">
      <c r="A1533" s="16" t="s">
        <v>4115</v>
      </c>
    </row>
    <row r="1534" spans="1:1" ht="29" x14ac:dyDescent="0.35">
      <c r="A1534" s="16" t="s">
        <v>4116</v>
      </c>
    </row>
    <row r="1535" spans="1:1" ht="29" x14ac:dyDescent="0.35">
      <c r="A1535" s="16" t="s">
        <v>4117</v>
      </c>
    </row>
    <row r="1536" spans="1:1" x14ac:dyDescent="0.35">
      <c r="A1536" s="16" t="s">
        <v>4118</v>
      </c>
    </row>
    <row r="1537" spans="1:1" x14ac:dyDescent="0.35">
      <c r="A1537" s="16" t="s">
        <v>4119</v>
      </c>
    </row>
    <row r="1538" spans="1:1" x14ac:dyDescent="0.35">
      <c r="A1538" s="16" t="s">
        <v>4120</v>
      </c>
    </row>
    <row r="1539" spans="1:1" ht="29" x14ac:dyDescent="0.35">
      <c r="A1539" s="16" t="s">
        <v>4121</v>
      </c>
    </row>
    <row r="1540" spans="1:1" ht="29" x14ac:dyDescent="0.35">
      <c r="A1540" s="16" t="s">
        <v>4122</v>
      </c>
    </row>
    <row r="1541" spans="1:1" x14ac:dyDescent="0.35">
      <c r="A1541" s="16" t="s">
        <v>4123</v>
      </c>
    </row>
    <row r="1542" spans="1:1" x14ac:dyDescent="0.35">
      <c r="A1542" s="16" t="s">
        <v>4124</v>
      </c>
    </row>
    <row r="1543" spans="1:1" x14ac:dyDescent="0.35">
      <c r="A1543" s="16" t="s">
        <v>4125</v>
      </c>
    </row>
    <row r="1544" spans="1:1" x14ac:dyDescent="0.35">
      <c r="A1544" s="16" t="s">
        <v>4126</v>
      </c>
    </row>
    <row r="1545" spans="1:1" ht="29" x14ac:dyDescent="0.35">
      <c r="A1545" s="16" t="s">
        <v>4127</v>
      </c>
    </row>
    <row r="1546" spans="1:1" x14ac:dyDescent="0.35">
      <c r="A1546" s="16" t="s">
        <v>4128</v>
      </c>
    </row>
    <row r="1547" spans="1:1" x14ac:dyDescent="0.35">
      <c r="A1547" s="16" t="s">
        <v>4129</v>
      </c>
    </row>
    <row r="1548" spans="1:1" x14ac:dyDescent="0.35">
      <c r="A1548" s="16" t="s">
        <v>4130</v>
      </c>
    </row>
    <row r="1549" spans="1:1" x14ac:dyDescent="0.35">
      <c r="A1549" s="16" t="s">
        <v>4131</v>
      </c>
    </row>
    <row r="1550" spans="1:1" x14ac:dyDescent="0.35">
      <c r="A1550" s="16" t="s">
        <v>4132</v>
      </c>
    </row>
    <row r="1551" spans="1:1" ht="29" x14ac:dyDescent="0.35">
      <c r="A1551" s="16" t="s">
        <v>4133</v>
      </c>
    </row>
    <row r="1552" spans="1:1" ht="29" x14ac:dyDescent="0.35">
      <c r="A1552" s="16" t="s">
        <v>4134</v>
      </c>
    </row>
    <row r="1553" spans="1:1" x14ac:dyDescent="0.35">
      <c r="A1553" s="16" t="s">
        <v>4135</v>
      </c>
    </row>
    <row r="1554" spans="1:1" ht="29" x14ac:dyDescent="0.35">
      <c r="A1554" s="16" t="s">
        <v>4136</v>
      </c>
    </row>
    <row r="1555" spans="1:1" ht="29" x14ac:dyDescent="0.35">
      <c r="A1555" s="16" t="s">
        <v>4137</v>
      </c>
    </row>
    <row r="1556" spans="1:1" ht="29" x14ac:dyDescent="0.35">
      <c r="A1556" s="16" t="s">
        <v>4138</v>
      </c>
    </row>
    <row r="1557" spans="1:1" ht="29" x14ac:dyDescent="0.35">
      <c r="A1557" s="16" t="s">
        <v>4139</v>
      </c>
    </row>
    <row r="1558" spans="1:1" x14ac:dyDescent="0.35">
      <c r="A1558" s="16" t="s">
        <v>4140</v>
      </c>
    </row>
    <row r="1559" spans="1:1" x14ac:dyDescent="0.35">
      <c r="A1559" s="16" t="s">
        <v>4141</v>
      </c>
    </row>
    <row r="1560" spans="1:1" ht="29" x14ac:dyDescent="0.35">
      <c r="A1560" s="16" t="s">
        <v>4142</v>
      </c>
    </row>
    <row r="1561" spans="1:1" x14ac:dyDescent="0.35">
      <c r="A1561" s="16" t="s">
        <v>4143</v>
      </c>
    </row>
    <row r="1562" spans="1:1" x14ac:dyDescent="0.35">
      <c r="A1562" s="16" t="s">
        <v>4144</v>
      </c>
    </row>
    <row r="1563" spans="1:1" x14ac:dyDescent="0.35">
      <c r="A1563" s="16" t="s">
        <v>4145</v>
      </c>
    </row>
    <row r="1564" spans="1:1" x14ac:dyDescent="0.35">
      <c r="A1564" s="16" t="s">
        <v>4146</v>
      </c>
    </row>
    <row r="1565" spans="1:1" x14ac:dyDescent="0.35">
      <c r="A1565" s="16" t="s">
        <v>4147</v>
      </c>
    </row>
    <row r="1566" spans="1:1" ht="29" x14ac:dyDescent="0.35">
      <c r="A1566" s="16" t="s">
        <v>4148</v>
      </c>
    </row>
    <row r="1567" spans="1:1" x14ac:dyDescent="0.35">
      <c r="A1567" s="16" t="s">
        <v>4149</v>
      </c>
    </row>
    <row r="1568" spans="1:1" x14ac:dyDescent="0.35">
      <c r="A1568" s="16" t="s">
        <v>4150</v>
      </c>
    </row>
    <row r="1569" spans="1:1" ht="29" x14ac:dyDescent="0.35">
      <c r="A1569" s="16" t="s">
        <v>4151</v>
      </c>
    </row>
    <row r="1570" spans="1:1" x14ac:dyDescent="0.35">
      <c r="A1570" s="16" t="s">
        <v>4152</v>
      </c>
    </row>
    <row r="1571" spans="1:1" ht="29" x14ac:dyDescent="0.35">
      <c r="A1571" s="16" t="s">
        <v>4153</v>
      </c>
    </row>
    <row r="1572" spans="1:1" x14ac:dyDescent="0.35">
      <c r="A1572" s="16" t="s">
        <v>4154</v>
      </c>
    </row>
    <row r="1573" spans="1:1" x14ac:dyDescent="0.35">
      <c r="A1573" s="16" t="s">
        <v>4155</v>
      </c>
    </row>
    <row r="1574" spans="1:1" x14ac:dyDescent="0.35">
      <c r="A1574" s="16" t="s">
        <v>4156</v>
      </c>
    </row>
    <row r="1575" spans="1:1" ht="29" x14ac:dyDescent="0.35">
      <c r="A1575" s="16" t="s">
        <v>4157</v>
      </c>
    </row>
    <row r="1576" spans="1:1" ht="29" x14ac:dyDescent="0.35">
      <c r="A1576" s="16" t="s">
        <v>4158</v>
      </c>
    </row>
    <row r="1577" spans="1:1" ht="29" x14ac:dyDescent="0.35">
      <c r="A1577" s="16" t="s">
        <v>4159</v>
      </c>
    </row>
    <row r="1578" spans="1:1" x14ac:dyDescent="0.35">
      <c r="A1578" s="16" t="s">
        <v>4160</v>
      </c>
    </row>
    <row r="1579" spans="1:1" x14ac:dyDescent="0.35">
      <c r="A1579" s="16" t="s">
        <v>4161</v>
      </c>
    </row>
    <row r="1580" spans="1:1" x14ac:dyDescent="0.35">
      <c r="A1580" s="16" t="s">
        <v>4162</v>
      </c>
    </row>
    <row r="1581" spans="1:1" ht="29" x14ac:dyDescent="0.35">
      <c r="A1581" s="16" t="s">
        <v>4163</v>
      </c>
    </row>
    <row r="1582" spans="1:1" x14ac:dyDescent="0.35">
      <c r="A1582" s="16" t="s">
        <v>4164</v>
      </c>
    </row>
    <row r="1583" spans="1:1" x14ac:dyDescent="0.35">
      <c r="A1583" s="16" t="s">
        <v>4165</v>
      </c>
    </row>
    <row r="1584" spans="1:1" ht="29" x14ac:dyDescent="0.35">
      <c r="A1584" s="16" t="s">
        <v>4166</v>
      </c>
    </row>
    <row r="1585" spans="1:1" x14ac:dyDescent="0.35">
      <c r="A1585" s="16" t="s">
        <v>4167</v>
      </c>
    </row>
    <row r="1586" spans="1:1" ht="29" x14ac:dyDescent="0.35">
      <c r="A1586" s="16" t="s">
        <v>4168</v>
      </c>
    </row>
    <row r="1587" spans="1:1" ht="29" x14ac:dyDescent="0.35">
      <c r="A1587" s="16" t="s">
        <v>4169</v>
      </c>
    </row>
    <row r="1588" spans="1:1" x14ac:dyDescent="0.35">
      <c r="A1588" s="16" t="s">
        <v>4170</v>
      </c>
    </row>
    <row r="1589" spans="1:1" x14ac:dyDescent="0.35">
      <c r="A1589" s="16" t="s">
        <v>4171</v>
      </c>
    </row>
    <row r="1590" spans="1:1" ht="29" x14ac:dyDescent="0.35">
      <c r="A1590" s="16" t="s">
        <v>4172</v>
      </c>
    </row>
    <row r="1591" spans="1:1" ht="29" x14ac:dyDescent="0.35">
      <c r="A1591" s="16" t="s">
        <v>4173</v>
      </c>
    </row>
    <row r="1592" spans="1:1" ht="29" x14ac:dyDescent="0.35">
      <c r="A1592" s="16" t="s">
        <v>4174</v>
      </c>
    </row>
    <row r="1593" spans="1:1" ht="29" x14ac:dyDescent="0.35">
      <c r="A1593" s="16" t="s">
        <v>4175</v>
      </c>
    </row>
    <row r="1594" spans="1:1" x14ac:dyDescent="0.35">
      <c r="A1594" s="16" t="s">
        <v>4176</v>
      </c>
    </row>
    <row r="1595" spans="1:1" x14ac:dyDescent="0.35">
      <c r="A1595" s="16" t="s">
        <v>4177</v>
      </c>
    </row>
    <row r="1596" spans="1:1" ht="29" x14ac:dyDescent="0.35">
      <c r="A1596" s="16" t="s">
        <v>4178</v>
      </c>
    </row>
    <row r="1597" spans="1:1" ht="29" x14ac:dyDescent="0.35">
      <c r="A1597" s="16" t="s">
        <v>4179</v>
      </c>
    </row>
    <row r="1598" spans="1:1" ht="29" x14ac:dyDescent="0.35">
      <c r="A1598" s="16" t="s">
        <v>4180</v>
      </c>
    </row>
    <row r="1599" spans="1:1" x14ac:dyDescent="0.35">
      <c r="A1599" s="16" t="s">
        <v>4181</v>
      </c>
    </row>
    <row r="1600" spans="1:1" x14ac:dyDescent="0.35">
      <c r="A1600" s="16" t="s">
        <v>4182</v>
      </c>
    </row>
    <row r="1601" spans="1:1" ht="29" x14ac:dyDescent="0.35">
      <c r="A1601" s="16" t="s">
        <v>4183</v>
      </c>
    </row>
    <row r="1602" spans="1:1" x14ac:dyDescent="0.35">
      <c r="A1602" s="16" t="s">
        <v>4184</v>
      </c>
    </row>
    <row r="1603" spans="1:1" x14ac:dyDescent="0.35">
      <c r="A1603" s="16" t="s">
        <v>4185</v>
      </c>
    </row>
    <row r="1604" spans="1:1" ht="29" x14ac:dyDescent="0.35">
      <c r="A1604" s="16" t="s">
        <v>4186</v>
      </c>
    </row>
    <row r="1605" spans="1:1" x14ac:dyDescent="0.35">
      <c r="A1605" s="16" t="s">
        <v>4187</v>
      </c>
    </row>
    <row r="1606" spans="1:1" x14ac:dyDescent="0.35">
      <c r="A1606" s="16" t="s">
        <v>4188</v>
      </c>
    </row>
    <row r="1607" spans="1:1" x14ac:dyDescent="0.35">
      <c r="A1607" s="16" t="s">
        <v>4189</v>
      </c>
    </row>
    <row r="1608" spans="1:1" x14ac:dyDescent="0.35">
      <c r="A1608" s="16" t="s">
        <v>4190</v>
      </c>
    </row>
    <row r="1609" spans="1:1" x14ac:dyDescent="0.35">
      <c r="A1609" s="16" t="s">
        <v>4191</v>
      </c>
    </row>
    <row r="1610" spans="1:1" ht="29" x14ac:dyDescent="0.35">
      <c r="A1610" s="16" t="s">
        <v>4192</v>
      </c>
    </row>
    <row r="1611" spans="1:1" ht="29" x14ac:dyDescent="0.35">
      <c r="A1611" s="16" t="s">
        <v>4193</v>
      </c>
    </row>
    <row r="1612" spans="1:1" x14ac:dyDescent="0.35">
      <c r="A1612" s="16" t="s">
        <v>4194</v>
      </c>
    </row>
    <row r="1613" spans="1:1" x14ac:dyDescent="0.35">
      <c r="A1613" s="16" t="s">
        <v>4195</v>
      </c>
    </row>
    <row r="1614" spans="1:1" ht="29" x14ac:dyDescent="0.35">
      <c r="A1614" s="16" t="s">
        <v>4196</v>
      </c>
    </row>
    <row r="1615" spans="1:1" ht="29" x14ac:dyDescent="0.35">
      <c r="A1615" s="16" t="s">
        <v>4197</v>
      </c>
    </row>
    <row r="1616" spans="1:1" ht="29" x14ac:dyDescent="0.35">
      <c r="A1616" s="16" t="s">
        <v>4198</v>
      </c>
    </row>
    <row r="1617" spans="1:1" ht="29" x14ac:dyDescent="0.35">
      <c r="A1617" s="16" t="s">
        <v>4199</v>
      </c>
    </row>
    <row r="1618" spans="1:1" x14ac:dyDescent="0.35">
      <c r="A1618" s="16" t="s">
        <v>4200</v>
      </c>
    </row>
    <row r="1619" spans="1:1" x14ac:dyDescent="0.35">
      <c r="A1619" s="16" t="s">
        <v>4201</v>
      </c>
    </row>
    <row r="1620" spans="1:1" ht="29" x14ac:dyDescent="0.35">
      <c r="A1620" s="16" t="s">
        <v>4202</v>
      </c>
    </row>
    <row r="1621" spans="1:1" ht="29" x14ac:dyDescent="0.35">
      <c r="A1621" s="16" t="s">
        <v>4203</v>
      </c>
    </row>
    <row r="1622" spans="1:1" ht="29" x14ac:dyDescent="0.35">
      <c r="A1622" s="16" t="s">
        <v>4204</v>
      </c>
    </row>
    <row r="1623" spans="1:1" ht="29" x14ac:dyDescent="0.35">
      <c r="A1623" s="16" t="s">
        <v>4205</v>
      </c>
    </row>
    <row r="1624" spans="1:1" ht="29" x14ac:dyDescent="0.35">
      <c r="A1624" s="16" t="s">
        <v>4206</v>
      </c>
    </row>
    <row r="1625" spans="1:1" x14ac:dyDescent="0.35">
      <c r="A1625" s="16" t="s">
        <v>4207</v>
      </c>
    </row>
    <row r="1626" spans="1:1" ht="29" x14ac:dyDescent="0.35">
      <c r="A1626" s="16" t="s">
        <v>4208</v>
      </c>
    </row>
    <row r="1627" spans="1:1" ht="29" x14ac:dyDescent="0.35">
      <c r="A1627" s="16" t="s">
        <v>4209</v>
      </c>
    </row>
    <row r="1628" spans="1:1" ht="29" x14ac:dyDescent="0.35">
      <c r="A1628" s="16" t="s">
        <v>4210</v>
      </c>
    </row>
    <row r="1629" spans="1:1" x14ac:dyDescent="0.35">
      <c r="A1629" s="16" t="s">
        <v>4211</v>
      </c>
    </row>
    <row r="1630" spans="1:1" x14ac:dyDescent="0.35">
      <c r="A1630" s="16" t="s">
        <v>4212</v>
      </c>
    </row>
    <row r="1631" spans="1:1" x14ac:dyDescent="0.35">
      <c r="A1631" s="16" t="s">
        <v>4213</v>
      </c>
    </row>
    <row r="1632" spans="1:1" ht="29" x14ac:dyDescent="0.35">
      <c r="A1632" s="16" t="s">
        <v>4214</v>
      </c>
    </row>
    <row r="1633" spans="1:1" ht="29" x14ac:dyDescent="0.35">
      <c r="A1633" s="16" t="s">
        <v>4215</v>
      </c>
    </row>
    <row r="1634" spans="1:1" ht="29" x14ac:dyDescent="0.35">
      <c r="A1634" s="16" t="s">
        <v>4216</v>
      </c>
    </row>
    <row r="1635" spans="1:1" ht="29" x14ac:dyDescent="0.35">
      <c r="A1635" s="16" t="s">
        <v>4217</v>
      </c>
    </row>
    <row r="1636" spans="1:1" x14ac:dyDescent="0.35">
      <c r="A1636" s="16" t="s">
        <v>4218</v>
      </c>
    </row>
    <row r="1637" spans="1:1" x14ac:dyDescent="0.35">
      <c r="A1637" s="16" t="s">
        <v>4219</v>
      </c>
    </row>
    <row r="1638" spans="1:1" x14ac:dyDescent="0.35">
      <c r="A1638" s="16" t="s">
        <v>4220</v>
      </c>
    </row>
    <row r="1639" spans="1:1" ht="29" x14ac:dyDescent="0.35">
      <c r="A1639" s="16" t="s">
        <v>4221</v>
      </c>
    </row>
    <row r="1640" spans="1:1" x14ac:dyDescent="0.35">
      <c r="A1640" s="16" t="s">
        <v>4222</v>
      </c>
    </row>
    <row r="1641" spans="1:1" ht="29" x14ac:dyDescent="0.35">
      <c r="A1641" s="16" t="s">
        <v>4223</v>
      </c>
    </row>
    <row r="1642" spans="1:1" x14ac:dyDescent="0.35">
      <c r="A1642" s="16" t="s">
        <v>4224</v>
      </c>
    </row>
    <row r="1643" spans="1:1" x14ac:dyDescent="0.35">
      <c r="A1643" s="16" t="s">
        <v>4225</v>
      </c>
    </row>
    <row r="1644" spans="1:1" x14ac:dyDescent="0.35">
      <c r="A1644" s="16" t="s">
        <v>4226</v>
      </c>
    </row>
    <row r="1645" spans="1:1" x14ac:dyDescent="0.35">
      <c r="A1645" s="16" t="s">
        <v>4227</v>
      </c>
    </row>
    <row r="1646" spans="1:1" x14ac:dyDescent="0.35">
      <c r="A1646" s="16" t="s">
        <v>4228</v>
      </c>
    </row>
    <row r="1647" spans="1:1" ht="29" x14ac:dyDescent="0.35">
      <c r="A1647" s="16" t="s">
        <v>4229</v>
      </c>
    </row>
    <row r="1648" spans="1:1" ht="29" x14ac:dyDescent="0.35">
      <c r="A1648" s="16" t="s">
        <v>4230</v>
      </c>
    </row>
    <row r="1649" spans="1:1" x14ac:dyDescent="0.35">
      <c r="A1649" s="16" t="s">
        <v>4231</v>
      </c>
    </row>
    <row r="1650" spans="1:1" ht="29" x14ac:dyDescent="0.35">
      <c r="A1650" s="16" t="s">
        <v>4232</v>
      </c>
    </row>
    <row r="1651" spans="1:1" x14ac:dyDescent="0.35">
      <c r="A1651" s="16" t="s">
        <v>4233</v>
      </c>
    </row>
    <row r="1652" spans="1:1" ht="29" x14ac:dyDescent="0.35">
      <c r="A1652" s="16" t="s">
        <v>4234</v>
      </c>
    </row>
    <row r="1653" spans="1:1" x14ac:dyDescent="0.35">
      <c r="A1653" s="16" t="s">
        <v>4235</v>
      </c>
    </row>
    <row r="1654" spans="1:1" x14ac:dyDescent="0.35">
      <c r="A1654" s="16" t="s">
        <v>4236</v>
      </c>
    </row>
    <row r="1655" spans="1:1" ht="29" x14ac:dyDescent="0.35">
      <c r="A1655" s="16" t="s">
        <v>4237</v>
      </c>
    </row>
    <row r="1656" spans="1:1" x14ac:dyDescent="0.35">
      <c r="A1656" s="16" t="s">
        <v>4238</v>
      </c>
    </row>
    <row r="1657" spans="1:1" ht="29" x14ac:dyDescent="0.35">
      <c r="A1657" s="16" t="s">
        <v>4239</v>
      </c>
    </row>
    <row r="1658" spans="1:1" x14ac:dyDescent="0.35">
      <c r="A1658" s="16" t="s">
        <v>4240</v>
      </c>
    </row>
    <row r="1659" spans="1:1" ht="29" x14ac:dyDescent="0.35">
      <c r="A1659" s="16" t="s">
        <v>4241</v>
      </c>
    </row>
    <row r="1660" spans="1:1" x14ac:dyDescent="0.35">
      <c r="A1660" s="16" t="s">
        <v>4242</v>
      </c>
    </row>
    <row r="1661" spans="1:1" ht="29" x14ac:dyDescent="0.35">
      <c r="A1661" s="16" t="s">
        <v>4243</v>
      </c>
    </row>
    <row r="1662" spans="1:1" x14ac:dyDescent="0.35">
      <c r="A1662" s="16" t="s">
        <v>4244</v>
      </c>
    </row>
    <row r="1663" spans="1:1" ht="29" x14ac:dyDescent="0.35">
      <c r="A1663" s="16" t="s">
        <v>4245</v>
      </c>
    </row>
    <row r="1664" spans="1:1" ht="29" x14ac:dyDescent="0.35">
      <c r="A1664" s="16" t="s">
        <v>4246</v>
      </c>
    </row>
    <row r="1665" spans="1:1" ht="29" x14ac:dyDescent="0.35">
      <c r="A1665" s="16" t="s">
        <v>4247</v>
      </c>
    </row>
    <row r="1666" spans="1:1" x14ac:dyDescent="0.35">
      <c r="A1666" s="16" t="s">
        <v>4248</v>
      </c>
    </row>
    <row r="1667" spans="1:1" ht="29" x14ac:dyDescent="0.35">
      <c r="A1667" s="16" t="s">
        <v>4249</v>
      </c>
    </row>
    <row r="1668" spans="1:1" ht="29" x14ac:dyDescent="0.35">
      <c r="A1668" s="16" t="s">
        <v>4250</v>
      </c>
    </row>
    <row r="1669" spans="1:1" ht="29" x14ac:dyDescent="0.35">
      <c r="A1669" s="16" t="s">
        <v>4251</v>
      </c>
    </row>
    <row r="1670" spans="1:1" x14ac:dyDescent="0.35">
      <c r="A1670" s="16" t="s">
        <v>4252</v>
      </c>
    </row>
    <row r="1671" spans="1:1" x14ac:dyDescent="0.35">
      <c r="A1671" s="16" t="s">
        <v>4253</v>
      </c>
    </row>
    <row r="1672" spans="1:1" ht="29" x14ac:dyDescent="0.35">
      <c r="A1672" s="16" t="s">
        <v>4254</v>
      </c>
    </row>
    <row r="1673" spans="1:1" x14ac:dyDescent="0.35">
      <c r="A1673" s="16" t="s">
        <v>4255</v>
      </c>
    </row>
    <row r="1674" spans="1:1" x14ac:dyDescent="0.35">
      <c r="A1674" s="16" t="s">
        <v>4256</v>
      </c>
    </row>
    <row r="1675" spans="1:1" x14ac:dyDescent="0.35">
      <c r="A1675" s="16" t="s">
        <v>4257</v>
      </c>
    </row>
    <row r="1676" spans="1:1" x14ac:dyDescent="0.35">
      <c r="A1676" s="16" t="s">
        <v>4258</v>
      </c>
    </row>
    <row r="1677" spans="1:1" ht="29" x14ac:dyDescent="0.35">
      <c r="A1677" s="16" t="s">
        <v>4259</v>
      </c>
    </row>
    <row r="1678" spans="1:1" x14ac:dyDescent="0.35">
      <c r="A1678" s="16" t="s">
        <v>4260</v>
      </c>
    </row>
    <row r="1679" spans="1:1" x14ac:dyDescent="0.35">
      <c r="A1679" s="16" t="s">
        <v>4261</v>
      </c>
    </row>
    <row r="1680" spans="1:1" x14ac:dyDescent="0.35">
      <c r="A1680" s="16" t="s">
        <v>4262</v>
      </c>
    </row>
    <row r="1681" spans="1:1" x14ac:dyDescent="0.35">
      <c r="A1681" s="16" t="s">
        <v>4263</v>
      </c>
    </row>
    <row r="1682" spans="1:1" x14ac:dyDescent="0.35">
      <c r="A1682" s="16" t="s">
        <v>4264</v>
      </c>
    </row>
    <row r="1683" spans="1:1" x14ac:dyDescent="0.35">
      <c r="A1683" s="16" t="s">
        <v>4265</v>
      </c>
    </row>
    <row r="1684" spans="1:1" ht="29" x14ac:dyDescent="0.35">
      <c r="A1684" s="16" t="s">
        <v>4266</v>
      </c>
    </row>
    <row r="1685" spans="1:1" x14ac:dyDescent="0.35">
      <c r="A1685" s="16" t="s">
        <v>4267</v>
      </c>
    </row>
    <row r="1686" spans="1:1" x14ac:dyDescent="0.35">
      <c r="A1686" s="16" t="s">
        <v>4268</v>
      </c>
    </row>
    <row r="1687" spans="1:1" ht="29" x14ac:dyDescent="0.35">
      <c r="A1687" s="16" t="s">
        <v>4269</v>
      </c>
    </row>
    <row r="1688" spans="1:1" x14ac:dyDescent="0.35">
      <c r="A1688" s="16" t="s">
        <v>4270</v>
      </c>
    </row>
    <row r="1689" spans="1:1" x14ac:dyDescent="0.35">
      <c r="A1689" s="16" t="s">
        <v>4271</v>
      </c>
    </row>
    <row r="1690" spans="1:1" ht="29" x14ac:dyDescent="0.35">
      <c r="A1690" s="16" t="s">
        <v>4272</v>
      </c>
    </row>
    <row r="1691" spans="1:1" x14ac:dyDescent="0.35">
      <c r="A1691" s="16" t="s">
        <v>4273</v>
      </c>
    </row>
    <row r="1692" spans="1:1" x14ac:dyDescent="0.35">
      <c r="A1692" s="16" t="s">
        <v>4274</v>
      </c>
    </row>
    <row r="1693" spans="1:1" x14ac:dyDescent="0.35">
      <c r="A1693" s="16" t="s">
        <v>4275</v>
      </c>
    </row>
    <row r="1694" spans="1:1" x14ac:dyDescent="0.35">
      <c r="A1694" s="16" t="s">
        <v>4276</v>
      </c>
    </row>
    <row r="1695" spans="1:1" ht="29" x14ac:dyDescent="0.35">
      <c r="A1695" s="16" t="s">
        <v>4277</v>
      </c>
    </row>
    <row r="1696" spans="1:1" x14ac:dyDescent="0.35">
      <c r="A1696" s="16" t="s">
        <v>4278</v>
      </c>
    </row>
    <row r="1697" spans="1:1" ht="29" x14ac:dyDescent="0.35">
      <c r="A1697" s="16" t="s">
        <v>4279</v>
      </c>
    </row>
    <row r="1698" spans="1:1" ht="29" x14ac:dyDescent="0.35">
      <c r="A1698" s="16" t="s">
        <v>4280</v>
      </c>
    </row>
    <row r="1699" spans="1:1" ht="29" x14ac:dyDescent="0.35">
      <c r="A1699" s="16" t="s">
        <v>4281</v>
      </c>
    </row>
    <row r="1700" spans="1:1" x14ac:dyDescent="0.35">
      <c r="A1700" s="16" t="s">
        <v>4282</v>
      </c>
    </row>
    <row r="1701" spans="1:1" x14ac:dyDescent="0.35">
      <c r="A1701" s="16" t="s">
        <v>4283</v>
      </c>
    </row>
    <row r="1702" spans="1:1" ht="29" x14ac:dyDescent="0.35">
      <c r="A1702" s="16" t="s">
        <v>4284</v>
      </c>
    </row>
    <row r="1703" spans="1:1" x14ac:dyDescent="0.35">
      <c r="A1703" s="16" t="s">
        <v>4285</v>
      </c>
    </row>
    <row r="1704" spans="1:1" ht="29" x14ac:dyDescent="0.35">
      <c r="A1704" s="16" t="s">
        <v>4286</v>
      </c>
    </row>
    <row r="1705" spans="1:1" x14ac:dyDescent="0.35">
      <c r="A1705" s="16" t="s">
        <v>4287</v>
      </c>
    </row>
    <row r="1706" spans="1:1" x14ac:dyDescent="0.35">
      <c r="A1706" s="16" t="s">
        <v>4288</v>
      </c>
    </row>
    <row r="1707" spans="1:1" x14ac:dyDescent="0.35">
      <c r="A1707" s="16" t="s">
        <v>4289</v>
      </c>
    </row>
    <row r="1708" spans="1:1" ht="29" x14ac:dyDescent="0.35">
      <c r="A1708" s="16" t="s">
        <v>4290</v>
      </c>
    </row>
    <row r="1709" spans="1:1" x14ac:dyDescent="0.35">
      <c r="A1709" s="16" t="s">
        <v>4291</v>
      </c>
    </row>
    <row r="1710" spans="1:1" x14ac:dyDescent="0.35">
      <c r="A1710" s="16" t="s">
        <v>4292</v>
      </c>
    </row>
    <row r="1711" spans="1:1" x14ac:dyDescent="0.35">
      <c r="A1711" s="16" t="s">
        <v>4293</v>
      </c>
    </row>
    <row r="1712" spans="1:1" x14ac:dyDescent="0.35">
      <c r="A1712" s="16" t="s">
        <v>4294</v>
      </c>
    </row>
    <row r="1713" spans="1:1" ht="29" x14ac:dyDescent="0.35">
      <c r="A1713" s="16" t="s">
        <v>4295</v>
      </c>
    </row>
    <row r="1714" spans="1:1" x14ac:dyDescent="0.35">
      <c r="A1714" s="16" t="s">
        <v>4296</v>
      </c>
    </row>
    <row r="1715" spans="1:1" x14ac:dyDescent="0.35">
      <c r="A1715" s="16" t="s">
        <v>4297</v>
      </c>
    </row>
    <row r="1716" spans="1:1" x14ac:dyDescent="0.35">
      <c r="A1716" s="16" t="s">
        <v>4298</v>
      </c>
    </row>
    <row r="1717" spans="1:1" x14ac:dyDescent="0.35">
      <c r="A1717" s="16" t="s">
        <v>4299</v>
      </c>
    </row>
    <row r="1718" spans="1:1" x14ac:dyDescent="0.35">
      <c r="A1718" s="16" t="s">
        <v>4300</v>
      </c>
    </row>
    <row r="1719" spans="1:1" x14ac:dyDescent="0.35">
      <c r="A1719" s="16" t="s">
        <v>4301</v>
      </c>
    </row>
    <row r="1720" spans="1:1" ht="29" x14ac:dyDescent="0.35">
      <c r="A1720" s="16" t="s">
        <v>4302</v>
      </c>
    </row>
    <row r="1721" spans="1:1" ht="29" x14ac:dyDescent="0.35">
      <c r="A1721" s="16" t="s">
        <v>4303</v>
      </c>
    </row>
    <row r="1722" spans="1:1" ht="29" x14ac:dyDescent="0.35">
      <c r="A1722" s="16" t="s">
        <v>4304</v>
      </c>
    </row>
    <row r="1723" spans="1:1" x14ac:dyDescent="0.35">
      <c r="A1723" s="16" t="s">
        <v>4305</v>
      </c>
    </row>
    <row r="1724" spans="1:1" ht="29" x14ac:dyDescent="0.35">
      <c r="A1724" s="16" t="s">
        <v>4306</v>
      </c>
    </row>
    <row r="1725" spans="1:1" ht="29" x14ac:dyDescent="0.35">
      <c r="A1725" s="16" t="s">
        <v>4307</v>
      </c>
    </row>
    <row r="1726" spans="1:1" ht="29" x14ac:dyDescent="0.35">
      <c r="A1726" s="16" t="s">
        <v>4308</v>
      </c>
    </row>
    <row r="1727" spans="1:1" x14ac:dyDescent="0.35">
      <c r="A1727" s="16" t="s">
        <v>4309</v>
      </c>
    </row>
    <row r="1728" spans="1:1" ht="29" x14ac:dyDescent="0.35">
      <c r="A1728" s="16" t="s">
        <v>4310</v>
      </c>
    </row>
    <row r="1729" spans="1:1" x14ac:dyDescent="0.35">
      <c r="A1729" s="16" t="s">
        <v>4311</v>
      </c>
    </row>
    <row r="1730" spans="1:1" ht="29" x14ac:dyDescent="0.35">
      <c r="A1730" s="16" t="s">
        <v>4312</v>
      </c>
    </row>
    <row r="1731" spans="1:1" x14ac:dyDescent="0.35">
      <c r="A1731" s="16" t="s">
        <v>4313</v>
      </c>
    </row>
    <row r="1732" spans="1:1" x14ac:dyDescent="0.35">
      <c r="A1732" s="16" t="s">
        <v>4314</v>
      </c>
    </row>
    <row r="1733" spans="1:1" x14ac:dyDescent="0.35">
      <c r="A1733" s="16" t="s">
        <v>4315</v>
      </c>
    </row>
    <row r="1734" spans="1:1" x14ac:dyDescent="0.35">
      <c r="A1734" s="16" t="s">
        <v>4316</v>
      </c>
    </row>
    <row r="1735" spans="1:1" ht="29" x14ac:dyDescent="0.35">
      <c r="A1735" s="16" t="s">
        <v>4317</v>
      </c>
    </row>
    <row r="1736" spans="1:1" x14ac:dyDescent="0.35">
      <c r="A1736" s="16" t="s">
        <v>4318</v>
      </c>
    </row>
    <row r="1737" spans="1:1" ht="29" x14ac:dyDescent="0.35">
      <c r="A1737" s="16" t="s">
        <v>4319</v>
      </c>
    </row>
    <row r="1738" spans="1:1" ht="29" x14ac:dyDescent="0.35">
      <c r="A1738" s="16" t="s">
        <v>4320</v>
      </c>
    </row>
    <row r="1739" spans="1:1" ht="29" x14ac:dyDescent="0.35">
      <c r="A1739" s="16" t="s">
        <v>4321</v>
      </c>
    </row>
    <row r="1740" spans="1:1" x14ac:dyDescent="0.35">
      <c r="A1740" s="16" t="s">
        <v>4322</v>
      </c>
    </row>
    <row r="1741" spans="1:1" x14ac:dyDescent="0.35">
      <c r="A1741" s="16" t="s">
        <v>4323</v>
      </c>
    </row>
    <row r="1742" spans="1:1" x14ac:dyDescent="0.35">
      <c r="A1742" s="16" t="s">
        <v>4324</v>
      </c>
    </row>
    <row r="1743" spans="1:1" x14ac:dyDescent="0.35">
      <c r="A1743" s="16" t="s">
        <v>4325</v>
      </c>
    </row>
    <row r="1744" spans="1:1" ht="29" x14ac:dyDescent="0.35">
      <c r="A1744" s="16" t="s">
        <v>4326</v>
      </c>
    </row>
    <row r="1745" spans="1:1" x14ac:dyDescent="0.35">
      <c r="A1745" s="16" t="s">
        <v>4327</v>
      </c>
    </row>
    <row r="1746" spans="1:1" ht="29" x14ac:dyDescent="0.35">
      <c r="A1746" s="16" t="s">
        <v>4328</v>
      </c>
    </row>
    <row r="1747" spans="1:1" x14ac:dyDescent="0.35">
      <c r="A1747" s="16" t="s">
        <v>4329</v>
      </c>
    </row>
    <row r="1748" spans="1:1" ht="29" x14ac:dyDescent="0.35">
      <c r="A1748" s="16" t="s">
        <v>4330</v>
      </c>
    </row>
    <row r="1749" spans="1:1" ht="29" x14ac:dyDescent="0.35">
      <c r="A1749" s="16" t="s">
        <v>4331</v>
      </c>
    </row>
    <row r="1750" spans="1:1" ht="29" x14ac:dyDescent="0.35">
      <c r="A1750" s="16" t="s">
        <v>4332</v>
      </c>
    </row>
    <row r="1751" spans="1:1" x14ac:dyDescent="0.35">
      <c r="A1751" s="16" t="s">
        <v>4333</v>
      </c>
    </row>
    <row r="1752" spans="1:1" x14ac:dyDescent="0.35">
      <c r="A1752" s="16" t="s">
        <v>4334</v>
      </c>
    </row>
    <row r="1753" spans="1:1" ht="29" x14ac:dyDescent="0.35">
      <c r="A1753" s="16" t="s">
        <v>4335</v>
      </c>
    </row>
    <row r="1754" spans="1:1" x14ac:dyDescent="0.35">
      <c r="A1754" s="16" t="s">
        <v>4336</v>
      </c>
    </row>
    <row r="1755" spans="1:1" x14ac:dyDescent="0.35">
      <c r="A1755" s="16" t="s">
        <v>4337</v>
      </c>
    </row>
    <row r="1756" spans="1:1" ht="29" x14ac:dyDescent="0.35">
      <c r="A1756" s="16" t="s">
        <v>4338</v>
      </c>
    </row>
    <row r="1757" spans="1:1" ht="29" x14ac:dyDescent="0.35">
      <c r="A1757" s="16" t="s">
        <v>4339</v>
      </c>
    </row>
    <row r="1758" spans="1:1" x14ac:dyDescent="0.35">
      <c r="A1758" s="16" t="s">
        <v>4340</v>
      </c>
    </row>
    <row r="1759" spans="1:1" x14ac:dyDescent="0.35">
      <c r="A1759" s="16" t="s">
        <v>4341</v>
      </c>
    </row>
    <row r="1760" spans="1:1" ht="29" x14ac:dyDescent="0.35">
      <c r="A1760" s="16" t="s">
        <v>4342</v>
      </c>
    </row>
    <row r="1761" spans="1:1" x14ac:dyDescent="0.35">
      <c r="A1761" s="16" t="s">
        <v>4343</v>
      </c>
    </row>
    <row r="1762" spans="1:1" x14ac:dyDescent="0.35">
      <c r="A1762" s="16" t="s">
        <v>4344</v>
      </c>
    </row>
    <row r="1763" spans="1:1" ht="29" x14ac:dyDescent="0.35">
      <c r="A1763" s="16" t="s">
        <v>4345</v>
      </c>
    </row>
    <row r="1764" spans="1:1" x14ac:dyDescent="0.35">
      <c r="A1764" s="16" t="s">
        <v>4346</v>
      </c>
    </row>
    <row r="1765" spans="1:1" x14ac:dyDescent="0.35">
      <c r="A1765" s="16" t="s">
        <v>4347</v>
      </c>
    </row>
    <row r="1766" spans="1:1" x14ac:dyDescent="0.35">
      <c r="A1766" s="16" t="s">
        <v>4348</v>
      </c>
    </row>
    <row r="1767" spans="1:1" ht="29" x14ac:dyDescent="0.35">
      <c r="A1767" s="16" t="s">
        <v>4349</v>
      </c>
    </row>
    <row r="1768" spans="1:1" x14ac:dyDescent="0.35">
      <c r="A1768" s="16" t="s">
        <v>4350</v>
      </c>
    </row>
    <row r="1769" spans="1:1" x14ac:dyDescent="0.35">
      <c r="A1769" s="16" t="s">
        <v>4351</v>
      </c>
    </row>
    <row r="1770" spans="1:1" x14ac:dyDescent="0.35">
      <c r="A1770" s="16" t="s">
        <v>4352</v>
      </c>
    </row>
    <row r="1771" spans="1:1" x14ac:dyDescent="0.35">
      <c r="A1771" s="16" t="s">
        <v>4353</v>
      </c>
    </row>
    <row r="1772" spans="1:1" x14ac:dyDescent="0.35">
      <c r="A1772" s="16" t="s">
        <v>4354</v>
      </c>
    </row>
    <row r="1773" spans="1:1" x14ac:dyDescent="0.35">
      <c r="A1773" s="16" t="s">
        <v>4355</v>
      </c>
    </row>
    <row r="1774" spans="1:1" x14ac:dyDescent="0.35">
      <c r="A1774" s="16" t="s">
        <v>4356</v>
      </c>
    </row>
    <row r="1775" spans="1:1" x14ac:dyDescent="0.35">
      <c r="A1775" s="16" t="s">
        <v>4357</v>
      </c>
    </row>
    <row r="1776" spans="1:1" x14ac:dyDescent="0.35">
      <c r="A1776" s="16" t="s">
        <v>4358</v>
      </c>
    </row>
    <row r="1777" spans="1:1" x14ac:dyDescent="0.35">
      <c r="A1777" s="16" t="s">
        <v>4359</v>
      </c>
    </row>
    <row r="1778" spans="1:1" x14ac:dyDescent="0.35">
      <c r="A1778" s="16" t="s">
        <v>4360</v>
      </c>
    </row>
    <row r="1779" spans="1:1" x14ac:dyDescent="0.35">
      <c r="A1779" s="16" t="s">
        <v>4361</v>
      </c>
    </row>
    <row r="1780" spans="1:1" x14ac:dyDescent="0.35">
      <c r="A1780" s="16" t="s">
        <v>4362</v>
      </c>
    </row>
    <row r="1781" spans="1:1" ht="29" x14ac:dyDescent="0.35">
      <c r="A1781" s="16" t="s">
        <v>4363</v>
      </c>
    </row>
    <row r="1782" spans="1:1" ht="29" x14ac:dyDescent="0.35">
      <c r="A1782" s="16" t="s">
        <v>4364</v>
      </c>
    </row>
    <row r="1783" spans="1:1" x14ac:dyDescent="0.35">
      <c r="A1783" s="16" t="s">
        <v>4365</v>
      </c>
    </row>
    <row r="1784" spans="1:1" x14ac:dyDescent="0.35">
      <c r="A1784" s="16" t="s">
        <v>4366</v>
      </c>
    </row>
    <row r="1785" spans="1:1" x14ac:dyDescent="0.35">
      <c r="A1785" s="16" t="s">
        <v>4367</v>
      </c>
    </row>
    <row r="1786" spans="1:1" ht="29" x14ac:dyDescent="0.35">
      <c r="A1786" s="16" t="s">
        <v>4368</v>
      </c>
    </row>
    <row r="1787" spans="1:1" ht="29" x14ac:dyDescent="0.35">
      <c r="A1787" s="16" t="s">
        <v>4369</v>
      </c>
    </row>
    <row r="1788" spans="1:1" x14ac:dyDescent="0.35">
      <c r="A1788" s="16" t="s">
        <v>4370</v>
      </c>
    </row>
    <row r="1789" spans="1:1" x14ac:dyDescent="0.35">
      <c r="A1789" s="16" t="s">
        <v>4371</v>
      </c>
    </row>
    <row r="1790" spans="1:1" x14ac:dyDescent="0.35">
      <c r="A1790" s="16" t="s">
        <v>4372</v>
      </c>
    </row>
    <row r="1791" spans="1:1" ht="29" x14ac:dyDescent="0.35">
      <c r="A1791" s="16" t="s">
        <v>4373</v>
      </c>
    </row>
    <row r="1792" spans="1:1" x14ac:dyDescent="0.35">
      <c r="A1792" s="16" t="s">
        <v>4374</v>
      </c>
    </row>
    <row r="1793" spans="1:1" x14ac:dyDescent="0.35">
      <c r="A1793" s="16" t="s">
        <v>4375</v>
      </c>
    </row>
    <row r="1794" spans="1:1" x14ac:dyDescent="0.35">
      <c r="A1794" s="16" t="s">
        <v>4376</v>
      </c>
    </row>
    <row r="1795" spans="1:1" x14ac:dyDescent="0.35">
      <c r="A1795" s="16" t="s">
        <v>4377</v>
      </c>
    </row>
    <row r="1796" spans="1:1" x14ac:dyDescent="0.35">
      <c r="A1796" s="16" t="s">
        <v>4378</v>
      </c>
    </row>
    <row r="1797" spans="1:1" ht="29" x14ac:dyDescent="0.35">
      <c r="A1797" s="16" t="s">
        <v>4379</v>
      </c>
    </row>
    <row r="1798" spans="1:1" x14ac:dyDescent="0.35">
      <c r="A1798" s="16" t="s">
        <v>4380</v>
      </c>
    </row>
    <row r="1799" spans="1:1" x14ac:dyDescent="0.35">
      <c r="A1799" s="16" t="s">
        <v>4381</v>
      </c>
    </row>
    <row r="1800" spans="1:1" ht="29" x14ac:dyDescent="0.35">
      <c r="A1800" s="16" t="s">
        <v>4382</v>
      </c>
    </row>
    <row r="1801" spans="1:1" x14ac:dyDescent="0.35">
      <c r="A1801" s="16" t="s">
        <v>4383</v>
      </c>
    </row>
    <row r="1802" spans="1:1" x14ac:dyDescent="0.35">
      <c r="A1802" s="16" t="s">
        <v>4384</v>
      </c>
    </row>
    <row r="1803" spans="1:1" x14ac:dyDescent="0.35">
      <c r="A1803" s="16" t="s">
        <v>4385</v>
      </c>
    </row>
    <row r="1804" spans="1:1" x14ac:dyDescent="0.35">
      <c r="A1804" s="16" t="s">
        <v>4386</v>
      </c>
    </row>
    <row r="1805" spans="1:1" x14ac:dyDescent="0.35">
      <c r="A1805" s="16" t="s">
        <v>4387</v>
      </c>
    </row>
    <row r="1806" spans="1:1" x14ac:dyDescent="0.35">
      <c r="A1806" s="16" t="s">
        <v>4388</v>
      </c>
    </row>
    <row r="1807" spans="1:1" ht="29" x14ac:dyDescent="0.35">
      <c r="A1807" s="16" t="s">
        <v>4389</v>
      </c>
    </row>
    <row r="1808" spans="1:1" ht="29" x14ac:dyDescent="0.35">
      <c r="A1808" s="16" t="s">
        <v>4390</v>
      </c>
    </row>
    <row r="1809" spans="1:1" x14ac:dyDescent="0.35">
      <c r="A1809" s="16" t="s">
        <v>4391</v>
      </c>
    </row>
    <row r="1810" spans="1:1" ht="29" x14ac:dyDescent="0.35">
      <c r="A1810" s="16" t="s">
        <v>4392</v>
      </c>
    </row>
    <row r="1811" spans="1:1" x14ac:dyDescent="0.35">
      <c r="A1811" s="16" t="s">
        <v>4393</v>
      </c>
    </row>
    <row r="1812" spans="1:1" ht="29" x14ac:dyDescent="0.35">
      <c r="A1812" s="16" t="s">
        <v>4394</v>
      </c>
    </row>
    <row r="1813" spans="1:1" x14ac:dyDescent="0.35">
      <c r="A1813" s="16" t="s">
        <v>4395</v>
      </c>
    </row>
    <row r="1814" spans="1:1" x14ac:dyDescent="0.35">
      <c r="A1814" s="16" t="s">
        <v>4396</v>
      </c>
    </row>
    <row r="1815" spans="1:1" x14ac:dyDescent="0.35">
      <c r="A1815" s="16" t="s">
        <v>4397</v>
      </c>
    </row>
    <row r="1816" spans="1:1" x14ac:dyDescent="0.35">
      <c r="A1816" s="16" t="s">
        <v>4398</v>
      </c>
    </row>
    <row r="1817" spans="1:1" x14ac:dyDescent="0.35">
      <c r="A1817" s="16" t="s">
        <v>4399</v>
      </c>
    </row>
    <row r="1818" spans="1:1" x14ac:dyDescent="0.35">
      <c r="A1818" s="16" t="s">
        <v>4400</v>
      </c>
    </row>
    <row r="1819" spans="1:1" x14ac:dyDescent="0.35">
      <c r="A1819" s="16" t="s">
        <v>4401</v>
      </c>
    </row>
    <row r="1820" spans="1:1" x14ac:dyDescent="0.35">
      <c r="A1820" s="16" t="s">
        <v>4402</v>
      </c>
    </row>
    <row r="1821" spans="1:1" x14ac:dyDescent="0.35">
      <c r="A1821" s="16" t="s">
        <v>4403</v>
      </c>
    </row>
    <row r="1822" spans="1:1" x14ac:dyDescent="0.35">
      <c r="A1822" s="16" t="s">
        <v>4404</v>
      </c>
    </row>
    <row r="1823" spans="1:1" ht="29" x14ac:dyDescent="0.35">
      <c r="A1823" s="16" t="s">
        <v>4405</v>
      </c>
    </row>
    <row r="1824" spans="1:1" ht="29" x14ac:dyDescent="0.35">
      <c r="A1824" s="16" t="s">
        <v>4406</v>
      </c>
    </row>
    <row r="1825" spans="1:1" x14ac:dyDescent="0.35">
      <c r="A1825" s="16" t="s">
        <v>4407</v>
      </c>
    </row>
    <row r="1826" spans="1:1" x14ac:dyDescent="0.35">
      <c r="A1826" s="16" t="s">
        <v>4408</v>
      </c>
    </row>
    <row r="1827" spans="1:1" ht="29" x14ac:dyDescent="0.35">
      <c r="A1827" s="16" t="s">
        <v>4409</v>
      </c>
    </row>
    <row r="1828" spans="1:1" x14ac:dyDescent="0.35">
      <c r="A1828" s="16" t="s">
        <v>4410</v>
      </c>
    </row>
    <row r="1829" spans="1:1" x14ac:dyDescent="0.35">
      <c r="A1829" s="16" t="s">
        <v>4411</v>
      </c>
    </row>
    <row r="1830" spans="1:1" x14ac:dyDescent="0.35">
      <c r="A1830" s="16" t="s">
        <v>4412</v>
      </c>
    </row>
    <row r="1831" spans="1:1" x14ac:dyDescent="0.35">
      <c r="A1831" s="16" t="s">
        <v>4413</v>
      </c>
    </row>
    <row r="1832" spans="1:1" x14ac:dyDescent="0.35">
      <c r="A1832" s="16" t="s">
        <v>4414</v>
      </c>
    </row>
    <row r="1833" spans="1:1" ht="29" x14ac:dyDescent="0.35">
      <c r="A1833" s="16" t="s">
        <v>4415</v>
      </c>
    </row>
    <row r="1834" spans="1:1" x14ac:dyDescent="0.35">
      <c r="A1834" s="16" t="s">
        <v>4416</v>
      </c>
    </row>
    <row r="1835" spans="1:1" ht="29" x14ac:dyDescent="0.35">
      <c r="A1835" s="16" t="s">
        <v>4417</v>
      </c>
    </row>
    <row r="1836" spans="1:1" x14ac:dyDescent="0.35">
      <c r="A1836" s="16" t="s">
        <v>4418</v>
      </c>
    </row>
    <row r="1837" spans="1:1" x14ac:dyDescent="0.35">
      <c r="A1837" s="16" t="s">
        <v>4419</v>
      </c>
    </row>
    <row r="1838" spans="1:1" x14ac:dyDescent="0.35">
      <c r="A1838" s="16" t="s">
        <v>4420</v>
      </c>
    </row>
    <row r="1839" spans="1:1" x14ac:dyDescent="0.35">
      <c r="A1839" s="16" t="s">
        <v>4421</v>
      </c>
    </row>
    <row r="1840" spans="1:1" ht="29" x14ac:dyDescent="0.35">
      <c r="A1840" s="16" t="s">
        <v>4422</v>
      </c>
    </row>
    <row r="1841" spans="1:1" x14ac:dyDescent="0.35">
      <c r="A1841" s="16" t="s">
        <v>4423</v>
      </c>
    </row>
    <row r="1842" spans="1:1" ht="29" x14ac:dyDescent="0.35">
      <c r="A1842" s="16" t="s">
        <v>4424</v>
      </c>
    </row>
    <row r="1843" spans="1:1" x14ac:dyDescent="0.35">
      <c r="A1843" s="16" t="s">
        <v>4425</v>
      </c>
    </row>
    <row r="1844" spans="1:1" x14ac:dyDescent="0.35">
      <c r="A1844" s="16" t="s">
        <v>4426</v>
      </c>
    </row>
    <row r="1845" spans="1:1" x14ac:dyDescent="0.35">
      <c r="A1845" s="16" t="s">
        <v>4427</v>
      </c>
    </row>
    <row r="1846" spans="1:1" ht="29" x14ac:dyDescent="0.35">
      <c r="A1846" s="16" t="s">
        <v>4428</v>
      </c>
    </row>
    <row r="1847" spans="1:1" ht="29" x14ac:dyDescent="0.35">
      <c r="A1847" s="16" t="s">
        <v>4429</v>
      </c>
    </row>
    <row r="1848" spans="1:1" x14ac:dyDescent="0.35">
      <c r="A1848" s="16" t="s">
        <v>4430</v>
      </c>
    </row>
    <row r="1849" spans="1:1" x14ac:dyDescent="0.35">
      <c r="A1849" s="16" t="s">
        <v>4431</v>
      </c>
    </row>
    <row r="1850" spans="1:1" ht="29" x14ac:dyDescent="0.35">
      <c r="A1850" s="16" t="s">
        <v>4432</v>
      </c>
    </row>
    <row r="1851" spans="1:1" ht="29" x14ac:dyDescent="0.35">
      <c r="A1851" s="16" t="s">
        <v>4433</v>
      </c>
    </row>
    <row r="1852" spans="1:1" x14ac:dyDescent="0.35">
      <c r="A1852" s="16" t="s">
        <v>4434</v>
      </c>
    </row>
    <row r="1853" spans="1:1" x14ac:dyDescent="0.35">
      <c r="A1853" s="16" t="s">
        <v>4435</v>
      </c>
    </row>
    <row r="1854" spans="1:1" ht="29" x14ac:dyDescent="0.35">
      <c r="A1854" s="16" t="s">
        <v>4436</v>
      </c>
    </row>
    <row r="1855" spans="1:1" x14ac:dyDescent="0.35">
      <c r="A1855" s="16" t="s">
        <v>4437</v>
      </c>
    </row>
    <row r="1856" spans="1:1" x14ac:dyDescent="0.35">
      <c r="A1856" s="16" t="s">
        <v>4438</v>
      </c>
    </row>
    <row r="1857" spans="1:1" x14ac:dyDescent="0.35">
      <c r="A1857" s="16" t="s">
        <v>4439</v>
      </c>
    </row>
    <row r="1858" spans="1:1" x14ac:dyDescent="0.35">
      <c r="A1858" s="16" t="s">
        <v>4440</v>
      </c>
    </row>
    <row r="1859" spans="1:1" ht="29" x14ac:dyDescent="0.35">
      <c r="A1859" s="16" t="s">
        <v>4441</v>
      </c>
    </row>
    <row r="1860" spans="1:1" ht="29" x14ac:dyDescent="0.35">
      <c r="A1860" s="16" t="s">
        <v>4442</v>
      </c>
    </row>
    <row r="1861" spans="1:1" ht="29" x14ac:dyDescent="0.35">
      <c r="A1861" s="16" t="s">
        <v>4443</v>
      </c>
    </row>
    <row r="1862" spans="1:1" ht="29" x14ac:dyDescent="0.35">
      <c r="A1862" s="16" t="s">
        <v>4444</v>
      </c>
    </row>
    <row r="1863" spans="1:1" ht="29" x14ac:dyDescent="0.35">
      <c r="A1863" s="16" t="s">
        <v>4445</v>
      </c>
    </row>
    <row r="1864" spans="1:1" ht="29" x14ac:dyDescent="0.35">
      <c r="A1864" s="16" t="s">
        <v>4446</v>
      </c>
    </row>
    <row r="1865" spans="1:1" x14ac:dyDescent="0.35">
      <c r="A1865" s="16" t="s">
        <v>4447</v>
      </c>
    </row>
    <row r="1866" spans="1:1" ht="29" x14ac:dyDescent="0.35">
      <c r="A1866" s="16" t="s">
        <v>4448</v>
      </c>
    </row>
    <row r="1867" spans="1:1" ht="29" x14ac:dyDescent="0.35">
      <c r="A1867" s="16" t="s">
        <v>4449</v>
      </c>
    </row>
    <row r="1868" spans="1:1" x14ac:dyDescent="0.35">
      <c r="A1868" s="16" t="s">
        <v>4450</v>
      </c>
    </row>
    <row r="1869" spans="1:1" ht="29" x14ac:dyDescent="0.35">
      <c r="A1869" s="16" t="s">
        <v>4451</v>
      </c>
    </row>
    <row r="1870" spans="1:1" x14ac:dyDescent="0.35">
      <c r="A1870" s="16" t="s">
        <v>4452</v>
      </c>
    </row>
    <row r="1871" spans="1:1" x14ac:dyDescent="0.35">
      <c r="A1871" s="16" t="s">
        <v>4453</v>
      </c>
    </row>
    <row r="1872" spans="1:1" x14ac:dyDescent="0.35">
      <c r="A1872" s="16" t="s">
        <v>4454</v>
      </c>
    </row>
    <row r="1873" spans="1:1" x14ac:dyDescent="0.35">
      <c r="A1873" s="16" t="s">
        <v>4455</v>
      </c>
    </row>
    <row r="1874" spans="1:1" x14ac:dyDescent="0.35">
      <c r="A1874" s="16" t="s">
        <v>4456</v>
      </c>
    </row>
    <row r="1875" spans="1:1" x14ac:dyDescent="0.35">
      <c r="A1875" s="16" t="s">
        <v>4457</v>
      </c>
    </row>
    <row r="1876" spans="1:1" ht="29" x14ac:dyDescent="0.35">
      <c r="A1876" s="16" t="s">
        <v>4458</v>
      </c>
    </row>
    <row r="1877" spans="1:1" x14ac:dyDescent="0.35">
      <c r="A1877" s="16" t="s">
        <v>4459</v>
      </c>
    </row>
    <row r="1878" spans="1:1" ht="29" x14ac:dyDescent="0.35">
      <c r="A1878" s="16" t="s">
        <v>4460</v>
      </c>
    </row>
    <row r="1879" spans="1:1" x14ac:dyDescent="0.35">
      <c r="A1879" s="16" t="s">
        <v>4461</v>
      </c>
    </row>
    <row r="1880" spans="1:1" x14ac:dyDescent="0.35">
      <c r="A1880" s="16" t="s">
        <v>4462</v>
      </c>
    </row>
    <row r="1881" spans="1:1" x14ac:dyDescent="0.35">
      <c r="A1881" s="16" t="s">
        <v>4463</v>
      </c>
    </row>
    <row r="1882" spans="1:1" x14ac:dyDescent="0.35">
      <c r="A1882" s="16" t="s">
        <v>4464</v>
      </c>
    </row>
    <row r="1883" spans="1:1" x14ac:dyDescent="0.35">
      <c r="A1883" s="16" t="s">
        <v>4465</v>
      </c>
    </row>
    <row r="1884" spans="1:1" ht="29" x14ac:dyDescent="0.35">
      <c r="A1884" s="16" t="s">
        <v>4466</v>
      </c>
    </row>
    <row r="1885" spans="1:1" x14ac:dyDescent="0.35">
      <c r="A1885" s="16" t="s">
        <v>4467</v>
      </c>
    </row>
    <row r="1886" spans="1:1" x14ac:dyDescent="0.35">
      <c r="A1886" s="16" t="s">
        <v>4468</v>
      </c>
    </row>
    <row r="1887" spans="1:1" ht="29" x14ac:dyDescent="0.35">
      <c r="A1887" s="16" t="s">
        <v>4469</v>
      </c>
    </row>
    <row r="1888" spans="1:1" x14ac:dyDescent="0.35">
      <c r="A1888" s="16" t="s">
        <v>4470</v>
      </c>
    </row>
    <row r="1889" spans="1:1" x14ac:dyDescent="0.35">
      <c r="A1889" s="16" t="s">
        <v>4471</v>
      </c>
    </row>
    <row r="1890" spans="1:1" ht="29" x14ac:dyDescent="0.35">
      <c r="A1890" s="16" t="s">
        <v>4472</v>
      </c>
    </row>
    <row r="1891" spans="1:1" x14ac:dyDescent="0.35">
      <c r="A1891" s="16" t="s">
        <v>4473</v>
      </c>
    </row>
    <row r="1892" spans="1:1" x14ac:dyDescent="0.35">
      <c r="A1892" s="16" t="s">
        <v>4474</v>
      </c>
    </row>
    <row r="1893" spans="1:1" x14ac:dyDescent="0.35">
      <c r="A1893" s="16" t="s">
        <v>4475</v>
      </c>
    </row>
    <row r="1894" spans="1:1" x14ac:dyDescent="0.35">
      <c r="A1894" s="16" t="s">
        <v>4476</v>
      </c>
    </row>
    <row r="1895" spans="1:1" x14ac:dyDescent="0.35">
      <c r="A1895" s="16" t="s">
        <v>4477</v>
      </c>
    </row>
    <row r="1896" spans="1:1" x14ac:dyDescent="0.35">
      <c r="A1896" s="16" t="s">
        <v>4478</v>
      </c>
    </row>
    <row r="1897" spans="1:1" x14ac:dyDescent="0.35">
      <c r="A1897" s="16" t="s">
        <v>4479</v>
      </c>
    </row>
    <row r="1898" spans="1:1" x14ac:dyDescent="0.35">
      <c r="A1898" s="16" t="s">
        <v>4480</v>
      </c>
    </row>
    <row r="1899" spans="1:1" ht="29" x14ac:dyDescent="0.35">
      <c r="A1899" s="16" t="s">
        <v>4481</v>
      </c>
    </row>
    <row r="1900" spans="1:1" x14ac:dyDescent="0.35">
      <c r="A1900" s="16" t="s">
        <v>4482</v>
      </c>
    </row>
    <row r="1901" spans="1:1" ht="29" x14ac:dyDescent="0.35">
      <c r="A1901" s="16" t="s">
        <v>4483</v>
      </c>
    </row>
    <row r="1902" spans="1:1" x14ac:dyDescent="0.35">
      <c r="A1902" s="16" t="s">
        <v>4484</v>
      </c>
    </row>
    <row r="1903" spans="1:1" x14ac:dyDescent="0.35">
      <c r="A1903" s="16" t="s">
        <v>4485</v>
      </c>
    </row>
    <row r="1904" spans="1:1" x14ac:dyDescent="0.35">
      <c r="A1904" s="16" t="s">
        <v>4486</v>
      </c>
    </row>
    <row r="1905" spans="1:1" x14ac:dyDescent="0.35">
      <c r="A1905" s="16" t="s">
        <v>4487</v>
      </c>
    </row>
    <row r="1906" spans="1:1" x14ac:dyDescent="0.35">
      <c r="A1906" s="16" t="s">
        <v>4488</v>
      </c>
    </row>
    <row r="1907" spans="1:1" x14ac:dyDescent="0.35">
      <c r="A1907" s="16" t="s">
        <v>4489</v>
      </c>
    </row>
    <row r="1908" spans="1:1" x14ac:dyDescent="0.35">
      <c r="A1908" s="16" t="s">
        <v>4490</v>
      </c>
    </row>
    <row r="1909" spans="1:1" ht="29" x14ac:dyDescent="0.35">
      <c r="A1909" s="16" t="s">
        <v>4491</v>
      </c>
    </row>
    <row r="1910" spans="1:1" x14ac:dyDescent="0.35">
      <c r="A1910" s="16" t="s">
        <v>4492</v>
      </c>
    </row>
    <row r="1911" spans="1:1" ht="29" x14ac:dyDescent="0.35">
      <c r="A1911" s="16" t="s">
        <v>4493</v>
      </c>
    </row>
    <row r="1912" spans="1:1" x14ac:dyDescent="0.35">
      <c r="A1912" s="16" t="s">
        <v>4494</v>
      </c>
    </row>
    <row r="1913" spans="1:1" x14ac:dyDescent="0.35">
      <c r="A1913" s="16" t="s">
        <v>4495</v>
      </c>
    </row>
    <row r="1914" spans="1:1" ht="29" x14ac:dyDescent="0.35">
      <c r="A1914" s="16" t="s">
        <v>4496</v>
      </c>
    </row>
    <row r="1915" spans="1:1" x14ac:dyDescent="0.35">
      <c r="A1915" s="16" t="s">
        <v>4497</v>
      </c>
    </row>
    <row r="1916" spans="1:1" x14ac:dyDescent="0.35">
      <c r="A1916" s="16" t="s">
        <v>4498</v>
      </c>
    </row>
    <row r="1917" spans="1:1" ht="29" x14ac:dyDescent="0.35">
      <c r="A1917" s="16" t="s">
        <v>4499</v>
      </c>
    </row>
    <row r="1918" spans="1:1" x14ac:dyDescent="0.35">
      <c r="A1918" s="16" t="s">
        <v>4500</v>
      </c>
    </row>
    <row r="1919" spans="1:1" x14ac:dyDescent="0.35">
      <c r="A1919" s="16" t="s">
        <v>4501</v>
      </c>
    </row>
    <row r="1920" spans="1:1" x14ac:dyDescent="0.35">
      <c r="A1920" s="16" t="s">
        <v>4502</v>
      </c>
    </row>
    <row r="1921" spans="1:1" ht="29" x14ac:dyDescent="0.35">
      <c r="A1921" s="16" t="s">
        <v>4503</v>
      </c>
    </row>
    <row r="1922" spans="1:1" ht="29" x14ac:dyDescent="0.35">
      <c r="A1922" s="16" t="s">
        <v>4504</v>
      </c>
    </row>
    <row r="1923" spans="1:1" ht="29" x14ac:dyDescent="0.35">
      <c r="A1923" s="16" t="s">
        <v>4505</v>
      </c>
    </row>
    <row r="1924" spans="1:1" x14ac:dyDescent="0.35">
      <c r="A1924" s="16" t="s">
        <v>4506</v>
      </c>
    </row>
    <row r="1925" spans="1:1" x14ac:dyDescent="0.35">
      <c r="A1925" s="16" t="s">
        <v>4507</v>
      </c>
    </row>
    <row r="1926" spans="1:1" x14ac:dyDescent="0.35">
      <c r="A1926" s="16" t="s">
        <v>4508</v>
      </c>
    </row>
    <row r="1927" spans="1:1" ht="29" x14ac:dyDescent="0.35">
      <c r="A1927" s="16" t="s">
        <v>4509</v>
      </c>
    </row>
    <row r="1928" spans="1:1" x14ac:dyDescent="0.35">
      <c r="A1928" s="16" t="s">
        <v>4510</v>
      </c>
    </row>
    <row r="1929" spans="1:1" x14ac:dyDescent="0.35">
      <c r="A1929" s="16" t="s">
        <v>4511</v>
      </c>
    </row>
    <row r="1930" spans="1:1" ht="29" x14ac:dyDescent="0.35">
      <c r="A1930" s="16" t="s">
        <v>4512</v>
      </c>
    </row>
    <row r="1931" spans="1:1" x14ac:dyDescent="0.35">
      <c r="A1931" s="16" t="s">
        <v>4513</v>
      </c>
    </row>
    <row r="1932" spans="1:1" x14ac:dyDescent="0.35">
      <c r="A1932" s="16" t="s">
        <v>4514</v>
      </c>
    </row>
    <row r="1933" spans="1:1" x14ac:dyDescent="0.35">
      <c r="A1933" s="16" t="s">
        <v>4515</v>
      </c>
    </row>
    <row r="1934" spans="1:1" x14ac:dyDescent="0.35">
      <c r="A1934" s="16" t="s">
        <v>4516</v>
      </c>
    </row>
    <row r="1935" spans="1:1" ht="29" x14ac:dyDescent="0.35">
      <c r="A1935" s="16" t="s">
        <v>4517</v>
      </c>
    </row>
    <row r="1936" spans="1:1" ht="29" x14ac:dyDescent="0.35">
      <c r="A1936" s="16" t="s">
        <v>4518</v>
      </c>
    </row>
    <row r="1937" spans="1:1" ht="29" x14ac:dyDescent="0.35">
      <c r="A1937" s="16" t="s">
        <v>4519</v>
      </c>
    </row>
    <row r="1938" spans="1:1" ht="29" x14ac:dyDescent="0.35">
      <c r="A1938" s="16" t="s">
        <v>4520</v>
      </c>
    </row>
    <row r="1939" spans="1:1" x14ac:dyDescent="0.35">
      <c r="A1939" s="16" t="s">
        <v>4521</v>
      </c>
    </row>
    <row r="1940" spans="1:1" x14ac:dyDescent="0.35">
      <c r="A1940" s="16" t="s">
        <v>4522</v>
      </c>
    </row>
    <row r="1941" spans="1:1" x14ac:dyDescent="0.35">
      <c r="A1941" s="16" t="s">
        <v>4523</v>
      </c>
    </row>
    <row r="1942" spans="1:1" x14ac:dyDescent="0.35">
      <c r="A1942" s="16" t="s">
        <v>4524</v>
      </c>
    </row>
    <row r="1943" spans="1:1" ht="29" x14ac:dyDescent="0.35">
      <c r="A1943" s="16" t="s">
        <v>4525</v>
      </c>
    </row>
    <row r="1944" spans="1:1" x14ac:dyDescent="0.35">
      <c r="A1944" s="16" t="s">
        <v>4526</v>
      </c>
    </row>
    <row r="1945" spans="1:1" x14ac:dyDescent="0.35">
      <c r="A1945" s="16" t="s">
        <v>4527</v>
      </c>
    </row>
    <row r="1946" spans="1:1" ht="29" x14ac:dyDescent="0.35">
      <c r="A1946" s="16" t="s">
        <v>4528</v>
      </c>
    </row>
    <row r="1947" spans="1:1" x14ac:dyDescent="0.35">
      <c r="A1947" s="16" t="s">
        <v>4529</v>
      </c>
    </row>
    <row r="1948" spans="1:1" x14ac:dyDescent="0.35">
      <c r="A1948" s="16" t="s">
        <v>4530</v>
      </c>
    </row>
    <row r="1949" spans="1:1" x14ac:dyDescent="0.35">
      <c r="A1949" s="16" t="s">
        <v>4531</v>
      </c>
    </row>
    <row r="1950" spans="1:1" x14ac:dyDescent="0.35">
      <c r="A1950" s="16" t="s">
        <v>4532</v>
      </c>
    </row>
    <row r="1951" spans="1:1" x14ac:dyDescent="0.35">
      <c r="A1951" s="16" t="s">
        <v>4533</v>
      </c>
    </row>
    <row r="1952" spans="1:1" ht="29" x14ac:dyDescent="0.35">
      <c r="A1952" s="16" t="s">
        <v>4534</v>
      </c>
    </row>
    <row r="1953" spans="1:1" ht="29" x14ac:dyDescent="0.35">
      <c r="A1953" s="16" t="s">
        <v>4535</v>
      </c>
    </row>
    <row r="1954" spans="1:1" ht="29" x14ac:dyDescent="0.35">
      <c r="A1954" s="16" t="s">
        <v>4536</v>
      </c>
    </row>
    <row r="1955" spans="1:1" ht="29" x14ac:dyDescent="0.35">
      <c r="A1955" s="16" t="s">
        <v>4537</v>
      </c>
    </row>
    <row r="1956" spans="1:1" x14ac:dyDescent="0.35">
      <c r="A1956" s="16" t="s">
        <v>4538</v>
      </c>
    </row>
    <row r="1957" spans="1:1" ht="29" x14ac:dyDescent="0.35">
      <c r="A1957" s="16" t="s">
        <v>4539</v>
      </c>
    </row>
    <row r="1958" spans="1:1" ht="29" x14ac:dyDescent="0.35">
      <c r="A1958" s="16" t="s">
        <v>4540</v>
      </c>
    </row>
    <row r="1959" spans="1:1" ht="29" x14ac:dyDescent="0.35">
      <c r="A1959" s="16" t="s">
        <v>4541</v>
      </c>
    </row>
    <row r="1960" spans="1:1" ht="29" x14ac:dyDescent="0.35">
      <c r="A1960" s="16" t="s">
        <v>4542</v>
      </c>
    </row>
    <row r="1961" spans="1:1" x14ac:dyDescent="0.35">
      <c r="A1961" s="16" t="s">
        <v>4543</v>
      </c>
    </row>
    <row r="1962" spans="1:1" x14ac:dyDescent="0.35">
      <c r="A1962" s="16" t="s">
        <v>4544</v>
      </c>
    </row>
    <row r="1963" spans="1:1" x14ac:dyDescent="0.35">
      <c r="A1963" s="16" t="s">
        <v>4545</v>
      </c>
    </row>
    <row r="1964" spans="1:1" x14ac:dyDescent="0.35">
      <c r="A1964" s="16" t="s">
        <v>4546</v>
      </c>
    </row>
    <row r="1965" spans="1:1" x14ac:dyDescent="0.35">
      <c r="A1965" s="16" t="s">
        <v>4547</v>
      </c>
    </row>
    <row r="1966" spans="1:1" x14ac:dyDescent="0.35">
      <c r="A1966" s="16" t="s">
        <v>4548</v>
      </c>
    </row>
    <row r="1967" spans="1:1" x14ac:dyDescent="0.35">
      <c r="A1967" s="16" t="s">
        <v>4549</v>
      </c>
    </row>
    <row r="1968" spans="1:1" x14ac:dyDescent="0.35">
      <c r="A1968" s="16" t="s">
        <v>4550</v>
      </c>
    </row>
    <row r="1969" spans="1:1" x14ac:dyDescent="0.35">
      <c r="A1969" s="16" t="s">
        <v>4551</v>
      </c>
    </row>
    <row r="1970" spans="1:1" x14ac:dyDescent="0.35">
      <c r="A1970" s="16" t="s">
        <v>4552</v>
      </c>
    </row>
    <row r="1971" spans="1:1" x14ac:dyDescent="0.35">
      <c r="A1971" s="16" t="s">
        <v>4553</v>
      </c>
    </row>
    <row r="1972" spans="1:1" x14ac:dyDescent="0.35">
      <c r="A1972" s="16" t="s">
        <v>4554</v>
      </c>
    </row>
    <row r="1973" spans="1:1" x14ac:dyDescent="0.35">
      <c r="A1973" s="16" t="s">
        <v>4555</v>
      </c>
    </row>
    <row r="1974" spans="1:1" x14ac:dyDescent="0.35">
      <c r="A1974" s="16" t="s">
        <v>4556</v>
      </c>
    </row>
    <row r="1975" spans="1:1" ht="29" x14ac:dyDescent="0.35">
      <c r="A1975" s="16" t="s">
        <v>4557</v>
      </c>
    </row>
    <row r="1976" spans="1:1" x14ac:dyDescent="0.35">
      <c r="A1976" s="16" t="s">
        <v>4558</v>
      </c>
    </row>
    <row r="1977" spans="1:1" x14ac:dyDescent="0.35">
      <c r="A1977" s="16" t="s">
        <v>4559</v>
      </c>
    </row>
    <row r="1978" spans="1:1" x14ac:dyDescent="0.35">
      <c r="A1978" s="16" t="s">
        <v>4560</v>
      </c>
    </row>
    <row r="1979" spans="1:1" ht="29" x14ac:dyDescent="0.35">
      <c r="A1979" s="16" t="s">
        <v>4561</v>
      </c>
    </row>
    <row r="1980" spans="1:1" x14ac:dyDescent="0.35">
      <c r="A1980" s="16" t="s">
        <v>4562</v>
      </c>
    </row>
    <row r="1981" spans="1:1" x14ac:dyDescent="0.35">
      <c r="A1981" s="16" t="s">
        <v>4563</v>
      </c>
    </row>
    <row r="1982" spans="1:1" x14ac:dyDescent="0.35">
      <c r="A1982" s="16" t="s">
        <v>4564</v>
      </c>
    </row>
    <row r="1983" spans="1:1" x14ac:dyDescent="0.35">
      <c r="A1983" s="16" t="s">
        <v>4565</v>
      </c>
    </row>
    <row r="1984" spans="1:1" x14ac:dyDescent="0.35">
      <c r="A1984" s="16" t="s">
        <v>4566</v>
      </c>
    </row>
    <row r="1985" spans="1:1" ht="29" x14ac:dyDescent="0.35">
      <c r="A1985" s="16" t="s">
        <v>4567</v>
      </c>
    </row>
    <row r="1986" spans="1:1" x14ac:dyDescent="0.35">
      <c r="A1986" s="16" t="s">
        <v>4568</v>
      </c>
    </row>
    <row r="1987" spans="1:1" ht="29" x14ac:dyDescent="0.35">
      <c r="A1987" s="16" t="s">
        <v>4569</v>
      </c>
    </row>
    <row r="1988" spans="1:1" x14ac:dyDescent="0.35">
      <c r="A1988" s="16" t="s">
        <v>4570</v>
      </c>
    </row>
    <row r="1989" spans="1:1" ht="29" x14ac:dyDescent="0.35">
      <c r="A1989" s="16" t="s">
        <v>4571</v>
      </c>
    </row>
    <row r="1990" spans="1:1" ht="29" x14ac:dyDescent="0.35">
      <c r="A1990" s="16" t="s">
        <v>4572</v>
      </c>
    </row>
    <row r="1991" spans="1:1" ht="29" x14ac:dyDescent="0.35">
      <c r="A1991" s="16" t="s">
        <v>4573</v>
      </c>
    </row>
    <row r="1992" spans="1:1" ht="29" x14ac:dyDescent="0.35">
      <c r="A1992" s="16" t="s">
        <v>4574</v>
      </c>
    </row>
    <row r="1993" spans="1:1" ht="29" x14ac:dyDescent="0.35">
      <c r="A1993" s="16" t="s">
        <v>4575</v>
      </c>
    </row>
    <row r="1994" spans="1:1" x14ac:dyDescent="0.35">
      <c r="A1994" s="16" t="s">
        <v>4576</v>
      </c>
    </row>
    <row r="1995" spans="1:1" x14ac:dyDescent="0.35">
      <c r="A1995" s="16" t="s">
        <v>4577</v>
      </c>
    </row>
    <row r="1996" spans="1:1" x14ac:dyDescent="0.35">
      <c r="A1996" s="16" t="s">
        <v>4578</v>
      </c>
    </row>
    <row r="1997" spans="1:1" x14ac:dyDescent="0.35">
      <c r="A1997" s="16" t="s">
        <v>4579</v>
      </c>
    </row>
    <row r="1998" spans="1:1" x14ac:dyDescent="0.35">
      <c r="A1998" s="16" t="s">
        <v>4580</v>
      </c>
    </row>
    <row r="1999" spans="1:1" ht="29" x14ac:dyDescent="0.35">
      <c r="A1999" s="16" t="s">
        <v>4581</v>
      </c>
    </row>
    <row r="2000" spans="1:1" ht="29" x14ac:dyDescent="0.35">
      <c r="A2000" s="16" t="s">
        <v>4582</v>
      </c>
    </row>
    <row r="2001" spans="1:1" x14ac:dyDescent="0.35">
      <c r="A2001" s="16" t="s">
        <v>4583</v>
      </c>
    </row>
    <row r="2002" spans="1:1" x14ac:dyDescent="0.35">
      <c r="A2002" s="16" t="s">
        <v>4584</v>
      </c>
    </row>
    <row r="2003" spans="1:1" x14ac:dyDescent="0.35">
      <c r="A2003" s="16" t="s">
        <v>4585</v>
      </c>
    </row>
    <row r="2004" spans="1:1" x14ac:dyDescent="0.35">
      <c r="A2004" s="16" t="s">
        <v>4586</v>
      </c>
    </row>
    <row r="2005" spans="1:1" ht="29" x14ac:dyDescent="0.35">
      <c r="A2005" s="16" t="s">
        <v>4587</v>
      </c>
    </row>
    <row r="2006" spans="1:1" ht="29" x14ac:dyDescent="0.35">
      <c r="A2006" s="16" t="s">
        <v>4588</v>
      </c>
    </row>
    <row r="2007" spans="1:1" x14ac:dyDescent="0.35">
      <c r="A2007" s="16" t="s">
        <v>4589</v>
      </c>
    </row>
    <row r="2008" spans="1:1" x14ac:dyDescent="0.35">
      <c r="A2008" s="16" t="s">
        <v>4590</v>
      </c>
    </row>
    <row r="2009" spans="1:1" ht="29" x14ac:dyDescent="0.35">
      <c r="A2009" s="16" t="s">
        <v>4591</v>
      </c>
    </row>
    <row r="2010" spans="1:1" x14ac:dyDescent="0.35">
      <c r="A2010" s="16" t="s">
        <v>4592</v>
      </c>
    </row>
    <row r="2011" spans="1:1" x14ac:dyDescent="0.35">
      <c r="A2011" s="16" t="s">
        <v>4593</v>
      </c>
    </row>
    <row r="2012" spans="1:1" x14ac:dyDescent="0.35">
      <c r="A2012" s="16" t="s">
        <v>4594</v>
      </c>
    </row>
    <row r="2013" spans="1:1" ht="29" x14ac:dyDescent="0.35">
      <c r="A2013" s="16" t="s">
        <v>4595</v>
      </c>
    </row>
    <row r="2014" spans="1:1" ht="29" x14ac:dyDescent="0.35">
      <c r="A2014" s="16" t="s">
        <v>4596</v>
      </c>
    </row>
    <row r="2015" spans="1:1" ht="29" x14ac:dyDescent="0.35">
      <c r="A2015" s="16" t="s">
        <v>4597</v>
      </c>
    </row>
    <row r="2016" spans="1:1" x14ac:dyDescent="0.35">
      <c r="A2016" s="16" t="s">
        <v>4598</v>
      </c>
    </row>
    <row r="2017" spans="1:1" x14ac:dyDescent="0.35">
      <c r="A2017" s="16" t="s">
        <v>4599</v>
      </c>
    </row>
    <row r="2018" spans="1:1" ht="29" x14ac:dyDescent="0.35">
      <c r="A2018" s="16" t="s">
        <v>4600</v>
      </c>
    </row>
    <row r="2019" spans="1:1" ht="29" x14ac:dyDescent="0.35">
      <c r="A2019" s="16" t="s">
        <v>4601</v>
      </c>
    </row>
    <row r="2020" spans="1:1" x14ac:dyDescent="0.35">
      <c r="A2020" s="16" t="s">
        <v>4602</v>
      </c>
    </row>
    <row r="2021" spans="1:1" x14ac:dyDescent="0.35">
      <c r="A2021" s="16" t="s">
        <v>4603</v>
      </c>
    </row>
    <row r="2022" spans="1:1" x14ac:dyDescent="0.35">
      <c r="A2022" s="16" t="s">
        <v>4604</v>
      </c>
    </row>
    <row r="2023" spans="1:1" ht="29" x14ac:dyDescent="0.35">
      <c r="A2023" s="16" t="s">
        <v>4605</v>
      </c>
    </row>
    <row r="2024" spans="1:1" ht="29" x14ac:dyDescent="0.35">
      <c r="A2024" s="16" t="s">
        <v>4606</v>
      </c>
    </row>
    <row r="2025" spans="1:1" x14ac:dyDescent="0.35">
      <c r="A2025" s="16" t="s">
        <v>4607</v>
      </c>
    </row>
    <row r="2026" spans="1:1" x14ac:dyDescent="0.35">
      <c r="A2026" s="16" t="s">
        <v>4608</v>
      </c>
    </row>
    <row r="2027" spans="1:1" x14ac:dyDescent="0.35">
      <c r="A2027" s="16" t="s">
        <v>4609</v>
      </c>
    </row>
    <row r="2028" spans="1:1" x14ac:dyDescent="0.35">
      <c r="A2028" s="16" t="s">
        <v>4610</v>
      </c>
    </row>
    <row r="2029" spans="1:1" ht="29" x14ac:dyDescent="0.35">
      <c r="A2029" s="16" t="s">
        <v>4611</v>
      </c>
    </row>
    <row r="2030" spans="1:1" ht="29" x14ac:dyDescent="0.35">
      <c r="A2030" s="16" t="s">
        <v>4612</v>
      </c>
    </row>
    <row r="2031" spans="1:1" x14ac:dyDescent="0.35">
      <c r="A2031" s="16" t="s">
        <v>4613</v>
      </c>
    </row>
    <row r="2032" spans="1:1" ht="29" x14ac:dyDescent="0.35">
      <c r="A2032" s="16" t="s">
        <v>4614</v>
      </c>
    </row>
    <row r="2033" spans="1:1" x14ac:dyDescent="0.35">
      <c r="A2033" s="16" t="s">
        <v>4615</v>
      </c>
    </row>
    <row r="2034" spans="1:1" x14ac:dyDescent="0.35">
      <c r="A2034" s="16" t="s">
        <v>4616</v>
      </c>
    </row>
    <row r="2035" spans="1:1" x14ac:dyDescent="0.35">
      <c r="A2035" s="16" t="s">
        <v>4617</v>
      </c>
    </row>
    <row r="2036" spans="1:1" x14ac:dyDescent="0.35">
      <c r="A2036" s="16" t="s">
        <v>4618</v>
      </c>
    </row>
    <row r="2037" spans="1:1" ht="29" x14ac:dyDescent="0.35">
      <c r="A2037" s="16" t="s">
        <v>4619</v>
      </c>
    </row>
    <row r="2038" spans="1:1" ht="29" x14ac:dyDescent="0.35">
      <c r="A2038" s="16" t="s">
        <v>4620</v>
      </c>
    </row>
    <row r="2039" spans="1:1" ht="29" x14ac:dyDescent="0.35">
      <c r="A2039" s="16" t="s">
        <v>4621</v>
      </c>
    </row>
    <row r="2040" spans="1:1" ht="29" x14ac:dyDescent="0.35">
      <c r="A2040" s="16" t="s">
        <v>4622</v>
      </c>
    </row>
    <row r="2041" spans="1:1" ht="29" x14ac:dyDescent="0.35">
      <c r="A2041" s="16" t="s">
        <v>4623</v>
      </c>
    </row>
    <row r="2042" spans="1:1" x14ac:dyDescent="0.35">
      <c r="A2042" s="16" t="s">
        <v>4624</v>
      </c>
    </row>
    <row r="2043" spans="1:1" x14ac:dyDescent="0.35">
      <c r="A2043" s="16" t="s">
        <v>4625</v>
      </c>
    </row>
    <row r="2044" spans="1:1" x14ac:dyDescent="0.35">
      <c r="A2044" s="16" t="s">
        <v>4626</v>
      </c>
    </row>
    <row r="2045" spans="1:1" ht="29" x14ac:dyDescent="0.35">
      <c r="A2045" s="16" t="s">
        <v>4627</v>
      </c>
    </row>
    <row r="2046" spans="1:1" ht="29" x14ac:dyDescent="0.35">
      <c r="A2046" s="16" t="s">
        <v>4628</v>
      </c>
    </row>
    <row r="2047" spans="1:1" x14ac:dyDescent="0.35">
      <c r="A2047" s="16" t="s">
        <v>4629</v>
      </c>
    </row>
    <row r="2048" spans="1:1" x14ac:dyDescent="0.35">
      <c r="A2048" s="16" t="s">
        <v>4630</v>
      </c>
    </row>
    <row r="2049" spans="1:1" x14ac:dyDescent="0.35">
      <c r="A2049" s="16" t="s">
        <v>4631</v>
      </c>
    </row>
    <row r="2050" spans="1:1" x14ac:dyDescent="0.35">
      <c r="A2050" s="16" t="s">
        <v>4632</v>
      </c>
    </row>
    <row r="2051" spans="1:1" x14ac:dyDescent="0.35">
      <c r="A2051" s="16" t="s">
        <v>4633</v>
      </c>
    </row>
    <row r="2052" spans="1:1" x14ac:dyDescent="0.35">
      <c r="A2052" s="16" t="s">
        <v>4634</v>
      </c>
    </row>
    <row r="2053" spans="1:1" x14ac:dyDescent="0.35">
      <c r="A2053" s="16" t="s">
        <v>4635</v>
      </c>
    </row>
    <row r="2054" spans="1:1" ht="29" x14ac:dyDescent="0.35">
      <c r="A2054" s="16" t="s">
        <v>4636</v>
      </c>
    </row>
    <row r="2055" spans="1:1" x14ac:dyDescent="0.35">
      <c r="A2055" s="16" t="s">
        <v>4637</v>
      </c>
    </row>
    <row r="2056" spans="1:1" x14ac:dyDescent="0.35">
      <c r="A2056" s="16" t="s">
        <v>4638</v>
      </c>
    </row>
    <row r="2057" spans="1:1" x14ac:dyDescent="0.35">
      <c r="A2057" s="16" t="s">
        <v>4639</v>
      </c>
    </row>
    <row r="2058" spans="1:1" x14ac:dyDescent="0.35">
      <c r="A2058" s="16" t="s">
        <v>4640</v>
      </c>
    </row>
    <row r="2059" spans="1:1" x14ac:dyDescent="0.35">
      <c r="A2059" s="16" t="s">
        <v>4641</v>
      </c>
    </row>
    <row r="2060" spans="1:1" ht="29" x14ac:dyDescent="0.35">
      <c r="A2060" s="16" t="s">
        <v>4642</v>
      </c>
    </row>
    <row r="2061" spans="1:1" x14ac:dyDescent="0.35">
      <c r="A2061" s="16" t="s">
        <v>4643</v>
      </c>
    </row>
    <row r="2062" spans="1:1" x14ac:dyDescent="0.35">
      <c r="A2062" s="16" t="s">
        <v>4644</v>
      </c>
    </row>
    <row r="2063" spans="1:1" ht="29" x14ac:dyDescent="0.35">
      <c r="A2063" s="16" t="s">
        <v>4645</v>
      </c>
    </row>
    <row r="2064" spans="1:1" ht="29" x14ac:dyDescent="0.35">
      <c r="A2064" s="16" t="s">
        <v>4646</v>
      </c>
    </row>
    <row r="2065" spans="1:1" ht="29" x14ac:dyDescent="0.35">
      <c r="A2065" s="16" t="s">
        <v>4647</v>
      </c>
    </row>
    <row r="2066" spans="1:1" x14ac:dyDescent="0.35">
      <c r="A2066" s="16" t="s">
        <v>4648</v>
      </c>
    </row>
    <row r="2067" spans="1:1" x14ac:dyDescent="0.35">
      <c r="A2067" s="16" t="s">
        <v>4649</v>
      </c>
    </row>
    <row r="2068" spans="1:1" x14ac:dyDescent="0.35">
      <c r="A2068" s="16" t="s">
        <v>4650</v>
      </c>
    </row>
    <row r="2069" spans="1:1" x14ac:dyDescent="0.35">
      <c r="A2069" s="16" t="s">
        <v>4651</v>
      </c>
    </row>
    <row r="2070" spans="1:1" x14ac:dyDescent="0.35">
      <c r="A2070" s="16" t="s">
        <v>4652</v>
      </c>
    </row>
    <row r="2071" spans="1:1" x14ac:dyDescent="0.35">
      <c r="A2071" s="16" t="s">
        <v>4653</v>
      </c>
    </row>
    <row r="2072" spans="1:1" ht="29" x14ac:dyDescent="0.35">
      <c r="A2072" s="16" t="s">
        <v>4654</v>
      </c>
    </row>
    <row r="2073" spans="1:1" ht="29" x14ac:dyDescent="0.35">
      <c r="A2073" s="16" t="s">
        <v>4655</v>
      </c>
    </row>
    <row r="2074" spans="1:1" ht="29" x14ac:dyDescent="0.35">
      <c r="A2074" s="16" t="s">
        <v>4656</v>
      </c>
    </row>
    <row r="2075" spans="1:1" x14ac:dyDescent="0.35">
      <c r="A2075" s="16" t="s">
        <v>4657</v>
      </c>
    </row>
    <row r="2076" spans="1:1" ht="29" x14ac:dyDescent="0.35">
      <c r="A2076" s="16" t="s">
        <v>4658</v>
      </c>
    </row>
    <row r="2077" spans="1:1" x14ac:dyDescent="0.35">
      <c r="A2077" s="16" t="s">
        <v>4659</v>
      </c>
    </row>
    <row r="2078" spans="1:1" x14ac:dyDescent="0.35">
      <c r="A2078" s="16" t="s">
        <v>4660</v>
      </c>
    </row>
    <row r="2079" spans="1:1" ht="29" x14ac:dyDescent="0.35">
      <c r="A2079" s="16" t="s">
        <v>4661</v>
      </c>
    </row>
    <row r="2080" spans="1:1" x14ac:dyDescent="0.35">
      <c r="A2080" s="16" t="s">
        <v>4662</v>
      </c>
    </row>
    <row r="2081" spans="1:1" ht="29" x14ac:dyDescent="0.35">
      <c r="A2081" s="16" t="s">
        <v>4663</v>
      </c>
    </row>
    <row r="2082" spans="1:1" x14ac:dyDescent="0.35">
      <c r="A2082" s="16" t="s">
        <v>4664</v>
      </c>
    </row>
    <row r="2083" spans="1:1" ht="29" x14ac:dyDescent="0.35">
      <c r="A2083" s="16" t="s">
        <v>4665</v>
      </c>
    </row>
    <row r="2084" spans="1:1" x14ac:dyDescent="0.35">
      <c r="A2084" s="16" t="s">
        <v>4666</v>
      </c>
    </row>
    <row r="2085" spans="1:1" x14ac:dyDescent="0.35">
      <c r="A2085" s="16" t="s">
        <v>4667</v>
      </c>
    </row>
    <row r="2086" spans="1:1" ht="29" x14ac:dyDescent="0.35">
      <c r="A2086" s="16" t="s">
        <v>4668</v>
      </c>
    </row>
    <row r="2087" spans="1:1" x14ac:dyDescent="0.35">
      <c r="A2087" s="16" t="s">
        <v>4669</v>
      </c>
    </row>
    <row r="2088" spans="1:1" x14ac:dyDescent="0.35">
      <c r="A2088" s="16" t="s">
        <v>4670</v>
      </c>
    </row>
    <row r="2089" spans="1:1" x14ac:dyDescent="0.35">
      <c r="A2089" s="16" t="s">
        <v>4671</v>
      </c>
    </row>
    <row r="2090" spans="1:1" x14ac:dyDescent="0.35">
      <c r="A2090" s="16" t="s">
        <v>4672</v>
      </c>
    </row>
    <row r="2091" spans="1:1" x14ac:dyDescent="0.35">
      <c r="A2091" s="16" t="s">
        <v>4673</v>
      </c>
    </row>
    <row r="2092" spans="1:1" ht="29" x14ac:dyDescent="0.35">
      <c r="A2092" s="16" t="s">
        <v>4674</v>
      </c>
    </row>
    <row r="2093" spans="1:1" x14ac:dyDescent="0.35">
      <c r="A2093" s="16" t="s">
        <v>4675</v>
      </c>
    </row>
    <row r="2094" spans="1:1" ht="29" x14ac:dyDescent="0.35">
      <c r="A2094" s="16" t="s">
        <v>4676</v>
      </c>
    </row>
    <row r="2095" spans="1:1" ht="29" x14ac:dyDescent="0.35">
      <c r="A2095" s="16" t="s">
        <v>4677</v>
      </c>
    </row>
    <row r="2096" spans="1:1" ht="29" x14ac:dyDescent="0.35">
      <c r="A2096" s="16" t="s">
        <v>4678</v>
      </c>
    </row>
    <row r="2097" spans="1:1" x14ac:dyDescent="0.35">
      <c r="A2097" s="16" t="s">
        <v>4679</v>
      </c>
    </row>
    <row r="2098" spans="1:1" x14ac:dyDescent="0.35">
      <c r="A2098" s="16" t="s">
        <v>4680</v>
      </c>
    </row>
    <row r="2099" spans="1:1" x14ac:dyDescent="0.35">
      <c r="A2099" s="16" t="s">
        <v>4681</v>
      </c>
    </row>
    <row r="2100" spans="1:1" x14ac:dyDescent="0.35">
      <c r="A2100" s="16" t="s">
        <v>4682</v>
      </c>
    </row>
    <row r="2101" spans="1:1" x14ac:dyDescent="0.35">
      <c r="A2101" s="16" t="s">
        <v>4683</v>
      </c>
    </row>
    <row r="2102" spans="1:1" x14ac:dyDescent="0.35">
      <c r="A2102" s="16" t="s">
        <v>4684</v>
      </c>
    </row>
    <row r="2103" spans="1:1" x14ac:dyDescent="0.35">
      <c r="A2103" s="16" t="s">
        <v>4685</v>
      </c>
    </row>
    <row r="2104" spans="1:1" ht="29" x14ac:dyDescent="0.35">
      <c r="A2104" s="16" t="s">
        <v>4686</v>
      </c>
    </row>
    <row r="2105" spans="1:1" x14ac:dyDescent="0.35">
      <c r="A2105" s="16" t="s">
        <v>4687</v>
      </c>
    </row>
    <row r="2106" spans="1:1" x14ac:dyDescent="0.35">
      <c r="A2106" s="16" t="s">
        <v>4688</v>
      </c>
    </row>
    <row r="2107" spans="1:1" x14ac:dyDescent="0.35">
      <c r="A2107" s="16" t="s">
        <v>4689</v>
      </c>
    </row>
    <row r="2108" spans="1:1" ht="29" x14ac:dyDescent="0.35">
      <c r="A2108" s="16" t="s">
        <v>4690</v>
      </c>
    </row>
    <row r="2109" spans="1:1" ht="29" x14ac:dyDescent="0.35">
      <c r="A2109" s="16" t="s">
        <v>4691</v>
      </c>
    </row>
    <row r="2110" spans="1:1" ht="29" x14ac:dyDescent="0.35">
      <c r="A2110" s="16" t="s">
        <v>4692</v>
      </c>
    </row>
    <row r="2111" spans="1:1" ht="29" x14ac:dyDescent="0.35">
      <c r="A2111" s="16" t="s">
        <v>4693</v>
      </c>
    </row>
    <row r="2112" spans="1:1" ht="29" x14ac:dyDescent="0.35">
      <c r="A2112" s="16" t="s">
        <v>4694</v>
      </c>
    </row>
    <row r="2113" spans="1:1" ht="29" x14ac:dyDescent="0.35">
      <c r="A2113" s="16" t="s">
        <v>4695</v>
      </c>
    </row>
    <row r="2114" spans="1:1" ht="29" x14ac:dyDescent="0.35">
      <c r="A2114" s="16" t="s">
        <v>4696</v>
      </c>
    </row>
    <row r="2115" spans="1:1" x14ac:dyDescent="0.35">
      <c r="A2115" s="16" t="s">
        <v>4697</v>
      </c>
    </row>
    <row r="2116" spans="1:1" x14ac:dyDescent="0.35">
      <c r="A2116" s="16" t="s">
        <v>4698</v>
      </c>
    </row>
    <row r="2117" spans="1:1" ht="29" x14ac:dyDescent="0.35">
      <c r="A2117" s="16" t="s">
        <v>4699</v>
      </c>
    </row>
    <row r="2118" spans="1:1" ht="29" x14ac:dyDescent="0.35">
      <c r="A2118" s="16" t="s">
        <v>4700</v>
      </c>
    </row>
    <row r="2119" spans="1:1" ht="29" x14ac:dyDescent="0.35">
      <c r="A2119" s="16" t="s">
        <v>4701</v>
      </c>
    </row>
    <row r="2120" spans="1:1" x14ac:dyDescent="0.35">
      <c r="A2120" s="16" t="s">
        <v>4702</v>
      </c>
    </row>
    <row r="2121" spans="1:1" x14ac:dyDescent="0.35">
      <c r="A2121" s="16" t="s">
        <v>4703</v>
      </c>
    </row>
    <row r="2122" spans="1:1" x14ac:dyDescent="0.35">
      <c r="A2122" s="16" t="s">
        <v>4704</v>
      </c>
    </row>
    <row r="2123" spans="1:1" x14ac:dyDescent="0.35">
      <c r="A2123" s="16" t="s">
        <v>4705</v>
      </c>
    </row>
    <row r="2124" spans="1:1" x14ac:dyDescent="0.35">
      <c r="A2124" s="16" t="s">
        <v>4706</v>
      </c>
    </row>
    <row r="2125" spans="1:1" ht="29" x14ac:dyDescent="0.35">
      <c r="A2125" s="16" t="s">
        <v>4707</v>
      </c>
    </row>
    <row r="2126" spans="1:1" ht="29" x14ac:dyDescent="0.35">
      <c r="A2126" s="16" t="s">
        <v>4708</v>
      </c>
    </row>
    <row r="2127" spans="1:1" ht="29" x14ac:dyDescent="0.35">
      <c r="A2127" s="16" t="s">
        <v>4709</v>
      </c>
    </row>
    <row r="2128" spans="1:1" x14ac:dyDescent="0.35">
      <c r="A2128" s="16" t="s">
        <v>4710</v>
      </c>
    </row>
    <row r="2129" spans="1:1" ht="29" x14ac:dyDescent="0.35">
      <c r="A2129" s="16" t="s">
        <v>4711</v>
      </c>
    </row>
    <row r="2130" spans="1:1" x14ac:dyDescent="0.35">
      <c r="A2130" s="16" t="s">
        <v>4712</v>
      </c>
    </row>
    <row r="2131" spans="1:1" ht="29" x14ac:dyDescent="0.35">
      <c r="A2131" s="16" t="s">
        <v>4713</v>
      </c>
    </row>
    <row r="2132" spans="1:1" x14ac:dyDescent="0.35">
      <c r="A2132" s="16" t="s">
        <v>4714</v>
      </c>
    </row>
    <row r="2133" spans="1:1" ht="29" x14ac:dyDescent="0.35">
      <c r="A2133" s="16" t="s">
        <v>4715</v>
      </c>
    </row>
    <row r="2134" spans="1:1" ht="29" x14ac:dyDescent="0.35">
      <c r="A2134" s="16" t="s">
        <v>4716</v>
      </c>
    </row>
    <row r="2135" spans="1:1" x14ac:dyDescent="0.35">
      <c r="A2135" s="16" t="s">
        <v>4717</v>
      </c>
    </row>
    <row r="2136" spans="1:1" x14ac:dyDescent="0.35">
      <c r="A2136" s="16" t="s">
        <v>4718</v>
      </c>
    </row>
    <row r="2137" spans="1:1" ht="29" x14ac:dyDescent="0.35">
      <c r="A2137" s="16" t="s">
        <v>4719</v>
      </c>
    </row>
    <row r="2138" spans="1:1" x14ac:dyDescent="0.35">
      <c r="A2138" s="16" t="s">
        <v>4720</v>
      </c>
    </row>
    <row r="2139" spans="1:1" x14ac:dyDescent="0.35">
      <c r="A2139" s="16" t="s">
        <v>4721</v>
      </c>
    </row>
    <row r="2140" spans="1:1" x14ac:dyDescent="0.35">
      <c r="A2140" s="16" t="s">
        <v>4722</v>
      </c>
    </row>
    <row r="2141" spans="1:1" x14ac:dyDescent="0.35">
      <c r="A2141" s="16" t="s">
        <v>4723</v>
      </c>
    </row>
    <row r="2142" spans="1:1" x14ac:dyDescent="0.35">
      <c r="A2142" s="16" t="s">
        <v>4724</v>
      </c>
    </row>
    <row r="2143" spans="1:1" ht="29" x14ac:dyDescent="0.35">
      <c r="A2143" s="16" t="s">
        <v>4725</v>
      </c>
    </row>
    <row r="2144" spans="1:1" x14ac:dyDescent="0.35">
      <c r="A2144" s="16" t="s">
        <v>4726</v>
      </c>
    </row>
    <row r="2145" spans="1:1" ht="29" x14ac:dyDescent="0.35">
      <c r="A2145" s="16" t="s">
        <v>4727</v>
      </c>
    </row>
    <row r="2146" spans="1:1" x14ac:dyDescent="0.35">
      <c r="A2146" s="16" t="s">
        <v>4728</v>
      </c>
    </row>
    <row r="2147" spans="1:1" x14ac:dyDescent="0.35">
      <c r="A2147" s="16" t="s">
        <v>4729</v>
      </c>
    </row>
    <row r="2148" spans="1:1" x14ac:dyDescent="0.35">
      <c r="A2148" s="16" t="s">
        <v>4730</v>
      </c>
    </row>
    <row r="2149" spans="1:1" x14ac:dyDescent="0.35">
      <c r="A2149" s="16" t="s">
        <v>4731</v>
      </c>
    </row>
    <row r="2150" spans="1:1" ht="29" x14ac:dyDescent="0.35">
      <c r="A2150" s="16" t="s">
        <v>4732</v>
      </c>
    </row>
    <row r="2151" spans="1:1" ht="29" x14ac:dyDescent="0.35">
      <c r="A2151" s="16" t="s">
        <v>4733</v>
      </c>
    </row>
    <row r="2152" spans="1:1" x14ac:dyDescent="0.35">
      <c r="A2152" s="16" t="s">
        <v>4734</v>
      </c>
    </row>
    <row r="2153" spans="1:1" ht="29" x14ac:dyDescent="0.35">
      <c r="A2153" s="16" t="s">
        <v>4735</v>
      </c>
    </row>
    <row r="2154" spans="1:1" x14ac:dyDescent="0.35">
      <c r="A2154" s="16" t="s">
        <v>4736</v>
      </c>
    </row>
    <row r="2155" spans="1:1" ht="29" x14ac:dyDescent="0.35">
      <c r="A2155" s="16" t="s">
        <v>4737</v>
      </c>
    </row>
    <row r="2156" spans="1:1" x14ac:dyDescent="0.35">
      <c r="A2156" s="16" t="s">
        <v>4738</v>
      </c>
    </row>
    <row r="2157" spans="1:1" x14ac:dyDescent="0.35">
      <c r="A2157" s="16" t="s">
        <v>4739</v>
      </c>
    </row>
    <row r="2158" spans="1:1" x14ac:dyDescent="0.35">
      <c r="A2158" s="16" t="s">
        <v>4740</v>
      </c>
    </row>
    <row r="2159" spans="1:1" x14ac:dyDescent="0.35">
      <c r="A2159" s="16" t="s">
        <v>4741</v>
      </c>
    </row>
    <row r="2160" spans="1:1" ht="29" x14ac:dyDescent="0.35">
      <c r="A2160" s="16" t="s">
        <v>4742</v>
      </c>
    </row>
    <row r="2161" spans="1:1" x14ac:dyDescent="0.35">
      <c r="A2161" s="16" t="s">
        <v>4743</v>
      </c>
    </row>
    <row r="2162" spans="1:1" ht="29" x14ac:dyDescent="0.35">
      <c r="A2162" s="16" t="s">
        <v>4744</v>
      </c>
    </row>
    <row r="2163" spans="1:1" ht="29" x14ac:dyDescent="0.35">
      <c r="A2163" s="16" t="s">
        <v>4745</v>
      </c>
    </row>
    <row r="2164" spans="1:1" x14ac:dyDescent="0.35">
      <c r="A2164" s="16" t="s">
        <v>4746</v>
      </c>
    </row>
    <row r="2165" spans="1:1" ht="29" x14ac:dyDescent="0.35">
      <c r="A2165" s="16" t="s">
        <v>4747</v>
      </c>
    </row>
    <row r="2166" spans="1:1" x14ac:dyDescent="0.35">
      <c r="A2166" s="16" t="s">
        <v>4748</v>
      </c>
    </row>
    <row r="2167" spans="1:1" x14ac:dyDescent="0.35">
      <c r="A2167" s="16" t="s">
        <v>4749</v>
      </c>
    </row>
    <row r="2168" spans="1:1" x14ac:dyDescent="0.35">
      <c r="A2168" s="16" t="s">
        <v>4750</v>
      </c>
    </row>
    <row r="2169" spans="1:1" ht="29" x14ac:dyDescent="0.35">
      <c r="A2169" s="16" t="s">
        <v>4751</v>
      </c>
    </row>
    <row r="2170" spans="1:1" x14ac:dyDescent="0.35">
      <c r="A2170" s="16" t="s">
        <v>4752</v>
      </c>
    </row>
    <row r="2171" spans="1:1" ht="29" x14ac:dyDescent="0.35">
      <c r="A2171" s="16" t="s">
        <v>4753</v>
      </c>
    </row>
    <row r="2172" spans="1:1" x14ac:dyDescent="0.35">
      <c r="A2172" s="16" t="s">
        <v>4754</v>
      </c>
    </row>
    <row r="2173" spans="1:1" x14ac:dyDescent="0.35">
      <c r="A2173" s="16" t="s">
        <v>4755</v>
      </c>
    </row>
    <row r="2174" spans="1:1" ht="29" x14ac:dyDescent="0.35">
      <c r="A2174" s="16" t="s">
        <v>4756</v>
      </c>
    </row>
    <row r="2175" spans="1:1" x14ac:dyDescent="0.35">
      <c r="A2175" s="16" t="s">
        <v>4757</v>
      </c>
    </row>
    <row r="2176" spans="1:1" x14ac:dyDescent="0.35">
      <c r="A2176" s="16" t="s">
        <v>4758</v>
      </c>
    </row>
    <row r="2177" spans="1:1" x14ac:dyDescent="0.35">
      <c r="A2177" s="16" t="s">
        <v>4759</v>
      </c>
    </row>
    <row r="2178" spans="1:1" x14ac:dyDescent="0.35">
      <c r="A2178" s="16" t="s">
        <v>4760</v>
      </c>
    </row>
    <row r="2179" spans="1:1" ht="29" x14ac:dyDescent="0.35">
      <c r="A2179" s="16" t="s">
        <v>4761</v>
      </c>
    </row>
    <row r="2180" spans="1:1" ht="29" x14ac:dyDescent="0.35">
      <c r="A2180" s="16" t="s">
        <v>4762</v>
      </c>
    </row>
    <row r="2181" spans="1:1" x14ac:dyDescent="0.35">
      <c r="A2181" s="16" t="s">
        <v>4763</v>
      </c>
    </row>
    <row r="2182" spans="1:1" ht="29" x14ac:dyDescent="0.35">
      <c r="A2182" s="16" t="s">
        <v>4764</v>
      </c>
    </row>
    <row r="2183" spans="1:1" x14ac:dyDescent="0.35">
      <c r="A2183" s="16" t="s">
        <v>4765</v>
      </c>
    </row>
    <row r="2184" spans="1:1" x14ac:dyDescent="0.35">
      <c r="A2184" s="16" t="s">
        <v>4766</v>
      </c>
    </row>
    <row r="2185" spans="1:1" x14ac:dyDescent="0.35">
      <c r="A2185" s="16" t="s">
        <v>4767</v>
      </c>
    </row>
    <row r="2186" spans="1:1" ht="29" x14ac:dyDescent="0.35">
      <c r="A2186" s="16" t="s">
        <v>4768</v>
      </c>
    </row>
    <row r="2187" spans="1:1" x14ac:dyDescent="0.35">
      <c r="A2187" s="16" t="s">
        <v>4769</v>
      </c>
    </row>
    <row r="2188" spans="1:1" ht="29" x14ac:dyDescent="0.35">
      <c r="A2188" s="16" t="s">
        <v>4770</v>
      </c>
    </row>
    <row r="2189" spans="1:1" ht="29" x14ac:dyDescent="0.35">
      <c r="A2189" s="16" t="s">
        <v>4771</v>
      </c>
    </row>
    <row r="2190" spans="1:1" x14ac:dyDescent="0.35">
      <c r="A2190" s="16" t="s">
        <v>4772</v>
      </c>
    </row>
    <row r="2191" spans="1:1" x14ac:dyDescent="0.35">
      <c r="A2191" s="16" t="s">
        <v>4773</v>
      </c>
    </row>
    <row r="2192" spans="1:1" x14ac:dyDescent="0.35">
      <c r="A2192" s="16" t="s">
        <v>4774</v>
      </c>
    </row>
    <row r="2193" spans="1:1" x14ac:dyDescent="0.35">
      <c r="A2193" s="16" t="s">
        <v>4775</v>
      </c>
    </row>
    <row r="2194" spans="1:1" ht="29" x14ac:dyDescent="0.35">
      <c r="A2194" s="16" t="s">
        <v>4776</v>
      </c>
    </row>
    <row r="2195" spans="1:1" ht="29" x14ac:dyDescent="0.35">
      <c r="A2195" s="16" t="s">
        <v>4777</v>
      </c>
    </row>
    <row r="2196" spans="1:1" x14ac:dyDescent="0.35">
      <c r="A2196" s="16" t="s">
        <v>4778</v>
      </c>
    </row>
    <row r="2197" spans="1:1" x14ac:dyDescent="0.35">
      <c r="A2197" s="16" t="s">
        <v>4779</v>
      </c>
    </row>
    <row r="2198" spans="1:1" x14ac:dyDescent="0.35">
      <c r="A2198" s="16" t="s">
        <v>4780</v>
      </c>
    </row>
    <row r="2199" spans="1:1" ht="29" x14ac:dyDescent="0.35">
      <c r="A2199" s="16" t="s">
        <v>4781</v>
      </c>
    </row>
    <row r="2200" spans="1:1" x14ac:dyDescent="0.35">
      <c r="A2200" s="16" t="s">
        <v>4782</v>
      </c>
    </row>
    <row r="2201" spans="1:1" x14ac:dyDescent="0.35">
      <c r="A2201" s="16" t="s">
        <v>4783</v>
      </c>
    </row>
    <row r="2202" spans="1:1" ht="29" x14ac:dyDescent="0.35">
      <c r="A2202" s="16" t="s">
        <v>4784</v>
      </c>
    </row>
    <row r="2203" spans="1:1" x14ac:dyDescent="0.35">
      <c r="A2203" s="16" t="s">
        <v>4785</v>
      </c>
    </row>
    <row r="2204" spans="1:1" x14ac:dyDescent="0.35">
      <c r="A2204" s="16" t="s">
        <v>4786</v>
      </c>
    </row>
    <row r="2205" spans="1:1" ht="43.5" x14ac:dyDescent="0.35">
      <c r="A2205" s="16" t="s">
        <v>4787</v>
      </c>
    </row>
    <row r="2206" spans="1:1" x14ac:dyDescent="0.35">
      <c r="A2206" s="16" t="s">
        <v>4788</v>
      </c>
    </row>
    <row r="2207" spans="1:1" x14ac:dyDescent="0.35">
      <c r="A2207" s="16" t="s">
        <v>4789</v>
      </c>
    </row>
    <row r="2208" spans="1:1" x14ac:dyDescent="0.35">
      <c r="A2208" s="16" t="s">
        <v>4790</v>
      </c>
    </row>
    <row r="2209" spans="1:1" x14ac:dyDescent="0.35">
      <c r="A2209" s="16" t="s">
        <v>4791</v>
      </c>
    </row>
    <row r="2210" spans="1:1" x14ac:dyDescent="0.35">
      <c r="A2210" s="16" t="s">
        <v>4792</v>
      </c>
    </row>
    <row r="2211" spans="1:1" ht="29" x14ac:dyDescent="0.35">
      <c r="A2211" s="16" t="s">
        <v>4793</v>
      </c>
    </row>
    <row r="2212" spans="1:1" ht="29" x14ac:dyDescent="0.35">
      <c r="A2212" s="16" t="s">
        <v>4794</v>
      </c>
    </row>
    <row r="2213" spans="1:1" x14ac:dyDescent="0.35">
      <c r="A2213" s="16" t="s">
        <v>4795</v>
      </c>
    </row>
    <row r="2214" spans="1:1" x14ac:dyDescent="0.35">
      <c r="A2214" s="16" t="s">
        <v>4796</v>
      </c>
    </row>
    <row r="2215" spans="1:1" x14ac:dyDescent="0.35">
      <c r="A2215" s="16" t="s">
        <v>4797</v>
      </c>
    </row>
    <row r="2216" spans="1:1" ht="29" x14ac:dyDescent="0.35">
      <c r="A2216" s="16" t="s">
        <v>4798</v>
      </c>
    </row>
    <row r="2217" spans="1:1" x14ac:dyDescent="0.35">
      <c r="A2217" s="16" t="s">
        <v>4799</v>
      </c>
    </row>
    <row r="2218" spans="1:1" ht="29" x14ac:dyDescent="0.35">
      <c r="A2218" s="16" t="s">
        <v>4800</v>
      </c>
    </row>
    <row r="2219" spans="1:1" x14ac:dyDescent="0.35">
      <c r="A2219" s="16" t="s">
        <v>4801</v>
      </c>
    </row>
    <row r="2220" spans="1:1" x14ac:dyDescent="0.35">
      <c r="A2220" s="16" t="s">
        <v>4802</v>
      </c>
    </row>
    <row r="2221" spans="1:1" x14ac:dyDescent="0.35">
      <c r="A2221" s="16" t="s">
        <v>4803</v>
      </c>
    </row>
    <row r="2222" spans="1:1" x14ac:dyDescent="0.35">
      <c r="A2222" s="16" t="s">
        <v>4804</v>
      </c>
    </row>
    <row r="2223" spans="1:1" ht="29" x14ac:dyDescent="0.35">
      <c r="A2223" s="16" t="s">
        <v>4805</v>
      </c>
    </row>
    <row r="2224" spans="1:1" x14ac:dyDescent="0.35">
      <c r="A2224" s="16" t="s">
        <v>4806</v>
      </c>
    </row>
    <row r="2225" spans="1:1" ht="29" x14ac:dyDescent="0.35">
      <c r="A2225" s="16" t="s">
        <v>4807</v>
      </c>
    </row>
    <row r="2226" spans="1:1" ht="29" x14ac:dyDescent="0.35">
      <c r="A2226" s="16" t="s">
        <v>4808</v>
      </c>
    </row>
    <row r="2227" spans="1:1" x14ac:dyDescent="0.35">
      <c r="A2227" s="16" t="s">
        <v>4809</v>
      </c>
    </row>
    <row r="2228" spans="1:1" x14ac:dyDescent="0.35">
      <c r="A2228" s="16" t="s">
        <v>4810</v>
      </c>
    </row>
    <row r="2229" spans="1:1" x14ac:dyDescent="0.35">
      <c r="A2229" s="16" t="s">
        <v>4811</v>
      </c>
    </row>
    <row r="2230" spans="1:1" x14ac:dyDescent="0.35">
      <c r="A2230" s="16" t="s">
        <v>4812</v>
      </c>
    </row>
    <row r="2231" spans="1:1" x14ac:dyDescent="0.35">
      <c r="A2231" s="16" t="s">
        <v>4813</v>
      </c>
    </row>
    <row r="2232" spans="1:1" x14ac:dyDescent="0.35">
      <c r="A2232" s="16" t="s">
        <v>4814</v>
      </c>
    </row>
    <row r="2233" spans="1:1" x14ac:dyDescent="0.35">
      <c r="A2233" s="16" t="s">
        <v>4815</v>
      </c>
    </row>
    <row r="2234" spans="1:1" ht="29" x14ac:dyDescent="0.35">
      <c r="A2234" s="16" t="s">
        <v>4816</v>
      </c>
    </row>
    <row r="2235" spans="1:1" ht="29" x14ac:dyDescent="0.35">
      <c r="A2235" s="16" t="s">
        <v>4817</v>
      </c>
    </row>
    <row r="2236" spans="1:1" ht="29" x14ac:dyDescent="0.35">
      <c r="A2236" s="16" t="s">
        <v>4818</v>
      </c>
    </row>
    <row r="2237" spans="1:1" x14ac:dyDescent="0.35">
      <c r="A2237" s="16" t="s">
        <v>4819</v>
      </c>
    </row>
    <row r="2238" spans="1:1" x14ac:dyDescent="0.35">
      <c r="A2238" s="16" t="s">
        <v>4820</v>
      </c>
    </row>
    <row r="2239" spans="1:1" x14ac:dyDescent="0.35">
      <c r="A2239" s="16" t="s">
        <v>4821</v>
      </c>
    </row>
    <row r="2240" spans="1:1" ht="29" x14ac:dyDescent="0.35">
      <c r="A2240" s="16" t="s">
        <v>4822</v>
      </c>
    </row>
    <row r="2241" spans="1:1" ht="29" x14ac:dyDescent="0.35">
      <c r="A2241" s="16" t="s">
        <v>4823</v>
      </c>
    </row>
    <row r="2242" spans="1:1" x14ac:dyDescent="0.35">
      <c r="A2242" s="16" t="s">
        <v>4824</v>
      </c>
    </row>
    <row r="2243" spans="1:1" x14ac:dyDescent="0.35">
      <c r="A2243" s="16" t="s">
        <v>4825</v>
      </c>
    </row>
    <row r="2244" spans="1:1" x14ac:dyDescent="0.35">
      <c r="A2244" s="16" t="s">
        <v>4826</v>
      </c>
    </row>
    <row r="2245" spans="1:1" ht="29" x14ac:dyDescent="0.35">
      <c r="A2245" s="16" t="s">
        <v>4827</v>
      </c>
    </row>
    <row r="2246" spans="1:1" x14ac:dyDescent="0.35">
      <c r="A2246" s="16" t="s">
        <v>4828</v>
      </c>
    </row>
    <row r="2247" spans="1:1" x14ac:dyDescent="0.35">
      <c r="A2247" s="16" t="s">
        <v>4829</v>
      </c>
    </row>
    <row r="2248" spans="1:1" ht="29" x14ac:dyDescent="0.35">
      <c r="A2248" s="16" t="s">
        <v>4830</v>
      </c>
    </row>
    <row r="2249" spans="1:1" ht="29" x14ac:dyDescent="0.35">
      <c r="A2249" s="16" t="s">
        <v>4831</v>
      </c>
    </row>
    <row r="2250" spans="1:1" x14ac:dyDescent="0.35">
      <c r="A2250" s="16" t="s">
        <v>4832</v>
      </c>
    </row>
    <row r="2251" spans="1:1" ht="29" x14ac:dyDescent="0.35">
      <c r="A2251" s="16" t="s">
        <v>4833</v>
      </c>
    </row>
    <row r="2252" spans="1:1" ht="29" x14ac:dyDescent="0.35">
      <c r="A2252" s="16" t="s">
        <v>4834</v>
      </c>
    </row>
    <row r="2253" spans="1:1" x14ac:dyDescent="0.35">
      <c r="A2253" s="16" t="s">
        <v>4835</v>
      </c>
    </row>
    <row r="2254" spans="1:1" x14ac:dyDescent="0.35">
      <c r="A2254" s="16" t="s">
        <v>4836</v>
      </c>
    </row>
    <row r="2255" spans="1:1" ht="29" x14ac:dyDescent="0.35">
      <c r="A2255" s="16" t="s">
        <v>4837</v>
      </c>
    </row>
    <row r="2256" spans="1:1" x14ac:dyDescent="0.35">
      <c r="A2256" s="16" t="s">
        <v>4838</v>
      </c>
    </row>
    <row r="2257" spans="1:1" ht="29" x14ac:dyDescent="0.35">
      <c r="A2257" s="16" t="s">
        <v>4839</v>
      </c>
    </row>
    <row r="2258" spans="1:1" ht="29" x14ac:dyDescent="0.35">
      <c r="A2258" s="16" t="s">
        <v>4840</v>
      </c>
    </row>
    <row r="2259" spans="1:1" x14ac:dyDescent="0.35">
      <c r="A2259" s="16" t="s">
        <v>4841</v>
      </c>
    </row>
    <row r="2260" spans="1:1" x14ac:dyDescent="0.35">
      <c r="A2260" s="16" t="s">
        <v>4842</v>
      </c>
    </row>
    <row r="2261" spans="1:1" ht="29" x14ac:dyDescent="0.35">
      <c r="A2261" s="16" t="s">
        <v>4843</v>
      </c>
    </row>
    <row r="2262" spans="1:1" x14ac:dyDescent="0.35">
      <c r="A2262" s="16" t="s">
        <v>4844</v>
      </c>
    </row>
    <row r="2263" spans="1:1" x14ac:dyDescent="0.35">
      <c r="A2263" s="16" t="s">
        <v>4845</v>
      </c>
    </row>
    <row r="2264" spans="1:1" x14ac:dyDescent="0.35">
      <c r="A2264" s="16" t="s">
        <v>4846</v>
      </c>
    </row>
    <row r="2265" spans="1:1" x14ac:dyDescent="0.35">
      <c r="A2265" s="16" t="s">
        <v>4847</v>
      </c>
    </row>
    <row r="2266" spans="1:1" x14ac:dyDescent="0.35">
      <c r="A2266" s="16" t="s">
        <v>4848</v>
      </c>
    </row>
    <row r="2267" spans="1:1" x14ac:dyDescent="0.35">
      <c r="A2267" s="16" t="s">
        <v>4849</v>
      </c>
    </row>
    <row r="2268" spans="1:1" x14ac:dyDescent="0.35">
      <c r="A2268" s="16" t="s">
        <v>4850</v>
      </c>
    </row>
    <row r="2269" spans="1:1" ht="29" x14ac:dyDescent="0.35">
      <c r="A2269" s="16" t="s">
        <v>4851</v>
      </c>
    </row>
    <row r="2270" spans="1:1" x14ac:dyDescent="0.35">
      <c r="A2270" s="16" t="s">
        <v>4852</v>
      </c>
    </row>
    <row r="2271" spans="1:1" ht="29" x14ac:dyDescent="0.35">
      <c r="A2271" s="16" t="s">
        <v>4853</v>
      </c>
    </row>
    <row r="2272" spans="1:1" ht="29" x14ac:dyDescent="0.35">
      <c r="A2272" s="16" t="s">
        <v>4854</v>
      </c>
    </row>
    <row r="2273" spans="1:1" ht="29" x14ac:dyDescent="0.35">
      <c r="A2273" s="16" t="s">
        <v>4855</v>
      </c>
    </row>
    <row r="2274" spans="1:1" ht="29" x14ac:dyDescent="0.35">
      <c r="A2274" s="16" t="s">
        <v>4856</v>
      </c>
    </row>
    <row r="2275" spans="1:1" ht="29" x14ac:dyDescent="0.35">
      <c r="A2275" s="16" t="s">
        <v>4857</v>
      </c>
    </row>
    <row r="2276" spans="1:1" x14ac:dyDescent="0.35">
      <c r="A2276" s="16" t="s">
        <v>4858</v>
      </c>
    </row>
    <row r="2277" spans="1:1" x14ac:dyDescent="0.35">
      <c r="A2277" s="16" t="s">
        <v>4859</v>
      </c>
    </row>
    <row r="2278" spans="1:1" x14ac:dyDescent="0.35">
      <c r="A2278" s="16" t="s">
        <v>4860</v>
      </c>
    </row>
    <row r="2279" spans="1:1" ht="29" x14ac:dyDescent="0.35">
      <c r="A2279" s="16" t="s">
        <v>4861</v>
      </c>
    </row>
    <row r="2280" spans="1:1" x14ac:dyDescent="0.35">
      <c r="A2280" s="16" t="s">
        <v>4862</v>
      </c>
    </row>
    <row r="2281" spans="1:1" x14ac:dyDescent="0.35">
      <c r="A2281" s="16" t="s">
        <v>4863</v>
      </c>
    </row>
    <row r="2282" spans="1:1" ht="29" x14ac:dyDescent="0.35">
      <c r="A2282" s="16" t="s">
        <v>4864</v>
      </c>
    </row>
    <row r="2283" spans="1:1" x14ac:dyDescent="0.35">
      <c r="A2283" s="16" t="s">
        <v>4865</v>
      </c>
    </row>
    <row r="2284" spans="1:1" x14ac:dyDescent="0.35">
      <c r="A2284" s="16" t="s">
        <v>4866</v>
      </c>
    </row>
    <row r="2285" spans="1:1" x14ac:dyDescent="0.35">
      <c r="A2285" s="16" t="s">
        <v>4867</v>
      </c>
    </row>
    <row r="2286" spans="1:1" x14ac:dyDescent="0.35">
      <c r="A2286" s="16" t="s">
        <v>4868</v>
      </c>
    </row>
    <row r="2287" spans="1:1" x14ac:dyDescent="0.35">
      <c r="A2287" s="16" t="s">
        <v>4869</v>
      </c>
    </row>
    <row r="2288" spans="1:1" ht="29" x14ac:dyDescent="0.35">
      <c r="A2288" s="16" t="s">
        <v>4870</v>
      </c>
    </row>
    <row r="2289" spans="1:1" ht="29" x14ac:dyDescent="0.35">
      <c r="A2289" s="16" t="s">
        <v>4871</v>
      </c>
    </row>
    <row r="2290" spans="1:1" x14ac:dyDescent="0.35">
      <c r="A2290" s="16" t="s">
        <v>4872</v>
      </c>
    </row>
    <row r="2291" spans="1:1" x14ac:dyDescent="0.35">
      <c r="A2291" s="16" t="s">
        <v>4873</v>
      </c>
    </row>
    <row r="2292" spans="1:1" ht="29" x14ac:dyDescent="0.35">
      <c r="A2292" s="16" t="s">
        <v>4874</v>
      </c>
    </row>
    <row r="2293" spans="1:1" x14ac:dyDescent="0.35">
      <c r="A2293" s="16" t="s">
        <v>4875</v>
      </c>
    </row>
    <row r="2294" spans="1:1" x14ac:dyDescent="0.35">
      <c r="A2294" s="16" t="s">
        <v>4876</v>
      </c>
    </row>
    <row r="2295" spans="1:1" ht="29" x14ac:dyDescent="0.35">
      <c r="A2295" s="16" t="s">
        <v>4877</v>
      </c>
    </row>
    <row r="2296" spans="1:1" x14ac:dyDescent="0.35">
      <c r="A2296" s="16" t="s">
        <v>4878</v>
      </c>
    </row>
    <row r="2297" spans="1:1" x14ac:dyDescent="0.35">
      <c r="A2297" s="16" t="s">
        <v>4879</v>
      </c>
    </row>
    <row r="2298" spans="1:1" ht="29" x14ac:dyDescent="0.35">
      <c r="A2298" s="16" t="s">
        <v>4880</v>
      </c>
    </row>
    <row r="2299" spans="1:1" x14ac:dyDescent="0.35">
      <c r="A2299" s="16" t="s">
        <v>4881</v>
      </c>
    </row>
    <row r="2300" spans="1:1" x14ac:dyDescent="0.35">
      <c r="A2300" s="16" t="s">
        <v>4882</v>
      </c>
    </row>
    <row r="2301" spans="1:1" ht="29" x14ac:dyDescent="0.35">
      <c r="A2301" s="16" t="s">
        <v>4883</v>
      </c>
    </row>
    <row r="2302" spans="1:1" x14ac:dyDescent="0.35">
      <c r="A2302" s="16" t="s">
        <v>4884</v>
      </c>
    </row>
    <row r="2303" spans="1:1" x14ac:dyDescent="0.35">
      <c r="A2303" s="16" t="s">
        <v>4885</v>
      </c>
    </row>
    <row r="2304" spans="1:1" x14ac:dyDescent="0.35">
      <c r="A2304" s="16" t="s">
        <v>4886</v>
      </c>
    </row>
    <row r="2305" spans="1:1" ht="29" x14ac:dyDescent="0.35">
      <c r="A2305" s="16" t="s">
        <v>4887</v>
      </c>
    </row>
    <row r="2306" spans="1:1" ht="29" x14ac:dyDescent="0.35">
      <c r="A2306" s="16" t="s">
        <v>4888</v>
      </c>
    </row>
    <row r="2307" spans="1:1" x14ac:dyDescent="0.35">
      <c r="A2307" s="16" t="s">
        <v>4889</v>
      </c>
    </row>
    <row r="2308" spans="1:1" x14ac:dyDescent="0.35">
      <c r="A2308" s="16" t="s">
        <v>4890</v>
      </c>
    </row>
    <row r="2309" spans="1:1" ht="29" x14ac:dyDescent="0.35">
      <c r="A2309" s="16" t="s">
        <v>4891</v>
      </c>
    </row>
    <row r="2310" spans="1:1" x14ac:dyDescent="0.35">
      <c r="A2310" s="16" t="s">
        <v>4892</v>
      </c>
    </row>
    <row r="2311" spans="1:1" ht="29" x14ac:dyDescent="0.35">
      <c r="A2311" s="16" t="s">
        <v>4893</v>
      </c>
    </row>
    <row r="2312" spans="1:1" ht="29" x14ac:dyDescent="0.35">
      <c r="A2312" s="16" t="s">
        <v>4894</v>
      </c>
    </row>
    <row r="2313" spans="1:1" x14ac:dyDescent="0.35">
      <c r="A2313" s="16" t="s">
        <v>4895</v>
      </c>
    </row>
    <row r="2314" spans="1:1" ht="29" x14ac:dyDescent="0.35">
      <c r="A2314" s="16" t="s">
        <v>4896</v>
      </c>
    </row>
    <row r="2315" spans="1:1" x14ac:dyDescent="0.35">
      <c r="A2315" s="16" t="s">
        <v>4897</v>
      </c>
    </row>
    <row r="2316" spans="1:1" ht="29" x14ac:dyDescent="0.35">
      <c r="A2316" s="16" t="s">
        <v>4898</v>
      </c>
    </row>
    <row r="2317" spans="1:1" ht="29" x14ac:dyDescent="0.35">
      <c r="A2317" s="16" t="s">
        <v>4899</v>
      </c>
    </row>
    <row r="2318" spans="1:1" ht="29" x14ac:dyDescent="0.35">
      <c r="A2318" s="16" t="s">
        <v>4900</v>
      </c>
    </row>
    <row r="2319" spans="1:1" x14ac:dyDescent="0.35">
      <c r="A2319" s="16" t="s">
        <v>4901</v>
      </c>
    </row>
    <row r="2320" spans="1:1" x14ac:dyDescent="0.35">
      <c r="A2320" s="16" t="s">
        <v>4902</v>
      </c>
    </row>
    <row r="2321" spans="1:1" x14ac:dyDescent="0.35">
      <c r="A2321" s="16" t="s">
        <v>4903</v>
      </c>
    </row>
    <row r="2322" spans="1:1" x14ac:dyDescent="0.35">
      <c r="A2322" s="16" t="s">
        <v>4904</v>
      </c>
    </row>
    <row r="2323" spans="1:1" x14ac:dyDescent="0.35">
      <c r="A2323" s="16" t="s">
        <v>4905</v>
      </c>
    </row>
    <row r="2324" spans="1:1" ht="29" x14ac:dyDescent="0.35">
      <c r="A2324" s="16" t="s">
        <v>4906</v>
      </c>
    </row>
    <row r="2325" spans="1:1" x14ac:dyDescent="0.35">
      <c r="A2325" s="16" t="s">
        <v>4907</v>
      </c>
    </row>
    <row r="2326" spans="1:1" ht="29" x14ac:dyDescent="0.35">
      <c r="A2326" s="16" t="s">
        <v>4908</v>
      </c>
    </row>
    <row r="2327" spans="1:1" x14ac:dyDescent="0.35">
      <c r="A2327" s="16" t="s">
        <v>4909</v>
      </c>
    </row>
    <row r="2328" spans="1:1" x14ac:dyDescent="0.35">
      <c r="A2328" s="16" t="s">
        <v>4910</v>
      </c>
    </row>
    <row r="2329" spans="1:1" ht="29" x14ac:dyDescent="0.35">
      <c r="A2329" s="16" t="s">
        <v>4911</v>
      </c>
    </row>
    <row r="2330" spans="1:1" ht="29" x14ac:dyDescent="0.35">
      <c r="A2330" s="16" t="s">
        <v>4912</v>
      </c>
    </row>
    <row r="2331" spans="1:1" x14ac:dyDescent="0.35">
      <c r="A2331" s="16" t="s">
        <v>4913</v>
      </c>
    </row>
    <row r="2332" spans="1:1" ht="29" x14ac:dyDescent="0.35">
      <c r="A2332" s="16" t="s">
        <v>4914</v>
      </c>
    </row>
    <row r="2333" spans="1:1" x14ac:dyDescent="0.35">
      <c r="A2333" s="16" t="s">
        <v>4915</v>
      </c>
    </row>
    <row r="2334" spans="1:1" ht="29" x14ac:dyDescent="0.35">
      <c r="A2334" s="16" t="s">
        <v>4916</v>
      </c>
    </row>
    <row r="2335" spans="1:1" ht="29" x14ac:dyDescent="0.35">
      <c r="A2335" s="16" t="s">
        <v>4917</v>
      </c>
    </row>
    <row r="2336" spans="1:1" x14ac:dyDescent="0.35">
      <c r="A2336" s="16" t="s">
        <v>4918</v>
      </c>
    </row>
    <row r="2337" spans="1:1" x14ac:dyDescent="0.35">
      <c r="A2337" s="16" t="s">
        <v>4919</v>
      </c>
    </row>
    <row r="2338" spans="1:1" x14ac:dyDescent="0.35">
      <c r="A2338" s="16" t="s">
        <v>4920</v>
      </c>
    </row>
    <row r="2339" spans="1:1" x14ac:dyDescent="0.35">
      <c r="A2339" s="16" t="s">
        <v>4921</v>
      </c>
    </row>
    <row r="2340" spans="1:1" x14ac:dyDescent="0.35">
      <c r="A2340" s="16" t="s">
        <v>4922</v>
      </c>
    </row>
    <row r="2341" spans="1:1" x14ac:dyDescent="0.35">
      <c r="A2341" s="16" t="s">
        <v>4923</v>
      </c>
    </row>
    <row r="2342" spans="1:1" x14ac:dyDescent="0.35">
      <c r="A2342" s="16" t="s">
        <v>4924</v>
      </c>
    </row>
    <row r="2343" spans="1:1" ht="29" x14ac:dyDescent="0.35">
      <c r="A2343" s="16" t="s">
        <v>4925</v>
      </c>
    </row>
    <row r="2344" spans="1:1" ht="29" x14ac:dyDescent="0.35">
      <c r="A2344" s="16" t="s">
        <v>4926</v>
      </c>
    </row>
    <row r="2345" spans="1:1" x14ac:dyDescent="0.35">
      <c r="A2345" s="16" t="s">
        <v>4927</v>
      </c>
    </row>
    <row r="2346" spans="1:1" ht="29" x14ac:dyDescent="0.35">
      <c r="A2346" s="16" t="s">
        <v>4928</v>
      </c>
    </row>
    <row r="2347" spans="1:1" x14ac:dyDescent="0.35">
      <c r="A2347" s="16" t="s">
        <v>4929</v>
      </c>
    </row>
    <row r="2348" spans="1:1" x14ac:dyDescent="0.35">
      <c r="A2348" s="16" t="s">
        <v>4930</v>
      </c>
    </row>
    <row r="2349" spans="1:1" ht="29" x14ac:dyDescent="0.35">
      <c r="A2349" s="16" t="s">
        <v>4931</v>
      </c>
    </row>
    <row r="2350" spans="1:1" ht="29" x14ac:dyDescent="0.35">
      <c r="A2350" s="16" t="s">
        <v>4932</v>
      </c>
    </row>
    <row r="2351" spans="1:1" x14ac:dyDescent="0.35">
      <c r="A2351" s="16" t="s">
        <v>4933</v>
      </c>
    </row>
    <row r="2352" spans="1:1" ht="29" x14ac:dyDescent="0.35">
      <c r="A2352" s="16" t="s">
        <v>4934</v>
      </c>
    </row>
    <row r="2353" spans="1:1" x14ac:dyDescent="0.35">
      <c r="A2353" s="16" t="s">
        <v>4935</v>
      </c>
    </row>
    <row r="2354" spans="1:1" ht="29" x14ac:dyDescent="0.35">
      <c r="A2354" s="16" t="s">
        <v>4936</v>
      </c>
    </row>
    <row r="2355" spans="1:1" ht="29" x14ac:dyDescent="0.35">
      <c r="A2355" s="16" t="s">
        <v>4937</v>
      </c>
    </row>
    <row r="2356" spans="1:1" x14ac:dyDescent="0.35">
      <c r="A2356" s="16" t="s">
        <v>4938</v>
      </c>
    </row>
    <row r="2357" spans="1:1" x14ac:dyDescent="0.35">
      <c r="A2357" s="16" t="s">
        <v>4939</v>
      </c>
    </row>
    <row r="2358" spans="1:1" x14ac:dyDescent="0.35">
      <c r="A2358" s="16" t="s">
        <v>4940</v>
      </c>
    </row>
    <row r="2359" spans="1:1" x14ac:dyDescent="0.35">
      <c r="A2359" s="16" t="s">
        <v>4941</v>
      </c>
    </row>
    <row r="2360" spans="1:1" ht="29" x14ac:dyDescent="0.35">
      <c r="A2360" s="16" t="s">
        <v>4942</v>
      </c>
    </row>
    <row r="2361" spans="1:1" x14ac:dyDescent="0.35">
      <c r="A2361" s="16" t="s">
        <v>4943</v>
      </c>
    </row>
    <row r="2362" spans="1:1" x14ac:dyDescent="0.35">
      <c r="A2362" s="16" t="s">
        <v>4944</v>
      </c>
    </row>
    <row r="2363" spans="1:1" x14ac:dyDescent="0.35">
      <c r="A2363" s="16" t="s">
        <v>4945</v>
      </c>
    </row>
    <row r="2364" spans="1:1" ht="29" x14ac:dyDescent="0.35">
      <c r="A2364" s="16" t="s">
        <v>4946</v>
      </c>
    </row>
    <row r="2365" spans="1:1" x14ac:dyDescent="0.35">
      <c r="A2365" s="16" t="s">
        <v>4947</v>
      </c>
    </row>
    <row r="2366" spans="1:1" x14ac:dyDescent="0.35">
      <c r="A2366" s="16" t="s">
        <v>4948</v>
      </c>
    </row>
    <row r="2367" spans="1:1" x14ac:dyDescent="0.35">
      <c r="A2367" s="16" t="s">
        <v>4949</v>
      </c>
    </row>
    <row r="2368" spans="1:1" ht="29" x14ac:dyDescent="0.35">
      <c r="A2368" s="16" t="s">
        <v>4950</v>
      </c>
    </row>
    <row r="2369" spans="1:1" ht="29" x14ac:dyDescent="0.35">
      <c r="A2369" s="16" t="s">
        <v>4951</v>
      </c>
    </row>
    <row r="2370" spans="1:1" ht="29" x14ac:dyDescent="0.35">
      <c r="A2370" s="16" t="s">
        <v>4952</v>
      </c>
    </row>
    <row r="2371" spans="1:1" x14ac:dyDescent="0.35">
      <c r="A2371" s="16" t="s">
        <v>4953</v>
      </c>
    </row>
    <row r="2372" spans="1:1" x14ac:dyDescent="0.35">
      <c r="A2372" s="16" t="s">
        <v>4954</v>
      </c>
    </row>
    <row r="2373" spans="1:1" ht="29" x14ac:dyDescent="0.35">
      <c r="A2373" s="16" t="s">
        <v>4955</v>
      </c>
    </row>
    <row r="2374" spans="1:1" x14ac:dyDescent="0.35">
      <c r="A2374" s="16" t="s">
        <v>4956</v>
      </c>
    </row>
    <row r="2375" spans="1:1" x14ac:dyDescent="0.35">
      <c r="A2375" s="16" t="s">
        <v>4957</v>
      </c>
    </row>
    <row r="2376" spans="1:1" x14ac:dyDescent="0.35">
      <c r="A2376" s="16" t="s">
        <v>4958</v>
      </c>
    </row>
    <row r="2377" spans="1:1" ht="29" x14ac:dyDescent="0.35">
      <c r="A2377" s="16" t="s">
        <v>4959</v>
      </c>
    </row>
    <row r="2378" spans="1:1" x14ac:dyDescent="0.35">
      <c r="A2378" s="16" t="s">
        <v>4960</v>
      </c>
    </row>
    <row r="2379" spans="1:1" ht="29" x14ac:dyDescent="0.35">
      <c r="A2379" s="16" t="s">
        <v>4961</v>
      </c>
    </row>
    <row r="2380" spans="1:1" x14ac:dyDescent="0.35">
      <c r="A2380" s="16" t="s">
        <v>4962</v>
      </c>
    </row>
    <row r="2381" spans="1:1" x14ac:dyDescent="0.35">
      <c r="A2381" s="16" t="s">
        <v>4963</v>
      </c>
    </row>
    <row r="2382" spans="1:1" x14ac:dyDescent="0.35">
      <c r="A2382" s="16" t="s">
        <v>4964</v>
      </c>
    </row>
    <row r="2383" spans="1:1" x14ac:dyDescent="0.35">
      <c r="A2383" s="16" t="s">
        <v>4965</v>
      </c>
    </row>
    <row r="2384" spans="1:1" ht="29" x14ac:dyDescent="0.35">
      <c r="A2384" s="16" t="s">
        <v>4966</v>
      </c>
    </row>
    <row r="2385" spans="1:1" x14ac:dyDescent="0.35">
      <c r="A2385" s="16" t="s">
        <v>4967</v>
      </c>
    </row>
    <row r="2386" spans="1:1" ht="29" x14ac:dyDescent="0.35">
      <c r="A2386" s="16" t="s">
        <v>4968</v>
      </c>
    </row>
    <row r="2387" spans="1:1" ht="29" x14ac:dyDescent="0.35">
      <c r="A2387" s="16" t="s">
        <v>4969</v>
      </c>
    </row>
    <row r="2388" spans="1:1" x14ac:dyDescent="0.35">
      <c r="A2388" s="16" t="s">
        <v>4970</v>
      </c>
    </row>
    <row r="2389" spans="1:1" ht="29" x14ac:dyDescent="0.35">
      <c r="A2389" s="16" t="s">
        <v>4971</v>
      </c>
    </row>
    <row r="2390" spans="1:1" ht="29" x14ac:dyDescent="0.35">
      <c r="A2390" s="16" t="s">
        <v>4972</v>
      </c>
    </row>
    <row r="2391" spans="1:1" ht="29" x14ac:dyDescent="0.35">
      <c r="A2391" s="16" t="s">
        <v>4973</v>
      </c>
    </row>
    <row r="2392" spans="1:1" x14ac:dyDescent="0.35">
      <c r="A2392" s="16" t="s">
        <v>4974</v>
      </c>
    </row>
    <row r="2393" spans="1:1" x14ac:dyDescent="0.35">
      <c r="A2393" s="16" t="s">
        <v>4975</v>
      </c>
    </row>
    <row r="2394" spans="1:1" x14ac:dyDescent="0.35">
      <c r="A2394" s="16" t="s">
        <v>4976</v>
      </c>
    </row>
    <row r="2395" spans="1:1" ht="29" x14ac:dyDescent="0.35">
      <c r="A2395" s="16" t="s">
        <v>4977</v>
      </c>
    </row>
    <row r="2396" spans="1:1" x14ac:dyDescent="0.35">
      <c r="A2396" s="16" t="s">
        <v>4978</v>
      </c>
    </row>
    <row r="2397" spans="1:1" x14ac:dyDescent="0.35">
      <c r="A2397" s="16" t="s">
        <v>4979</v>
      </c>
    </row>
    <row r="2398" spans="1:1" ht="29" x14ac:dyDescent="0.35">
      <c r="A2398" s="16" t="s">
        <v>4980</v>
      </c>
    </row>
    <row r="2399" spans="1:1" ht="29" x14ac:dyDescent="0.35">
      <c r="A2399" s="16" t="s">
        <v>4981</v>
      </c>
    </row>
    <row r="2400" spans="1:1" ht="29" x14ac:dyDescent="0.35">
      <c r="A2400" s="16" t="s">
        <v>4982</v>
      </c>
    </row>
    <row r="2401" spans="1:1" x14ac:dyDescent="0.35">
      <c r="A2401" s="16" t="s">
        <v>4983</v>
      </c>
    </row>
    <row r="2402" spans="1:1" ht="29" x14ac:dyDescent="0.35">
      <c r="A2402" s="16" t="s">
        <v>4984</v>
      </c>
    </row>
    <row r="2403" spans="1:1" ht="29" x14ac:dyDescent="0.35">
      <c r="A2403" s="16" t="s">
        <v>4985</v>
      </c>
    </row>
    <row r="2404" spans="1:1" ht="29" x14ac:dyDescent="0.35">
      <c r="A2404" s="16" t="s">
        <v>4986</v>
      </c>
    </row>
    <row r="2405" spans="1:1" x14ac:dyDescent="0.35">
      <c r="A2405" s="16" t="s">
        <v>4987</v>
      </c>
    </row>
    <row r="2406" spans="1:1" x14ac:dyDescent="0.35">
      <c r="A2406" s="16" t="s">
        <v>4988</v>
      </c>
    </row>
    <row r="2407" spans="1:1" x14ac:dyDescent="0.35">
      <c r="A2407" s="16" t="s">
        <v>4989</v>
      </c>
    </row>
    <row r="2408" spans="1:1" ht="29" x14ac:dyDescent="0.35">
      <c r="A2408" s="16" t="s">
        <v>4990</v>
      </c>
    </row>
    <row r="2409" spans="1:1" x14ac:dyDescent="0.35">
      <c r="A2409" s="16" t="s">
        <v>4991</v>
      </c>
    </row>
    <row r="2410" spans="1:1" ht="29" x14ac:dyDescent="0.35">
      <c r="A2410" s="16" t="s">
        <v>4992</v>
      </c>
    </row>
    <row r="2411" spans="1:1" ht="29" x14ac:dyDescent="0.35">
      <c r="A2411" s="16" t="s">
        <v>4993</v>
      </c>
    </row>
    <row r="2412" spans="1:1" x14ac:dyDescent="0.35">
      <c r="A2412" s="16" t="s">
        <v>4994</v>
      </c>
    </row>
    <row r="2413" spans="1:1" ht="29" x14ac:dyDescent="0.35">
      <c r="A2413" s="16" t="s">
        <v>4995</v>
      </c>
    </row>
    <row r="2414" spans="1:1" x14ac:dyDescent="0.35">
      <c r="A2414" s="16" t="s">
        <v>4996</v>
      </c>
    </row>
    <row r="2415" spans="1:1" ht="29" x14ac:dyDescent="0.35">
      <c r="A2415" s="16" t="s">
        <v>4997</v>
      </c>
    </row>
    <row r="2416" spans="1:1" x14ac:dyDescent="0.35">
      <c r="A2416" s="16" t="s">
        <v>4998</v>
      </c>
    </row>
    <row r="2417" spans="1:1" x14ac:dyDescent="0.35">
      <c r="A2417" s="16" t="s">
        <v>4999</v>
      </c>
    </row>
    <row r="2418" spans="1:1" x14ac:dyDescent="0.35">
      <c r="A2418" s="16" t="s">
        <v>5000</v>
      </c>
    </row>
    <row r="2419" spans="1:1" x14ac:dyDescent="0.35">
      <c r="A2419" s="16" t="s">
        <v>5001</v>
      </c>
    </row>
    <row r="2420" spans="1:1" ht="29" x14ac:dyDescent="0.35">
      <c r="A2420" s="16" t="s">
        <v>5002</v>
      </c>
    </row>
    <row r="2421" spans="1:1" ht="29" x14ac:dyDescent="0.35">
      <c r="A2421" s="16" t="s">
        <v>5003</v>
      </c>
    </row>
    <row r="2422" spans="1:1" x14ac:dyDescent="0.35">
      <c r="A2422" s="16" t="s">
        <v>5004</v>
      </c>
    </row>
    <row r="2423" spans="1:1" x14ac:dyDescent="0.35">
      <c r="A2423" s="16" t="s">
        <v>5005</v>
      </c>
    </row>
    <row r="2424" spans="1:1" x14ac:dyDescent="0.35">
      <c r="A2424" s="16" t="s">
        <v>5006</v>
      </c>
    </row>
    <row r="2425" spans="1:1" x14ac:dyDescent="0.35">
      <c r="A2425" s="16" t="s">
        <v>5007</v>
      </c>
    </row>
    <row r="2426" spans="1:1" x14ac:dyDescent="0.35">
      <c r="A2426" s="16" t="s">
        <v>5008</v>
      </c>
    </row>
    <row r="2427" spans="1:1" ht="29" x14ac:dyDescent="0.35">
      <c r="A2427" s="16" t="s">
        <v>5009</v>
      </c>
    </row>
    <row r="2428" spans="1:1" x14ac:dyDescent="0.35">
      <c r="A2428" s="16" t="s">
        <v>5010</v>
      </c>
    </row>
    <row r="2429" spans="1:1" ht="29" x14ac:dyDescent="0.35">
      <c r="A2429" s="16" t="s">
        <v>5011</v>
      </c>
    </row>
    <row r="2430" spans="1:1" x14ac:dyDescent="0.35">
      <c r="A2430" s="16" t="s">
        <v>5012</v>
      </c>
    </row>
    <row r="2431" spans="1:1" x14ac:dyDescent="0.35">
      <c r="A2431" s="16" t="s">
        <v>5013</v>
      </c>
    </row>
    <row r="2432" spans="1:1" ht="29" x14ac:dyDescent="0.35">
      <c r="A2432" s="16" t="s">
        <v>5014</v>
      </c>
    </row>
    <row r="2433" spans="1:1" x14ac:dyDescent="0.35">
      <c r="A2433" s="16" t="s">
        <v>5015</v>
      </c>
    </row>
    <row r="2434" spans="1:1" x14ac:dyDescent="0.35">
      <c r="A2434" s="16" t="s">
        <v>5016</v>
      </c>
    </row>
    <row r="2435" spans="1:1" x14ac:dyDescent="0.35">
      <c r="A2435" s="16" t="s">
        <v>5017</v>
      </c>
    </row>
    <row r="2436" spans="1:1" x14ac:dyDescent="0.35">
      <c r="A2436" s="16" t="s">
        <v>5018</v>
      </c>
    </row>
    <row r="2437" spans="1:1" x14ac:dyDescent="0.35">
      <c r="A2437" s="16" t="s">
        <v>5019</v>
      </c>
    </row>
    <row r="2438" spans="1:1" x14ac:dyDescent="0.35">
      <c r="A2438" s="16" t="s">
        <v>5020</v>
      </c>
    </row>
    <row r="2439" spans="1:1" ht="29" x14ac:dyDescent="0.35">
      <c r="A2439" s="16" t="s">
        <v>5021</v>
      </c>
    </row>
    <row r="2440" spans="1:1" x14ac:dyDescent="0.35">
      <c r="A2440" s="16" t="s">
        <v>5022</v>
      </c>
    </row>
    <row r="2441" spans="1:1" x14ac:dyDescent="0.35">
      <c r="A2441" s="16" t="s">
        <v>5023</v>
      </c>
    </row>
    <row r="2442" spans="1:1" ht="29" x14ac:dyDescent="0.35">
      <c r="A2442" s="16" t="s">
        <v>5024</v>
      </c>
    </row>
    <row r="2443" spans="1:1" x14ac:dyDescent="0.35">
      <c r="A2443" s="16" t="s">
        <v>5025</v>
      </c>
    </row>
    <row r="2444" spans="1:1" ht="29" x14ac:dyDescent="0.35">
      <c r="A2444" s="16" t="s">
        <v>5026</v>
      </c>
    </row>
    <row r="2445" spans="1:1" x14ac:dyDescent="0.35">
      <c r="A2445" s="16" t="s">
        <v>5027</v>
      </c>
    </row>
    <row r="2446" spans="1:1" x14ac:dyDescent="0.35">
      <c r="A2446" s="16" t="s">
        <v>5028</v>
      </c>
    </row>
    <row r="2447" spans="1:1" x14ac:dyDescent="0.35">
      <c r="A2447" s="16" t="s">
        <v>5029</v>
      </c>
    </row>
    <row r="2448" spans="1:1" ht="29" x14ac:dyDescent="0.35">
      <c r="A2448" s="16" t="s">
        <v>5030</v>
      </c>
    </row>
    <row r="2449" spans="1:1" ht="29" x14ac:dyDescent="0.35">
      <c r="A2449" s="16" t="s">
        <v>5031</v>
      </c>
    </row>
    <row r="2450" spans="1:1" x14ac:dyDescent="0.35">
      <c r="A2450" s="16" t="s">
        <v>5032</v>
      </c>
    </row>
    <row r="2451" spans="1:1" x14ac:dyDescent="0.35">
      <c r="A2451" s="16" t="s">
        <v>5033</v>
      </c>
    </row>
    <row r="2452" spans="1:1" ht="29" x14ac:dyDescent="0.35">
      <c r="A2452" s="16" t="s">
        <v>5034</v>
      </c>
    </row>
    <row r="2453" spans="1:1" ht="29" x14ac:dyDescent="0.35">
      <c r="A2453" s="16" t="s">
        <v>5035</v>
      </c>
    </row>
    <row r="2454" spans="1:1" ht="29" x14ac:dyDescent="0.35">
      <c r="A2454" s="16" t="s">
        <v>5036</v>
      </c>
    </row>
    <row r="2455" spans="1:1" x14ac:dyDescent="0.35">
      <c r="A2455" s="16" t="s">
        <v>5037</v>
      </c>
    </row>
    <row r="2456" spans="1:1" x14ac:dyDescent="0.35">
      <c r="A2456" s="16" t="s">
        <v>5038</v>
      </c>
    </row>
    <row r="2457" spans="1:1" x14ac:dyDescent="0.35">
      <c r="A2457" s="16" t="s">
        <v>5039</v>
      </c>
    </row>
    <row r="2458" spans="1:1" ht="29" x14ac:dyDescent="0.35">
      <c r="A2458" s="16" t="s">
        <v>5040</v>
      </c>
    </row>
    <row r="2459" spans="1:1" ht="29" x14ac:dyDescent="0.35">
      <c r="A2459" s="16" t="s">
        <v>5041</v>
      </c>
    </row>
    <row r="2460" spans="1:1" x14ac:dyDescent="0.35">
      <c r="A2460" s="16" t="s">
        <v>5042</v>
      </c>
    </row>
    <row r="2461" spans="1:1" x14ac:dyDescent="0.35">
      <c r="A2461" s="16" t="s">
        <v>5043</v>
      </c>
    </row>
    <row r="2462" spans="1:1" x14ac:dyDescent="0.35">
      <c r="A2462" s="16" t="s">
        <v>5044</v>
      </c>
    </row>
    <row r="2463" spans="1:1" x14ac:dyDescent="0.35">
      <c r="A2463" s="16" t="s">
        <v>5045</v>
      </c>
    </row>
    <row r="2464" spans="1:1" x14ac:dyDescent="0.35">
      <c r="A2464" s="16" t="s">
        <v>5046</v>
      </c>
    </row>
    <row r="2465" spans="1:1" x14ac:dyDescent="0.35">
      <c r="A2465" s="16" t="s">
        <v>5047</v>
      </c>
    </row>
    <row r="2466" spans="1:1" ht="29" x14ac:dyDescent="0.35">
      <c r="A2466" s="16" t="s">
        <v>5048</v>
      </c>
    </row>
    <row r="2467" spans="1:1" x14ac:dyDescent="0.35">
      <c r="A2467" s="16" t="s">
        <v>5049</v>
      </c>
    </row>
    <row r="2468" spans="1:1" ht="29" x14ac:dyDescent="0.35">
      <c r="A2468" s="16" t="s">
        <v>5050</v>
      </c>
    </row>
    <row r="2469" spans="1:1" ht="29" x14ac:dyDescent="0.35">
      <c r="A2469" s="16" t="s">
        <v>5051</v>
      </c>
    </row>
    <row r="2470" spans="1:1" x14ac:dyDescent="0.35">
      <c r="A2470" s="16" t="s">
        <v>5052</v>
      </c>
    </row>
    <row r="2471" spans="1:1" x14ac:dyDescent="0.35">
      <c r="A2471" s="16" t="s">
        <v>5053</v>
      </c>
    </row>
    <row r="2472" spans="1:1" x14ac:dyDescent="0.35">
      <c r="A2472" s="16" t="s">
        <v>5054</v>
      </c>
    </row>
    <row r="2473" spans="1:1" x14ac:dyDescent="0.35">
      <c r="A2473" s="16" t="s">
        <v>5055</v>
      </c>
    </row>
    <row r="2474" spans="1:1" x14ac:dyDescent="0.35">
      <c r="A2474" s="16" t="s">
        <v>5056</v>
      </c>
    </row>
    <row r="2475" spans="1:1" x14ac:dyDescent="0.35">
      <c r="A2475" s="16" t="s">
        <v>5057</v>
      </c>
    </row>
    <row r="2476" spans="1:1" ht="29" x14ac:dyDescent="0.35">
      <c r="A2476" s="16" t="s">
        <v>5058</v>
      </c>
    </row>
    <row r="2477" spans="1:1" ht="29" x14ac:dyDescent="0.35">
      <c r="A2477" s="16" t="s">
        <v>5059</v>
      </c>
    </row>
    <row r="2478" spans="1:1" ht="29" x14ac:dyDescent="0.35">
      <c r="A2478" s="16" t="s">
        <v>5060</v>
      </c>
    </row>
    <row r="2479" spans="1:1" ht="29" x14ac:dyDescent="0.35">
      <c r="A2479" s="16" t="s">
        <v>5061</v>
      </c>
    </row>
    <row r="2480" spans="1:1" ht="29" x14ac:dyDescent="0.35">
      <c r="A2480" s="16" t="s">
        <v>5062</v>
      </c>
    </row>
    <row r="2481" spans="1:1" ht="29" x14ac:dyDescent="0.35">
      <c r="A2481" s="16" t="s">
        <v>5063</v>
      </c>
    </row>
    <row r="2482" spans="1:1" x14ac:dyDescent="0.35">
      <c r="A2482" s="16" t="s">
        <v>5064</v>
      </c>
    </row>
    <row r="2483" spans="1:1" ht="29" x14ac:dyDescent="0.35">
      <c r="A2483" s="16" t="s">
        <v>5065</v>
      </c>
    </row>
    <row r="2484" spans="1:1" ht="29" x14ac:dyDescent="0.35">
      <c r="A2484" s="16" t="s">
        <v>5066</v>
      </c>
    </row>
    <row r="2485" spans="1:1" ht="29" x14ac:dyDescent="0.35">
      <c r="A2485" s="16" t="s">
        <v>5067</v>
      </c>
    </row>
    <row r="2486" spans="1:1" x14ac:dyDescent="0.35">
      <c r="A2486" s="16" t="s">
        <v>5068</v>
      </c>
    </row>
    <row r="2487" spans="1:1" x14ac:dyDescent="0.35">
      <c r="A2487" s="16" t="s">
        <v>5069</v>
      </c>
    </row>
    <row r="2488" spans="1:1" ht="29" x14ac:dyDescent="0.35">
      <c r="A2488" s="16" t="s">
        <v>5070</v>
      </c>
    </row>
    <row r="2489" spans="1:1" x14ac:dyDescent="0.35">
      <c r="A2489" s="16" t="s">
        <v>5071</v>
      </c>
    </row>
    <row r="2490" spans="1:1" x14ac:dyDescent="0.35">
      <c r="A2490" s="16" t="s">
        <v>5072</v>
      </c>
    </row>
    <row r="2491" spans="1:1" ht="29" x14ac:dyDescent="0.35">
      <c r="A2491" s="16" t="s">
        <v>5073</v>
      </c>
    </row>
    <row r="2492" spans="1:1" x14ac:dyDescent="0.35">
      <c r="A2492" s="16" t="s">
        <v>5074</v>
      </c>
    </row>
    <row r="2493" spans="1:1" x14ac:dyDescent="0.35">
      <c r="A2493" s="16" t="s">
        <v>5075</v>
      </c>
    </row>
    <row r="2494" spans="1:1" x14ac:dyDescent="0.35">
      <c r="A2494" s="16" t="s">
        <v>5076</v>
      </c>
    </row>
    <row r="2495" spans="1:1" x14ac:dyDescent="0.35">
      <c r="A2495" s="16" t="s">
        <v>5077</v>
      </c>
    </row>
    <row r="2496" spans="1:1" x14ac:dyDescent="0.35">
      <c r="A2496" s="16" t="s">
        <v>5078</v>
      </c>
    </row>
    <row r="2497" spans="1:1" x14ac:dyDescent="0.35">
      <c r="A2497" s="16" t="s">
        <v>5079</v>
      </c>
    </row>
    <row r="2498" spans="1:1" ht="29" x14ac:dyDescent="0.35">
      <c r="A2498" s="16" t="s">
        <v>5080</v>
      </c>
    </row>
    <row r="2499" spans="1:1" x14ac:dyDescent="0.35">
      <c r="A2499" s="16" t="s">
        <v>5081</v>
      </c>
    </row>
    <row r="2500" spans="1:1" ht="29" x14ac:dyDescent="0.35">
      <c r="A2500" s="16" t="s">
        <v>5082</v>
      </c>
    </row>
    <row r="2501" spans="1:1" x14ac:dyDescent="0.35">
      <c r="A2501" s="16" t="s">
        <v>5083</v>
      </c>
    </row>
    <row r="2502" spans="1:1" x14ac:dyDescent="0.35">
      <c r="A2502" s="16" t="s">
        <v>5084</v>
      </c>
    </row>
    <row r="2503" spans="1:1" x14ac:dyDescent="0.35">
      <c r="A2503" s="16" t="s">
        <v>5085</v>
      </c>
    </row>
    <row r="2504" spans="1:1" ht="29" x14ac:dyDescent="0.35">
      <c r="A2504" s="16" t="s">
        <v>5086</v>
      </c>
    </row>
    <row r="2505" spans="1:1" x14ac:dyDescent="0.35">
      <c r="A2505" s="16" t="s">
        <v>5087</v>
      </c>
    </row>
    <row r="2506" spans="1:1" x14ac:dyDescent="0.35">
      <c r="A2506" s="16" t="s">
        <v>5088</v>
      </c>
    </row>
    <row r="2507" spans="1:1" x14ac:dyDescent="0.35">
      <c r="A2507" s="16" t="s">
        <v>5089</v>
      </c>
    </row>
    <row r="2508" spans="1:1" ht="29" x14ac:dyDescent="0.35">
      <c r="A2508" s="16" t="s">
        <v>5090</v>
      </c>
    </row>
    <row r="2509" spans="1:1" x14ac:dyDescent="0.35">
      <c r="A2509" s="16" t="s">
        <v>5091</v>
      </c>
    </row>
    <row r="2510" spans="1:1" ht="29" x14ac:dyDescent="0.35">
      <c r="A2510" s="16" t="s">
        <v>5092</v>
      </c>
    </row>
    <row r="2511" spans="1:1" ht="29" x14ac:dyDescent="0.35">
      <c r="A2511" s="16" t="s">
        <v>5093</v>
      </c>
    </row>
    <row r="2512" spans="1:1" ht="29" x14ac:dyDescent="0.35">
      <c r="A2512" s="16" t="s">
        <v>5094</v>
      </c>
    </row>
    <row r="2513" spans="1:1" ht="29" x14ac:dyDescent="0.35">
      <c r="A2513" s="16" t="s">
        <v>5095</v>
      </c>
    </row>
    <row r="2514" spans="1:1" x14ac:dyDescent="0.35">
      <c r="A2514" s="16" t="s">
        <v>5096</v>
      </c>
    </row>
    <row r="2515" spans="1:1" ht="29" x14ac:dyDescent="0.35">
      <c r="A2515" s="16" t="s">
        <v>5097</v>
      </c>
    </row>
    <row r="2516" spans="1:1" x14ac:dyDescent="0.35">
      <c r="A2516" s="16" t="s">
        <v>5098</v>
      </c>
    </row>
    <row r="2517" spans="1:1" ht="29" x14ac:dyDescent="0.35">
      <c r="A2517" s="16" t="s">
        <v>5099</v>
      </c>
    </row>
    <row r="2518" spans="1:1" ht="29" x14ac:dyDescent="0.35">
      <c r="A2518" s="16" t="s">
        <v>5100</v>
      </c>
    </row>
    <row r="2519" spans="1:1" x14ac:dyDescent="0.35">
      <c r="A2519" s="16" t="s">
        <v>5101</v>
      </c>
    </row>
    <row r="2520" spans="1:1" x14ac:dyDescent="0.35">
      <c r="A2520" s="16" t="s">
        <v>5102</v>
      </c>
    </row>
    <row r="2521" spans="1:1" ht="29" x14ac:dyDescent="0.35">
      <c r="A2521" s="16" t="s">
        <v>5103</v>
      </c>
    </row>
    <row r="2522" spans="1:1" x14ac:dyDescent="0.35">
      <c r="A2522" s="16" t="s">
        <v>5104</v>
      </c>
    </row>
    <row r="2523" spans="1:1" x14ac:dyDescent="0.35">
      <c r="A2523" s="16" t="s">
        <v>5105</v>
      </c>
    </row>
    <row r="2524" spans="1:1" x14ac:dyDescent="0.35">
      <c r="A2524" s="16" t="s">
        <v>5106</v>
      </c>
    </row>
    <row r="2525" spans="1:1" x14ac:dyDescent="0.35">
      <c r="A2525" s="16" t="s">
        <v>5107</v>
      </c>
    </row>
    <row r="2526" spans="1:1" ht="29" x14ac:dyDescent="0.35">
      <c r="A2526" s="16" t="s">
        <v>5108</v>
      </c>
    </row>
    <row r="2527" spans="1:1" ht="29" x14ac:dyDescent="0.35">
      <c r="A2527" s="16" t="s">
        <v>5109</v>
      </c>
    </row>
    <row r="2528" spans="1:1" x14ac:dyDescent="0.35">
      <c r="A2528" s="16" t="s">
        <v>5110</v>
      </c>
    </row>
    <row r="2529" spans="1:1" ht="29" x14ac:dyDescent="0.35">
      <c r="A2529" s="16" t="s">
        <v>5111</v>
      </c>
    </row>
    <row r="2530" spans="1:1" x14ac:dyDescent="0.35">
      <c r="A2530" s="16" t="s">
        <v>5112</v>
      </c>
    </row>
    <row r="2531" spans="1:1" x14ac:dyDescent="0.35">
      <c r="A2531" s="16" t="s">
        <v>5113</v>
      </c>
    </row>
    <row r="2532" spans="1:1" ht="29" x14ac:dyDescent="0.35">
      <c r="A2532" s="16" t="s">
        <v>5114</v>
      </c>
    </row>
    <row r="2533" spans="1:1" x14ac:dyDescent="0.35">
      <c r="A2533" s="16" t="s">
        <v>5115</v>
      </c>
    </row>
    <row r="2534" spans="1:1" ht="29" x14ac:dyDescent="0.35">
      <c r="A2534" s="16" t="s">
        <v>5116</v>
      </c>
    </row>
    <row r="2535" spans="1:1" ht="29" x14ac:dyDescent="0.35">
      <c r="A2535" s="16" t="s">
        <v>5117</v>
      </c>
    </row>
    <row r="2536" spans="1:1" x14ac:dyDescent="0.35">
      <c r="A2536" s="16" t="s">
        <v>5118</v>
      </c>
    </row>
    <row r="2537" spans="1:1" ht="29" x14ac:dyDescent="0.35">
      <c r="A2537" s="16" t="s">
        <v>5119</v>
      </c>
    </row>
    <row r="2538" spans="1:1" x14ac:dyDescent="0.35">
      <c r="A2538" s="16" t="s">
        <v>5120</v>
      </c>
    </row>
    <row r="2539" spans="1:1" ht="29" x14ac:dyDescent="0.35">
      <c r="A2539" s="16" t="s">
        <v>5121</v>
      </c>
    </row>
    <row r="2540" spans="1:1" x14ac:dyDescent="0.35">
      <c r="A2540" s="16" t="s">
        <v>5122</v>
      </c>
    </row>
    <row r="2541" spans="1:1" x14ac:dyDescent="0.35">
      <c r="A2541" s="16" t="s">
        <v>5123</v>
      </c>
    </row>
    <row r="2542" spans="1:1" ht="29" x14ac:dyDescent="0.35">
      <c r="A2542" s="16" t="s">
        <v>5124</v>
      </c>
    </row>
    <row r="2543" spans="1:1" x14ac:dyDescent="0.35">
      <c r="A2543" s="16" t="s">
        <v>5125</v>
      </c>
    </row>
    <row r="2544" spans="1:1" x14ac:dyDescent="0.35">
      <c r="A2544" s="16" t="s">
        <v>5126</v>
      </c>
    </row>
    <row r="2545" spans="1:1" ht="29" x14ac:dyDescent="0.35">
      <c r="A2545" s="16" t="s">
        <v>5127</v>
      </c>
    </row>
    <row r="2546" spans="1:1" x14ac:dyDescent="0.35">
      <c r="A2546" s="16" t="s">
        <v>5128</v>
      </c>
    </row>
    <row r="2547" spans="1:1" ht="29" x14ac:dyDescent="0.35">
      <c r="A2547" s="16" t="s">
        <v>5129</v>
      </c>
    </row>
    <row r="2548" spans="1:1" x14ac:dyDescent="0.35">
      <c r="A2548" s="16" t="s">
        <v>5130</v>
      </c>
    </row>
    <row r="2549" spans="1:1" ht="29" x14ac:dyDescent="0.35">
      <c r="A2549" s="16" t="s">
        <v>5131</v>
      </c>
    </row>
    <row r="2550" spans="1:1" ht="29" x14ac:dyDescent="0.35">
      <c r="A2550" s="16" t="s">
        <v>5132</v>
      </c>
    </row>
    <row r="2551" spans="1:1" ht="29" x14ac:dyDescent="0.35">
      <c r="A2551" s="16" t="s">
        <v>5133</v>
      </c>
    </row>
    <row r="2552" spans="1:1" x14ac:dyDescent="0.35">
      <c r="A2552" s="16" t="s">
        <v>5134</v>
      </c>
    </row>
    <row r="2553" spans="1:1" ht="29" x14ac:dyDescent="0.35">
      <c r="A2553" s="16" t="s">
        <v>5135</v>
      </c>
    </row>
    <row r="2554" spans="1:1" ht="29" x14ac:dyDescent="0.35">
      <c r="A2554" s="16" t="s">
        <v>5136</v>
      </c>
    </row>
    <row r="2555" spans="1:1" x14ac:dyDescent="0.35">
      <c r="A2555" s="16" t="s">
        <v>5137</v>
      </c>
    </row>
    <row r="2556" spans="1:1" x14ac:dyDescent="0.35">
      <c r="A2556" s="16" t="s">
        <v>5138</v>
      </c>
    </row>
    <row r="2557" spans="1:1" ht="29" x14ac:dyDescent="0.35">
      <c r="A2557" s="16" t="s">
        <v>5139</v>
      </c>
    </row>
    <row r="2558" spans="1:1" x14ac:dyDescent="0.35">
      <c r="A2558" s="16" t="s">
        <v>5140</v>
      </c>
    </row>
    <row r="2559" spans="1:1" x14ac:dyDescent="0.35">
      <c r="A2559" s="16" t="s">
        <v>5141</v>
      </c>
    </row>
    <row r="2560" spans="1:1" ht="29" x14ac:dyDescent="0.35">
      <c r="A2560" s="16" t="s">
        <v>5142</v>
      </c>
    </row>
    <row r="2561" spans="1:1" x14ac:dyDescent="0.35">
      <c r="A2561" s="16" t="s">
        <v>5143</v>
      </c>
    </row>
    <row r="2562" spans="1:1" x14ac:dyDescent="0.35">
      <c r="A2562" s="16" t="s">
        <v>5144</v>
      </c>
    </row>
    <row r="2563" spans="1:1" x14ac:dyDescent="0.35">
      <c r="A2563" s="16" t="s">
        <v>5145</v>
      </c>
    </row>
    <row r="2564" spans="1:1" x14ac:dyDescent="0.35">
      <c r="A2564" s="16" t="s">
        <v>5146</v>
      </c>
    </row>
    <row r="2565" spans="1:1" x14ac:dyDescent="0.35">
      <c r="A2565" s="16" t="s">
        <v>5147</v>
      </c>
    </row>
    <row r="2566" spans="1:1" x14ac:dyDescent="0.35">
      <c r="A2566" s="16" t="s">
        <v>5148</v>
      </c>
    </row>
    <row r="2567" spans="1:1" x14ac:dyDescent="0.35">
      <c r="A2567" s="16" t="s">
        <v>5149</v>
      </c>
    </row>
    <row r="2568" spans="1:1" ht="29" x14ac:dyDescent="0.35">
      <c r="A2568" s="16" t="s">
        <v>5150</v>
      </c>
    </row>
    <row r="2569" spans="1:1" x14ac:dyDescent="0.35">
      <c r="A2569" s="16" t="s">
        <v>5151</v>
      </c>
    </row>
    <row r="2570" spans="1:1" ht="29" x14ac:dyDescent="0.35">
      <c r="A2570" s="16" t="s">
        <v>5152</v>
      </c>
    </row>
    <row r="2571" spans="1:1" x14ac:dyDescent="0.35">
      <c r="A2571" s="16" t="s">
        <v>5153</v>
      </c>
    </row>
    <row r="2572" spans="1:1" ht="29" x14ac:dyDescent="0.35">
      <c r="A2572" s="16" t="s">
        <v>5154</v>
      </c>
    </row>
    <row r="2573" spans="1:1" x14ac:dyDescent="0.35">
      <c r="A2573" s="16" t="s">
        <v>5155</v>
      </c>
    </row>
    <row r="2574" spans="1:1" ht="29" x14ac:dyDescent="0.35">
      <c r="A2574" s="16" t="s">
        <v>5156</v>
      </c>
    </row>
    <row r="2575" spans="1:1" x14ac:dyDescent="0.35">
      <c r="A2575" s="16" t="s">
        <v>5157</v>
      </c>
    </row>
    <row r="2576" spans="1:1" x14ac:dyDescent="0.35">
      <c r="A2576" s="16" t="s">
        <v>5158</v>
      </c>
    </row>
    <row r="2577" spans="1:1" ht="29" x14ac:dyDescent="0.35">
      <c r="A2577" s="16" t="s">
        <v>5159</v>
      </c>
    </row>
    <row r="2578" spans="1:1" x14ac:dyDescent="0.35">
      <c r="A2578" s="16" t="s">
        <v>5160</v>
      </c>
    </row>
    <row r="2579" spans="1:1" x14ac:dyDescent="0.35">
      <c r="A2579" s="16" t="s">
        <v>5161</v>
      </c>
    </row>
    <row r="2580" spans="1:1" ht="29" x14ac:dyDescent="0.35">
      <c r="A2580" s="16" t="s">
        <v>5162</v>
      </c>
    </row>
    <row r="2581" spans="1:1" ht="29" x14ac:dyDescent="0.35">
      <c r="A2581" s="16" t="s">
        <v>5163</v>
      </c>
    </row>
    <row r="2582" spans="1:1" x14ac:dyDescent="0.35">
      <c r="A2582" s="16" t="s">
        <v>5164</v>
      </c>
    </row>
    <row r="2583" spans="1:1" x14ac:dyDescent="0.35">
      <c r="A2583" s="16" t="s">
        <v>5165</v>
      </c>
    </row>
    <row r="2584" spans="1:1" ht="29" x14ac:dyDescent="0.35">
      <c r="A2584" s="16" t="s">
        <v>5166</v>
      </c>
    </row>
    <row r="2585" spans="1:1" x14ac:dyDescent="0.35">
      <c r="A2585" s="16" t="s">
        <v>5167</v>
      </c>
    </row>
    <row r="2586" spans="1:1" x14ac:dyDescent="0.35">
      <c r="A2586" s="16" t="s">
        <v>5168</v>
      </c>
    </row>
    <row r="2587" spans="1:1" ht="29" x14ac:dyDescent="0.35">
      <c r="A2587" s="16" t="s">
        <v>5169</v>
      </c>
    </row>
    <row r="2588" spans="1:1" x14ac:dyDescent="0.35">
      <c r="A2588" s="16" t="s">
        <v>5170</v>
      </c>
    </row>
    <row r="2589" spans="1:1" x14ac:dyDescent="0.35">
      <c r="A2589" s="16" t="s">
        <v>5171</v>
      </c>
    </row>
    <row r="2590" spans="1:1" ht="29" x14ac:dyDescent="0.35">
      <c r="A2590" s="16" t="s">
        <v>5172</v>
      </c>
    </row>
    <row r="2591" spans="1:1" x14ac:dyDescent="0.35">
      <c r="A2591" s="16" t="s">
        <v>5173</v>
      </c>
    </row>
    <row r="2592" spans="1:1" x14ac:dyDescent="0.35">
      <c r="A2592" s="16" t="s">
        <v>5174</v>
      </c>
    </row>
    <row r="2593" spans="1:1" ht="29" x14ac:dyDescent="0.35">
      <c r="A2593" s="16" t="s">
        <v>5175</v>
      </c>
    </row>
    <row r="2594" spans="1:1" x14ac:dyDescent="0.35">
      <c r="A2594" s="16" t="s">
        <v>5176</v>
      </c>
    </row>
    <row r="2595" spans="1:1" ht="29" x14ac:dyDescent="0.35">
      <c r="A2595" s="16" t="s">
        <v>5177</v>
      </c>
    </row>
    <row r="2596" spans="1:1" x14ac:dyDescent="0.35">
      <c r="A2596" s="16" t="s">
        <v>5178</v>
      </c>
    </row>
    <row r="2597" spans="1:1" x14ac:dyDescent="0.35">
      <c r="A2597" s="16" t="s">
        <v>5179</v>
      </c>
    </row>
    <row r="2598" spans="1:1" ht="29" x14ac:dyDescent="0.35">
      <c r="A2598" s="16" t="s">
        <v>5180</v>
      </c>
    </row>
    <row r="2599" spans="1:1" x14ac:dyDescent="0.35">
      <c r="A2599" s="16" t="s">
        <v>5181</v>
      </c>
    </row>
    <row r="2600" spans="1:1" ht="29" x14ac:dyDescent="0.35">
      <c r="A2600" s="16" t="s">
        <v>5182</v>
      </c>
    </row>
    <row r="2601" spans="1:1" ht="29" x14ac:dyDescent="0.35">
      <c r="A2601" s="16" t="s">
        <v>5183</v>
      </c>
    </row>
    <row r="2602" spans="1:1" x14ac:dyDescent="0.35">
      <c r="A2602" s="16" t="s">
        <v>5184</v>
      </c>
    </row>
    <row r="2603" spans="1:1" x14ac:dyDescent="0.35">
      <c r="A2603" s="16" t="s">
        <v>5185</v>
      </c>
    </row>
    <row r="2604" spans="1:1" x14ac:dyDescent="0.35">
      <c r="A2604" s="16" t="s">
        <v>5186</v>
      </c>
    </row>
    <row r="2605" spans="1:1" x14ac:dyDescent="0.35">
      <c r="A2605" s="16" t="s">
        <v>5187</v>
      </c>
    </row>
    <row r="2606" spans="1:1" x14ac:dyDescent="0.35">
      <c r="A2606" s="16" t="s">
        <v>5188</v>
      </c>
    </row>
    <row r="2607" spans="1:1" ht="29" x14ac:dyDescent="0.35">
      <c r="A2607" s="16" t="s">
        <v>5189</v>
      </c>
    </row>
    <row r="2608" spans="1:1" x14ac:dyDescent="0.35">
      <c r="A2608" s="16" t="s">
        <v>5190</v>
      </c>
    </row>
    <row r="2609" spans="1:1" ht="29" x14ac:dyDescent="0.35">
      <c r="A2609" s="16" t="s">
        <v>5191</v>
      </c>
    </row>
    <row r="2610" spans="1:1" x14ac:dyDescent="0.35">
      <c r="A2610" s="16" t="s">
        <v>5192</v>
      </c>
    </row>
    <row r="2611" spans="1:1" x14ac:dyDescent="0.35">
      <c r="A2611" s="16" t="s">
        <v>5193</v>
      </c>
    </row>
    <row r="2612" spans="1:1" x14ac:dyDescent="0.35">
      <c r="A2612" s="16" t="s">
        <v>5194</v>
      </c>
    </row>
    <row r="2613" spans="1:1" x14ac:dyDescent="0.35">
      <c r="A2613" s="16" t="s">
        <v>5195</v>
      </c>
    </row>
    <row r="2614" spans="1:1" ht="29" x14ac:dyDescent="0.35">
      <c r="A2614" s="16" t="s">
        <v>5196</v>
      </c>
    </row>
    <row r="2615" spans="1:1" x14ac:dyDescent="0.35">
      <c r="A2615" s="16" t="s">
        <v>5197</v>
      </c>
    </row>
    <row r="2616" spans="1:1" x14ac:dyDescent="0.35">
      <c r="A2616" s="16" t="s">
        <v>5198</v>
      </c>
    </row>
    <row r="2617" spans="1:1" ht="29" x14ac:dyDescent="0.35">
      <c r="A2617" s="16" t="s">
        <v>5199</v>
      </c>
    </row>
    <row r="2618" spans="1:1" ht="29" x14ac:dyDescent="0.35">
      <c r="A2618" s="16" t="s">
        <v>5200</v>
      </c>
    </row>
    <row r="2619" spans="1:1" ht="29" x14ac:dyDescent="0.35">
      <c r="A2619" s="16" t="s">
        <v>5201</v>
      </c>
    </row>
    <row r="2620" spans="1:1" x14ac:dyDescent="0.35">
      <c r="A2620" s="16" t="s">
        <v>5202</v>
      </c>
    </row>
    <row r="2621" spans="1:1" x14ac:dyDescent="0.35">
      <c r="A2621" s="16" t="s">
        <v>5203</v>
      </c>
    </row>
    <row r="2622" spans="1:1" x14ac:dyDescent="0.35">
      <c r="A2622" s="16" t="s">
        <v>5204</v>
      </c>
    </row>
    <row r="2623" spans="1:1" x14ac:dyDescent="0.35">
      <c r="A2623" s="16" t="s">
        <v>5205</v>
      </c>
    </row>
    <row r="2624" spans="1:1" x14ac:dyDescent="0.35">
      <c r="A2624" s="16" t="s">
        <v>5206</v>
      </c>
    </row>
    <row r="2625" spans="1:1" x14ac:dyDescent="0.35">
      <c r="A2625" s="16" t="s">
        <v>5207</v>
      </c>
    </row>
    <row r="2626" spans="1:1" ht="29" x14ac:dyDescent="0.35">
      <c r="A2626" s="16" t="s">
        <v>5208</v>
      </c>
    </row>
    <row r="2627" spans="1:1" ht="29" x14ac:dyDescent="0.35">
      <c r="A2627" s="16" t="s">
        <v>5209</v>
      </c>
    </row>
    <row r="2628" spans="1:1" ht="29" x14ac:dyDescent="0.35">
      <c r="A2628" s="16" t="s">
        <v>5210</v>
      </c>
    </row>
    <row r="2629" spans="1:1" ht="29" x14ac:dyDescent="0.35">
      <c r="A2629" s="16" t="s">
        <v>5211</v>
      </c>
    </row>
    <row r="2630" spans="1:1" x14ac:dyDescent="0.35">
      <c r="A2630" s="16" t="s">
        <v>5212</v>
      </c>
    </row>
    <row r="2631" spans="1:1" x14ac:dyDescent="0.35">
      <c r="A2631" s="16" t="s">
        <v>5213</v>
      </c>
    </row>
    <row r="2632" spans="1:1" x14ac:dyDescent="0.35">
      <c r="A2632" s="16" t="s">
        <v>5214</v>
      </c>
    </row>
    <row r="2633" spans="1:1" ht="29" x14ac:dyDescent="0.35">
      <c r="A2633" s="16" t="s">
        <v>5215</v>
      </c>
    </row>
    <row r="2634" spans="1:1" x14ac:dyDescent="0.35">
      <c r="A2634" s="16" t="s">
        <v>5216</v>
      </c>
    </row>
    <row r="2635" spans="1:1" ht="29" x14ac:dyDescent="0.35">
      <c r="A2635" s="16" t="s">
        <v>5217</v>
      </c>
    </row>
    <row r="2636" spans="1:1" x14ac:dyDescent="0.35">
      <c r="A2636" s="16" t="s">
        <v>5218</v>
      </c>
    </row>
    <row r="2637" spans="1:1" ht="29" x14ac:dyDescent="0.35">
      <c r="A2637" s="16" t="s">
        <v>5219</v>
      </c>
    </row>
    <row r="2638" spans="1:1" ht="29" x14ac:dyDescent="0.35">
      <c r="A2638" s="16" t="s">
        <v>5220</v>
      </c>
    </row>
    <row r="2639" spans="1:1" x14ac:dyDescent="0.35">
      <c r="A2639" s="16" t="s">
        <v>5221</v>
      </c>
    </row>
    <row r="2640" spans="1:1" x14ac:dyDescent="0.35">
      <c r="A2640" s="16" t="s">
        <v>5222</v>
      </c>
    </row>
    <row r="2641" spans="1:1" ht="29" x14ac:dyDescent="0.35">
      <c r="A2641" s="16" t="s">
        <v>5223</v>
      </c>
    </row>
    <row r="2642" spans="1:1" x14ac:dyDescent="0.35">
      <c r="A2642" s="16" t="s">
        <v>5224</v>
      </c>
    </row>
    <row r="2643" spans="1:1" x14ac:dyDescent="0.35">
      <c r="A2643" s="16" t="s">
        <v>5225</v>
      </c>
    </row>
    <row r="2644" spans="1:1" ht="29" x14ac:dyDescent="0.35">
      <c r="A2644" s="16" t="s">
        <v>5226</v>
      </c>
    </row>
    <row r="2645" spans="1:1" ht="29" x14ac:dyDescent="0.35">
      <c r="A2645" s="16" t="s">
        <v>5227</v>
      </c>
    </row>
    <row r="2646" spans="1:1" x14ac:dyDescent="0.35">
      <c r="A2646" s="16" t="s">
        <v>5228</v>
      </c>
    </row>
    <row r="2647" spans="1:1" x14ac:dyDescent="0.35">
      <c r="A2647" s="16" t="s">
        <v>5229</v>
      </c>
    </row>
    <row r="2648" spans="1:1" x14ac:dyDescent="0.35">
      <c r="A2648" s="16" t="s">
        <v>5230</v>
      </c>
    </row>
    <row r="2649" spans="1:1" ht="29" x14ac:dyDescent="0.35">
      <c r="A2649" s="16" t="s">
        <v>5231</v>
      </c>
    </row>
    <row r="2650" spans="1:1" ht="29" x14ac:dyDescent="0.35">
      <c r="A2650" s="16" t="s">
        <v>5232</v>
      </c>
    </row>
    <row r="2651" spans="1:1" x14ac:dyDescent="0.35">
      <c r="A2651" s="16" t="s">
        <v>5233</v>
      </c>
    </row>
    <row r="2652" spans="1:1" x14ac:dyDescent="0.35">
      <c r="A2652" s="16" t="s">
        <v>5234</v>
      </c>
    </row>
    <row r="2653" spans="1:1" x14ac:dyDescent="0.35">
      <c r="A2653" s="16" t="s">
        <v>5235</v>
      </c>
    </row>
    <row r="2654" spans="1:1" x14ac:dyDescent="0.35">
      <c r="A2654" s="16" t="s">
        <v>5236</v>
      </c>
    </row>
    <row r="2655" spans="1:1" ht="29" x14ac:dyDescent="0.35">
      <c r="A2655" s="16" t="s">
        <v>5237</v>
      </c>
    </row>
    <row r="2656" spans="1:1" x14ac:dyDescent="0.35">
      <c r="A2656" s="16" t="s">
        <v>5238</v>
      </c>
    </row>
    <row r="2657" spans="1:1" x14ac:dyDescent="0.35">
      <c r="A2657" s="16" t="s">
        <v>5239</v>
      </c>
    </row>
    <row r="2658" spans="1:1" ht="29" x14ac:dyDescent="0.35">
      <c r="A2658" s="16" t="s">
        <v>5240</v>
      </c>
    </row>
    <row r="2659" spans="1:1" ht="29" x14ac:dyDescent="0.35">
      <c r="A2659" s="16" t="s">
        <v>5241</v>
      </c>
    </row>
    <row r="2660" spans="1:1" x14ac:dyDescent="0.35">
      <c r="A2660" s="16" t="s">
        <v>5242</v>
      </c>
    </row>
    <row r="2661" spans="1:1" ht="29" x14ac:dyDescent="0.35">
      <c r="A2661" s="16" t="s">
        <v>5243</v>
      </c>
    </row>
    <row r="2662" spans="1:1" ht="29" x14ac:dyDescent="0.35">
      <c r="A2662" s="16" t="s">
        <v>5244</v>
      </c>
    </row>
    <row r="2663" spans="1:1" x14ac:dyDescent="0.35">
      <c r="A2663" s="16" t="s">
        <v>5245</v>
      </c>
    </row>
    <row r="2664" spans="1:1" ht="29" x14ac:dyDescent="0.35">
      <c r="A2664" s="16" t="s">
        <v>5246</v>
      </c>
    </row>
    <row r="2665" spans="1:1" ht="29" x14ac:dyDescent="0.35">
      <c r="A2665" s="16" t="s">
        <v>5247</v>
      </c>
    </row>
    <row r="2666" spans="1:1" ht="29" x14ac:dyDescent="0.35">
      <c r="A2666" s="16" t="s">
        <v>5248</v>
      </c>
    </row>
    <row r="2667" spans="1:1" ht="29" x14ac:dyDescent="0.35">
      <c r="A2667" s="16" t="s">
        <v>5249</v>
      </c>
    </row>
    <row r="2668" spans="1:1" x14ac:dyDescent="0.35">
      <c r="A2668" s="16" t="s">
        <v>5250</v>
      </c>
    </row>
    <row r="2669" spans="1:1" x14ac:dyDescent="0.35">
      <c r="A2669" s="16" t="s">
        <v>5251</v>
      </c>
    </row>
    <row r="2670" spans="1:1" ht="29" x14ac:dyDescent="0.35">
      <c r="A2670" s="16" t="s">
        <v>5252</v>
      </c>
    </row>
    <row r="2671" spans="1:1" x14ac:dyDescent="0.35">
      <c r="A2671" s="16" t="s">
        <v>5253</v>
      </c>
    </row>
    <row r="2672" spans="1:1" ht="29" x14ac:dyDescent="0.35">
      <c r="A2672" s="16" t="s">
        <v>5254</v>
      </c>
    </row>
    <row r="2673" spans="1:1" ht="29" x14ac:dyDescent="0.35">
      <c r="A2673" s="16" t="s">
        <v>5255</v>
      </c>
    </row>
    <row r="2674" spans="1:1" ht="29" x14ac:dyDescent="0.35">
      <c r="A2674" s="16" t="s">
        <v>5256</v>
      </c>
    </row>
    <row r="2675" spans="1:1" ht="29" x14ac:dyDescent="0.35">
      <c r="A2675" s="16" t="s">
        <v>5257</v>
      </c>
    </row>
    <row r="2676" spans="1:1" x14ac:dyDescent="0.35">
      <c r="A2676" s="16" t="s">
        <v>5258</v>
      </c>
    </row>
    <row r="2677" spans="1:1" x14ac:dyDescent="0.35">
      <c r="A2677" s="16" t="s">
        <v>5259</v>
      </c>
    </row>
    <row r="2678" spans="1:1" ht="29" x14ac:dyDescent="0.35">
      <c r="A2678" s="16" t="s">
        <v>5260</v>
      </c>
    </row>
    <row r="2679" spans="1:1" x14ac:dyDescent="0.35">
      <c r="A2679" s="16" t="s">
        <v>5261</v>
      </c>
    </row>
    <row r="2680" spans="1:1" x14ac:dyDescent="0.35">
      <c r="A2680" s="16" t="s">
        <v>5262</v>
      </c>
    </row>
    <row r="2681" spans="1:1" ht="29" x14ac:dyDescent="0.35">
      <c r="A2681" s="16" t="s">
        <v>5263</v>
      </c>
    </row>
    <row r="2682" spans="1:1" x14ac:dyDescent="0.35">
      <c r="A2682" s="16" t="s">
        <v>5264</v>
      </c>
    </row>
    <row r="2683" spans="1:1" x14ac:dyDescent="0.35">
      <c r="A2683" s="16" t="s">
        <v>5265</v>
      </c>
    </row>
    <row r="2684" spans="1:1" x14ac:dyDescent="0.35">
      <c r="A2684" s="16" t="s">
        <v>5266</v>
      </c>
    </row>
    <row r="2685" spans="1:1" ht="29" x14ac:dyDescent="0.35">
      <c r="A2685" s="16" t="s">
        <v>5267</v>
      </c>
    </row>
    <row r="2686" spans="1:1" ht="29" x14ac:dyDescent="0.35">
      <c r="A2686" s="16" t="s">
        <v>5268</v>
      </c>
    </row>
    <row r="2687" spans="1:1" x14ac:dyDescent="0.35">
      <c r="A2687" s="16" t="s">
        <v>5269</v>
      </c>
    </row>
    <row r="2688" spans="1:1" x14ac:dyDescent="0.35">
      <c r="A2688" s="16" t="s">
        <v>5270</v>
      </c>
    </row>
    <row r="2689" spans="1:1" x14ac:dyDescent="0.35">
      <c r="A2689" s="16" t="s">
        <v>5271</v>
      </c>
    </row>
    <row r="2690" spans="1:1" x14ac:dyDescent="0.35">
      <c r="A2690" s="16" t="s">
        <v>5272</v>
      </c>
    </row>
    <row r="2691" spans="1:1" x14ac:dyDescent="0.35">
      <c r="A2691" s="16" t="s">
        <v>5273</v>
      </c>
    </row>
    <row r="2692" spans="1:1" ht="29" x14ac:dyDescent="0.35">
      <c r="A2692" s="16" t="s">
        <v>5274</v>
      </c>
    </row>
    <row r="2693" spans="1:1" x14ac:dyDescent="0.35">
      <c r="A2693" s="16" t="s">
        <v>5275</v>
      </c>
    </row>
    <row r="2694" spans="1:1" ht="29" x14ac:dyDescent="0.35">
      <c r="A2694" s="16" t="s">
        <v>5276</v>
      </c>
    </row>
    <row r="2695" spans="1:1" ht="29" x14ac:dyDescent="0.35">
      <c r="A2695" s="16" t="s">
        <v>5277</v>
      </c>
    </row>
    <row r="2696" spans="1:1" x14ac:dyDescent="0.35">
      <c r="A2696" s="16" t="s">
        <v>5278</v>
      </c>
    </row>
    <row r="2697" spans="1:1" x14ac:dyDescent="0.35">
      <c r="A2697" s="16" t="s">
        <v>5279</v>
      </c>
    </row>
    <row r="2698" spans="1:1" x14ac:dyDescent="0.35">
      <c r="A2698" s="16" t="s">
        <v>5280</v>
      </c>
    </row>
    <row r="2699" spans="1:1" ht="29" x14ac:dyDescent="0.35">
      <c r="A2699" s="16" t="s">
        <v>5281</v>
      </c>
    </row>
    <row r="2700" spans="1:1" x14ac:dyDescent="0.35">
      <c r="A2700" s="16" t="s">
        <v>5282</v>
      </c>
    </row>
    <row r="2701" spans="1:1" x14ac:dyDescent="0.35">
      <c r="A2701" s="16" t="s">
        <v>5283</v>
      </c>
    </row>
    <row r="2702" spans="1:1" ht="29" x14ac:dyDescent="0.35">
      <c r="A2702" s="16" t="s">
        <v>5284</v>
      </c>
    </row>
    <row r="2703" spans="1:1" ht="29" x14ac:dyDescent="0.35">
      <c r="A2703" s="16" t="s">
        <v>5285</v>
      </c>
    </row>
    <row r="2704" spans="1:1" ht="29" x14ac:dyDescent="0.35">
      <c r="A2704" s="16" t="s">
        <v>5286</v>
      </c>
    </row>
    <row r="2705" spans="1:1" x14ac:dyDescent="0.35">
      <c r="A2705" s="16" t="s">
        <v>5287</v>
      </c>
    </row>
    <row r="2706" spans="1:1" x14ac:dyDescent="0.35">
      <c r="A2706" s="16" t="s">
        <v>5288</v>
      </c>
    </row>
    <row r="2707" spans="1:1" ht="29" x14ac:dyDescent="0.35">
      <c r="A2707" s="16" t="s">
        <v>5289</v>
      </c>
    </row>
    <row r="2708" spans="1:1" x14ac:dyDescent="0.35">
      <c r="A2708" s="16" t="s">
        <v>5290</v>
      </c>
    </row>
    <row r="2709" spans="1:1" ht="29" x14ac:dyDescent="0.35">
      <c r="A2709" s="16" t="s">
        <v>5291</v>
      </c>
    </row>
    <row r="2710" spans="1:1" ht="29" x14ac:dyDescent="0.35">
      <c r="A2710" s="16" t="s">
        <v>5292</v>
      </c>
    </row>
    <row r="2711" spans="1:1" ht="29" x14ac:dyDescent="0.35">
      <c r="A2711" s="16" t="s">
        <v>5293</v>
      </c>
    </row>
    <row r="2712" spans="1:1" x14ac:dyDescent="0.35">
      <c r="A2712" s="16" t="s">
        <v>5294</v>
      </c>
    </row>
    <row r="2713" spans="1:1" x14ac:dyDescent="0.35">
      <c r="A2713" s="16" t="s">
        <v>5295</v>
      </c>
    </row>
    <row r="2714" spans="1:1" x14ac:dyDescent="0.35">
      <c r="A2714" s="16" t="s">
        <v>5296</v>
      </c>
    </row>
    <row r="2715" spans="1:1" ht="29" x14ac:dyDescent="0.35">
      <c r="A2715" s="16" t="s">
        <v>5297</v>
      </c>
    </row>
    <row r="2716" spans="1:1" ht="29" x14ac:dyDescent="0.35">
      <c r="A2716" s="16" t="s">
        <v>5298</v>
      </c>
    </row>
    <row r="2717" spans="1:1" x14ac:dyDescent="0.35">
      <c r="A2717" s="16" t="s">
        <v>5299</v>
      </c>
    </row>
    <row r="2718" spans="1:1" ht="29" x14ac:dyDescent="0.35">
      <c r="A2718" s="16" t="s">
        <v>5300</v>
      </c>
    </row>
    <row r="2719" spans="1:1" ht="29" x14ac:dyDescent="0.35">
      <c r="A2719" s="16" t="s">
        <v>5301</v>
      </c>
    </row>
    <row r="2720" spans="1:1" x14ac:dyDescent="0.35">
      <c r="A2720" s="16" t="s">
        <v>5302</v>
      </c>
    </row>
    <row r="2721" spans="1:1" x14ac:dyDescent="0.35">
      <c r="A2721" s="16" t="s">
        <v>5303</v>
      </c>
    </row>
    <row r="2722" spans="1:1" x14ac:dyDescent="0.35">
      <c r="A2722" s="16" t="s">
        <v>5304</v>
      </c>
    </row>
    <row r="2723" spans="1:1" x14ac:dyDescent="0.35">
      <c r="A2723" s="16" t="s">
        <v>5305</v>
      </c>
    </row>
    <row r="2724" spans="1:1" ht="29" x14ac:dyDescent="0.35">
      <c r="A2724" s="16" t="s">
        <v>5306</v>
      </c>
    </row>
    <row r="2725" spans="1:1" ht="29" x14ac:dyDescent="0.35">
      <c r="A2725" s="16" t="s">
        <v>5307</v>
      </c>
    </row>
    <row r="2726" spans="1:1" ht="29" x14ac:dyDescent="0.35">
      <c r="A2726" s="16" t="s">
        <v>5308</v>
      </c>
    </row>
    <row r="2727" spans="1:1" x14ac:dyDescent="0.35">
      <c r="A2727" s="16" t="s">
        <v>5309</v>
      </c>
    </row>
    <row r="2728" spans="1:1" x14ac:dyDescent="0.35">
      <c r="A2728" s="16" t="s">
        <v>5310</v>
      </c>
    </row>
    <row r="2729" spans="1:1" x14ac:dyDescent="0.35">
      <c r="A2729" s="16" t="s">
        <v>5311</v>
      </c>
    </row>
    <row r="2730" spans="1:1" x14ac:dyDescent="0.35">
      <c r="A2730" s="16" t="s">
        <v>5312</v>
      </c>
    </row>
    <row r="2731" spans="1:1" x14ac:dyDescent="0.35">
      <c r="A2731" s="16" t="s">
        <v>5313</v>
      </c>
    </row>
    <row r="2732" spans="1:1" ht="29" x14ac:dyDescent="0.35">
      <c r="A2732" s="16" t="s">
        <v>5314</v>
      </c>
    </row>
    <row r="2733" spans="1:1" x14ac:dyDescent="0.35">
      <c r="A2733" s="16" t="s">
        <v>5315</v>
      </c>
    </row>
    <row r="2734" spans="1:1" x14ac:dyDescent="0.35">
      <c r="A2734" s="16" t="s">
        <v>5316</v>
      </c>
    </row>
    <row r="2735" spans="1:1" ht="29" x14ac:dyDescent="0.35">
      <c r="A2735" s="16" t="s">
        <v>5317</v>
      </c>
    </row>
    <row r="2736" spans="1:1" ht="29" x14ac:dyDescent="0.35">
      <c r="A2736" s="16" t="s">
        <v>5318</v>
      </c>
    </row>
    <row r="2737" spans="1:1" ht="29" x14ac:dyDescent="0.35">
      <c r="A2737" s="16" t="s">
        <v>5319</v>
      </c>
    </row>
    <row r="2738" spans="1:1" ht="29" x14ac:dyDescent="0.35">
      <c r="A2738" s="16" t="s">
        <v>5320</v>
      </c>
    </row>
    <row r="2739" spans="1:1" x14ac:dyDescent="0.35">
      <c r="A2739" s="16" t="s">
        <v>5321</v>
      </c>
    </row>
    <row r="2740" spans="1:1" x14ac:dyDescent="0.35">
      <c r="A2740" s="16" t="s">
        <v>5322</v>
      </c>
    </row>
    <row r="2741" spans="1:1" x14ac:dyDescent="0.35">
      <c r="A2741" s="16" t="s">
        <v>5323</v>
      </c>
    </row>
    <row r="2742" spans="1:1" x14ac:dyDescent="0.35">
      <c r="A2742" s="16" t="s">
        <v>5324</v>
      </c>
    </row>
    <row r="2743" spans="1:1" x14ac:dyDescent="0.35">
      <c r="A2743" s="16" t="s">
        <v>5325</v>
      </c>
    </row>
    <row r="2744" spans="1:1" x14ac:dyDescent="0.35">
      <c r="A2744" s="16" t="s">
        <v>5326</v>
      </c>
    </row>
    <row r="2745" spans="1:1" ht="29" x14ac:dyDescent="0.35">
      <c r="A2745" s="16" t="s">
        <v>5327</v>
      </c>
    </row>
    <row r="2746" spans="1:1" x14ac:dyDescent="0.35">
      <c r="A2746" s="16" t="s">
        <v>5328</v>
      </c>
    </row>
    <row r="2747" spans="1:1" x14ac:dyDescent="0.35">
      <c r="A2747" s="16" t="s">
        <v>5329</v>
      </c>
    </row>
    <row r="2748" spans="1:1" x14ac:dyDescent="0.35">
      <c r="A2748" s="16" t="s">
        <v>5330</v>
      </c>
    </row>
    <row r="2749" spans="1:1" x14ac:dyDescent="0.35">
      <c r="A2749" s="16" t="s">
        <v>5331</v>
      </c>
    </row>
    <row r="2750" spans="1:1" x14ac:dyDescent="0.35">
      <c r="A2750" s="16" t="s">
        <v>5332</v>
      </c>
    </row>
    <row r="2751" spans="1:1" ht="29" x14ac:dyDescent="0.35">
      <c r="A2751" s="16" t="s">
        <v>5333</v>
      </c>
    </row>
    <row r="2752" spans="1:1" x14ac:dyDescent="0.35">
      <c r="A2752" s="16" t="s">
        <v>5334</v>
      </c>
    </row>
    <row r="2753" spans="1:1" ht="29" x14ac:dyDescent="0.35">
      <c r="A2753" s="16" t="s">
        <v>5335</v>
      </c>
    </row>
    <row r="2754" spans="1:1" ht="29" x14ac:dyDescent="0.35">
      <c r="A2754" s="16" t="s">
        <v>5336</v>
      </c>
    </row>
    <row r="2755" spans="1:1" ht="29" x14ac:dyDescent="0.35">
      <c r="A2755" s="16" t="s">
        <v>5337</v>
      </c>
    </row>
    <row r="2756" spans="1:1" x14ac:dyDescent="0.35">
      <c r="A2756" s="16" t="s">
        <v>5338</v>
      </c>
    </row>
    <row r="2757" spans="1:1" ht="29" x14ac:dyDescent="0.35">
      <c r="A2757" s="16" t="s">
        <v>5339</v>
      </c>
    </row>
    <row r="2758" spans="1:1" x14ac:dyDescent="0.35">
      <c r="A2758" s="16" t="s">
        <v>5340</v>
      </c>
    </row>
    <row r="2759" spans="1:1" ht="29" x14ac:dyDescent="0.35">
      <c r="A2759" s="16" t="s">
        <v>5341</v>
      </c>
    </row>
    <row r="2760" spans="1:1" x14ac:dyDescent="0.35">
      <c r="A2760" s="16" t="s">
        <v>5342</v>
      </c>
    </row>
    <row r="2761" spans="1:1" x14ac:dyDescent="0.35">
      <c r="A2761" s="16" t="s">
        <v>5343</v>
      </c>
    </row>
    <row r="2762" spans="1:1" x14ac:dyDescent="0.35">
      <c r="A2762" s="16" t="s">
        <v>5344</v>
      </c>
    </row>
    <row r="2763" spans="1:1" x14ac:dyDescent="0.35">
      <c r="A2763" s="16" t="s">
        <v>5345</v>
      </c>
    </row>
    <row r="2764" spans="1:1" x14ac:dyDescent="0.35">
      <c r="A2764" s="16" t="s">
        <v>5346</v>
      </c>
    </row>
    <row r="2765" spans="1:1" ht="29" x14ac:dyDescent="0.35">
      <c r="A2765" s="16" t="s">
        <v>5347</v>
      </c>
    </row>
    <row r="2766" spans="1:1" x14ac:dyDescent="0.35">
      <c r="A2766" s="16" t="s">
        <v>5348</v>
      </c>
    </row>
    <row r="2767" spans="1:1" ht="29" x14ac:dyDescent="0.35">
      <c r="A2767" s="16" t="s">
        <v>5349</v>
      </c>
    </row>
    <row r="2768" spans="1:1" x14ac:dyDescent="0.35">
      <c r="A2768" s="16" t="s">
        <v>5350</v>
      </c>
    </row>
    <row r="2769" spans="1:1" x14ac:dyDescent="0.35">
      <c r="A2769" s="16" t="s">
        <v>5351</v>
      </c>
    </row>
    <row r="2770" spans="1:1" ht="29" x14ac:dyDescent="0.35">
      <c r="A2770" s="16" t="s">
        <v>5352</v>
      </c>
    </row>
    <row r="2771" spans="1:1" x14ac:dyDescent="0.35">
      <c r="A2771" s="16" t="s">
        <v>5353</v>
      </c>
    </row>
    <row r="2772" spans="1:1" ht="29" x14ac:dyDescent="0.35">
      <c r="A2772" s="16" t="s">
        <v>5354</v>
      </c>
    </row>
    <row r="2773" spans="1:1" x14ac:dyDescent="0.35">
      <c r="A2773" s="16" t="s">
        <v>5355</v>
      </c>
    </row>
    <row r="2774" spans="1:1" ht="29" x14ac:dyDescent="0.35">
      <c r="A2774" s="16" t="s">
        <v>5356</v>
      </c>
    </row>
    <row r="2775" spans="1:1" x14ac:dyDescent="0.35">
      <c r="A2775" s="16" t="s">
        <v>5357</v>
      </c>
    </row>
    <row r="2776" spans="1:1" x14ac:dyDescent="0.35">
      <c r="A2776" s="16" t="s">
        <v>5358</v>
      </c>
    </row>
    <row r="2777" spans="1:1" x14ac:dyDescent="0.35">
      <c r="A2777" s="16" t="s">
        <v>5359</v>
      </c>
    </row>
    <row r="2778" spans="1:1" x14ac:dyDescent="0.35">
      <c r="A2778" s="16" t="s">
        <v>5360</v>
      </c>
    </row>
    <row r="2779" spans="1:1" x14ac:dyDescent="0.35">
      <c r="A2779" s="16" t="s">
        <v>5361</v>
      </c>
    </row>
    <row r="2780" spans="1:1" ht="29" x14ac:dyDescent="0.35">
      <c r="A2780" s="16" t="s">
        <v>5362</v>
      </c>
    </row>
    <row r="2781" spans="1:1" x14ac:dyDescent="0.35">
      <c r="A2781" s="16" t="s">
        <v>5363</v>
      </c>
    </row>
    <row r="2782" spans="1:1" x14ac:dyDescent="0.35">
      <c r="A2782" s="16" t="s">
        <v>5364</v>
      </c>
    </row>
    <row r="2783" spans="1:1" ht="29" x14ac:dyDescent="0.35">
      <c r="A2783" s="16" t="s">
        <v>5365</v>
      </c>
    </row>
    <row r="2784" spans="1:1" ht="29" x14ac:dyDescent="0.35">
      <c r="A2784" s="16" t="s">
        <v>5366</v>
      </c>
    </row>
    <row r="2785" spans="1:1" x14ac:dyDescent="0.35">
      <c r="A2785" s="16" t="s">
        <v>5367</v>
      </c>
    </row>
    <row r="2786" spans="1:1" x14ac:dyDescent="0.35">
      <c r="A2786" s="16" t="s">
        <v>5368</v>
      </c>
    </row>
    <row r="2787" spans="1:1" x14ac:dyDescent="0.35">
      <c r="A2787" s="16" t="s">
        <v>5369</v>
      </c>
    </row>
    <row r="2788" spans="1:1" ht="29" x14ac:dyDescent="0.35">
      <c r="A2788" s="16" t="s">
        <v>5370</v>
      </c>
    </row>
    <row r="2789" spans="1:1" x14ac:dyDescent="0.35">
      <c r="A2789" s="16" t="s">
        <v>5371</v>
      </c>
    </row>
    <row r="2790" spans="1:1" x14ac:dyDescent="0.35">
      <c r="A2790" s="16" t="s">
        <v>5372</v>
      </c>
    </row>
    <row r="2791" spans="1:1" ht="29" x14ac:dyDescent="0.35">
      <c r="A2791" s="16" t="s">
        <v>5373</v>
      </c>
    </row>
    <row r="2792" spans="1:1" x14ac:dyDescent="0.35">
      <c r="A2792" s="16" t="s">
        <v>5374</v>
      </c>
    </row>
    <row r="2793" spans="1:1" x14ac:dyDescent="0.35">
      <c r="A2793" s="16" t="s">
        <v>5375</v>
      </c>
    </row>
    <row r="2794" spans="1:1" x14ac:dyDescent="0.35">
      <c r="A2794" s="16" t="s">
        <v>5376</v>
      </c>
    </row>
    <row r="2795" spans="1:1" x14ac:dyDescent="0.35">
      <c r="A2795" s="16" t="s">
        <v>5377</v>
      </c>
    </row>
    <row r="2796" spans="1:1" ht="29" x14ac:dyDescent="0.35">
      <c r="A2796" s="16" t="s">
        <v>5378</v>
      </c>
    </row>
    <row r="2797" spans="1:1" x14ac:dyDescent="0.35">
      <c r="A2797" s="16" t="s">
        <v>5379</v>
      </c>
    </row>
    <row r="2798" spans="1:1" ht="29" x14ac:dyDescent="0.35">
      <c r="A2798" s="16" t="s">
        <v>5380</v>
      </c>
    </row>
    <row r="2799" spans="1:1" ht="29" x14ac:dyDescent="0.35">
      <c r="A2799" s="16" t="s">
        <v>5381</v>
      </c>
    </row>
    <row r="2800" spans="1:1" x14ac:dyDescent="0.35">
      <c r="A2800" s="16" t="s">
        <v>5382</v>
      </c>
    </row>
    <row r="2801" spans="1:1" x14ac:dyDescent="0.35">
      <c r="A2801" s="16" t="s">
        <v>5383</v>
      </c>
    </row>
    <row r="2802" spans="1:1" x14ac:dyDescent="0.35">
      <c r="A2802" s="16" t="s">
        <v>5384</v>
      </c>
    </row>
    <row r="2803" spans="1:1" ht="29" x14ac:dyDescent="0.35">
      <c r="A2803" s="16" t="s">
        <v>5385</v>
      </c>
    </row>
    <row r="2804" spans="1:1" x14ac:dyDescent="0.35">
      <c r="A2804" s="16" t="s">
        <v>5386</v>
      </c>
    </row>
    <row r="2805" spans="1:1" x14ac:dyDescent="0.35">
      <c r="A2805" s="16" t="s">
        <v>5387</v>
      </c>
    </row>
    <row r="2806" spans="1:1" ht="29" x14ac:dyDescent="0.35">
      <c r="A2806" s="16" t="s">
        <v>5388</v>
      </c>
    </row>
    <row r="2807" spans="1:1" x14ac:dyDescent="0.35">
      <c r="A2807" s="16" t="s">
        <v>5389</v>
      </c>
    </row>
    <row r="2808" spans="1:1" ht="29" x14ac:dyDescent="0.35">
      <c r="A2808" s="16" t="s">
        <v>5390</v>
      </c>
    </row>
    <row r="2809" spans="1:1" x14ac:dyDescent="0.35">
      <c r="A2809" s="16" t="s">
        <v>5391</v>
      </c>
    </row>
    <row r="2810" spans="1:1" x14ac:dyDescent="0.35">
      <c r="A2810" s="16" t="s">
        <v>5392</v>
      </c>
    </row>
    <row r="2811" spans="1:1" x14ac:dyDescent="0.35">
      <c r="A2811" s="16" t="s">
        <v>5393</v>
      </c>
    </row>
    <row r="2812" spans="1:1" ht="29" x14ac:dyDescent="0.35">
      <c r="A2812" s="16" t="s">
        <v>5394</v>
      </c>
    </row>
    <row r="2813" spans="1:1" ht="29" x14ac:dyDescent="0.35">
      <c r="A2813" s="16" t="s">
        <v>5395</v>
      </c>
    </row>
    <row r="2814" spans="1:1" x14ac:dyDescent="0.35">
      <c r="A2814" s="16" t="s">
        <v>5396</v>
      </c>
    </row>
    <row r="2815" spans="1:1" ht="29" x14ac:dyDescent="0.35">
      <c r="A2815" s="16" t="s">
        <v>5397</v>
      </c>
    </row>
    <row r="2816" spans="1:1" ht="29" x14ac:dyDescent="0.35">
      <c r="A2816" s="16" t="s">
        <v>5398</v>
      </c>
    </row>
    <row r="2817" spans="1:1" x14ac:dyDescent="0.35">
      <c r="A2817" s="16" t="s">
        <v>5399</v>
      </c>
    </row>
    <row r="2818" spans="1:1" ht="29" x14ac:dyDescent="0.35">
      <c r="A2818" s="16" t="s">
        <v>5400</v>
      </c>
    </row>
    <row r="2819" spans="1:1" x14ac:dyDescent="0.35">
      <c r="A2819" s="16" t="s">
        <v>5401</v>
      </c>
    </row>
    <row r="2820" spans="1:1" ht="29" x14ac:dyDescent="0.35">
      <c r="A2820" s="16" t="s">
        <v>5402</v>
      </c>
    </row>
    <row r="2821" spans="1:1" x14ac:dyDescent="0.35">
      <c r="A2821" s="16" t="s">
        <v>5403</v>
      </c>
    </row>
    <row r="2822" spans="1:1" ht="29" x14ac:dyDescent="0.35">
      <c r="A2822" s="16" t="s">
        <v>5404</v>
      </c>
    </row>
    <row r="2823" spans="1:1" ht="29" x14ac:dyDescent="0.35">
      <c r="A2823" s="16" t="s">
        <v>5405</v>
      </c>
    </row>
    <row r="2824" spans="1:1" x14ac:dyDescent="0.35">
      <c r="A2824" s="16" t="s">
        <v>5406</v>
      </c>
    </row>
    <row r="2825" spans="1:1" x14ac:dyDescent="0.35">
      <c r="A2825" s="16" t="s">
        <v>5407</v>
      </c>
    </row>
    <row r="2826" spans="1:1" x14ac:dyDescent="0.35">
      <c r="A2826" s="16" t="s">
        <v>5408</v>
      </c>
    </row>
    <row r="2827" spans="1:1" x14ac:dyDescent="0.35">
      <c r="A2827" s="16" t="s">
        <v>5409</v>
      </c>
    </row>
    <row r="2828" spans="1:1" ht="29" x14ac:dyDescent="0.35">
      <c r="A2828" s="16" t="s">
        <v>5410</v>
      </c>
    </row>
    <row r="2829" spans="1:1" x14ac:dyDescent="0.35">
      <c r="A2829" s="16" t="s">
        <v>5411</v>
      </c>
    </row>
    <row r="2830" spans="1:1" x14ac:dyDescent="0.35">
      <c r="A2830" s="16" t="s">
        <v>5412</v>
      </c>
    </row>
    <row r="2831" spans="1:1" x14ac:dyDescent="0.35">
      <c r="A2831" s="16" t="s">
        <v>5413</v>
      </c>
    </row>
    <row r="2832" spans="1:1" ht="29" x14ac:dyDescent="0.35">
      <c r="A2832" s="16" t="s">
        <v>5414</v>
      </c>
    </row>
    <row r="2833" spans="1:1" ht="29" x14ac:dyDescent="0.35">
      <c r="A2833" s="16" t="s">
        <v>5415</v>
      </c>
    </row>
    <row r="2834" spans="1:1" x14ac:dyDescent="0.35">
      <c r="A2834" s="16" t="s">
        <v>5416</v>
      </c>
    </row>
    <row r="2835" spans="1:1" x14ac:dyDescent="0.35">
      <c r="A2835" s="16" t="s">
        <v>5417</v>
      </c>
    </row>
    <row r="2836" spans="1:1" ht="29" x14ac:dyDescent="0.35">
      <c r="A2836" s="16" t="s">
        <v>5418</v>
      </c>
    </row>
    <row r="2837" spans="1:1" x14ac:dyDescent="0.35">
      <c r="A2837" s="16" t="s">
        <v>5419</v>
      </c>
    </row>
    <row r="2838" spans="1:1" ht="29" x14ac:dyDescent="0.35">
      <c r="A2838" s="16" t="s">
        <v>5420</v>
      </c>
    </row>
    <row r="2839" spans="1:1" x14ac:dyDescent="0.35">
      <c r="A2839" s="16" t="s">
        <v>5421</v>
      </c>
    </row>
    <row r="2840" spans="1:1" x14ac:dyDescent="0.35">
      <c r="A2840" s="16" t="s">
        <v>5422</v>
      </c>
    </row>
    <row r="2841" spans="1:1" x14ac:dyDescent="0.35">
      <c r="A2841" s="16" t="s">
        <v>5423</v>
      </c>
    </row>
    <row r="2842" spans="1:1" ht="29" x14ac:dyDescent="0.35">
      <c r="A2842" s="16" t="s">
        <v>5424</v>
      </c>
    </row>
    <row r="2843" spans="1:1" ht="29" x14ac:dyDescent="0.35">
      <c r="A2843" s="16" t="s">
        <v>5425</v>
      </c>
    </row>
    <row r="2844" spans="1:1" x14ac:dyDescent="0.35">
      <c r="A2844" s="16" t="s">
        <v>5426</v>
      </c>
    </row>
    <row r="2845" spans="1:1" x14ac:dyDescent="0.35">
      <c r="A2845" s="16" t="s">
        <v>5427</v>
      </c>
    </row>
    <row r="2846" spans="1:1" x14ac:dyDescent="0.35">
      <c r="A2846" s="16" t="s">
        <v>5428</v>
      </c>
    </row>
    <row r="2847" spans="1:1" ht="29" x14ac:dyDescent="0.35">
      <c r="A2847" s="16" t="s">
        <v>5429</v>
      </c>
    </row>
    <row r="2848" spans="1:1" ht="29" x14ac:dyDescent="0.35">
      <c r="A2848" s="16" t="s">
        <v>5430</v>
      </c>
    </row>
    <row r="2849" spans="1:1" x14ac:dyDescent="0.35">
      <c r="A2849" s="16" t="s">
        <v>5431</v>
      </c>
    </row>
    <row r="2850" spans="1:1" ht="29" x14ac:dyDescent="0.35">
      <c r="A2850" s="16" t="s">
        <v>5432</v>
      </c>
    </row>
    <row r="2851" spans="1:1" x14ac:dyDescent="0.35">
      <c r="A2851" s="16" t="s">
        <v>5433</v>
      </c>
    </row>
    <row r="2852" spans="1:1" x14ac:dyDescent="0.35">
      <c r="A2852" s="16" t="s">
        <v>5434</v>
      </c>
    </row>
    <row r="2853" spans="1:1" x14ac:dyDescent="0.35">
      <c r="A2853" s="16" t="s">
        <v>5435</v>
      </c>
    </row>
    <row r="2854" spans="1:1" x14ac:dyDescent="0.35">
      <c r="A2854" s="16" t="s">
        <v>5436</v>
      </c>
    </row>
    <row r="2855" spans="1:1" x14ac:dyDescent="0.35">
      <c r="A2855" s="16" t="s">
        <v>5437</v>
      </c>
    </row>
    <row r="2856" spans="1:1" x14ac:dyDescent="0.35">
      <c r="A2856" s="16" t="s">
        <v>5438</v>
      </c>
    </row>
    <row r="2857" spans="1:1" x14ac:dyDescent="0.35">
      <c r="A2857" s="16" t="s">
        <v>5439</v>
      </c>
    </row>
    <row r="2858" spans="1:1" ht="29" x14ac:dyDescent="0.35">
      <c r="A2858" s="16" t="s">
        <v>5440</v>
      </c>
    </row>
    <row r="2859" spans="1:1" x14ac:dyDescent="0.35">
      <c r="A2859" s="16" t="s">
        <v>5441</v>
      </c>
    </row>
    <row r="2860" spans="1:1" x14ac:dyDescent="0.35">
      <c r="A2860" s="16" t="s">
        <v>5442</v>
      </c>
    </row>
    <row r="2861" spans="1:1" x14ac:dyDescent="0.35">
      <c r="A2861" s="16" t="s">
        <v>5443</v>
      </c>
    </row>
    <row r="2862" spans="1:1" x14ac:dyDescent="0.35">
      <c r="A2862" s="16" t="s">
        <v>5444</v>
      </c>
    </row>
    <row r="2863" spans="1:1" x14ac:dyDescent="0.35">
      <c r="A2863" s="16" t="s">
        <v>5445</v>
      </c>
    </row>
    <row r="2864" spans="1:1" ht="29" x14ac:dyDescent="0.35">
      <c r="A2864" s="16" t="s">
        <v>5446</v>
      </c>
    </row>
    <row r="2865" spans="1:1" x14ac:dyDescent="0.35">
      <c r="A2865" s="16" t="s">
        <v>5447</v>
      </c>
    </row>
    <row r="2866" spans="1:1" x14ac:dyDescent="0.35">
      <c r="A2866" s="16" t="s">
        <v>5448</v>
      </c>
    </row>
    <row r="2867" spans="1:1" x14ac:dyDescent="0.35">
      <c r="A2867" s="16" t="s">
        <v>5449</v>
      </c>
    </row>
    <row r="2868" spans="1:1" x14ac:dyDescent="0.35">
      <c r="A2868" s="16" t="s">
        <v>5450</v>
      </c>
    </row>
    <row r="2869" spans="1:1" ht="29" x14ac:dyDescent="0.35">
      <c r="A2869" s="16" t="s">
        <v>5451</v>
      </c>
    </row>
    <row r="2870" spans="1:1" x14ac:dyDescent="0.35">
      <c r="A2870" s="16" t="s">
        <v>5452</v>
      </c>
    </row>
    <row r="2871" spans="1:1" x14ac:dyDescent="0.35">
      <c r="A2871" s="16" t="s">
        <v>5453</v>
      </c>
    </row>
    <row r="2872" spans="1:1" ht="29" x14ac:dyDescent="0.35">
      <c r="A2872" s="16" t="s">
        <v>5454</v>
      </c>
    </row>
    <row r="2873" spans="1:1" ht="29" x14ac:dyDescent="0.35">
      <c r="A2873" s="16" t="s">
        <v>5455</v>
      </c>
    </row>
    <row r="2874" spans="1:1" ht="29" x14ac:dyDescent="0.35">
      <c r="A2874" s="16" t="s">
        <v>5456</v>
      </c>
    </row>
    <row r="2875" spans="1:1" x14ac:dyDescent="0.35">
      <c r="A2875" s="16" t="s">
        <v>5457</v>
      </c>
    </row>
    <row r="2876" spans="1:1" ht="29" x14ac:dyDescent="0.35">
      <c r="A2876" s="16" t="s">
        <v>5458</v>
      </c>
    </row>
    <row r="2877" spans="1:1" x14ac:dyDescent="0.35">
      <c r="A2877" s="16" t="s">
        <v>5459</v>
      </c>
    </row>
    <row r="2878" spans="1:1" ht="29" x14ac:dyDescent="0.35">
      <c r="A2878" s="16" t="s">
        <v>5460</v>
      </c>
    </row>
    <row r="2879" spans="1:1" x14ac:dyDescent="0.35">
      <c r="A2879" s="16" t="s">
        <v>5461</v>
      </c>
    </row>
    <row r="2880" spans="1:1" x14ac:dyDescent="0.35">
      <c r="A2880" s="16" t="s">
        <v>5462</v>
      </c>
    </row>
    <row r="2881" spans="1:1" x14ac:dyDescent="0.35">
      <c r="A2881" s="16" t="s">
        <v>5463</v>
      </c>
    </row>
    <row r="2882" spans="1:1" ht="29" x14ac:dyDescent="0.35">
      <c r="A2882" s="16" t="s">
        <v>5464</v>
      </c>
    </row>
    <row r="2883" spans="1:1" x14ac:dyDescent="0.35">
      <c r="A2883" s="16" t="s">
        <v>5465</v>
      </c>
    </row>
    <row r="2884" spans="1:1" ht="29" x14ac:dyDescent="0.35">
      <c r="A2884" s="16" t="s">
        <v>5466</v>
      </c>
    </row>
    <row r="2885" spans="1:1" ht="29" x14ac:dyDescent="0.35">
      <c r="A2885" s="16" t="s">
        <v>5467</v>
      </c>
    </row>
    <row r="2886" spans="1:1" x14ac:dyDescent="0.35">
      <c r="A2886" s="16" t="s">
        <v>5468</v>
      </c>
    </row>
    <row r="2887" spans="1:1" ht="29" x14ac:dyDescent="0.35">
      <c r="A2887" s="16" t="s">
        <v>5469</v>
      </c>
    </row>
    <row r="2888" spans="1:1" ht="29" x14ac:dyDescent="0.35">
      <c r="A2888" s="16" t="s">
        <v>5470</v>
      </c>
    </row>
    <row r="2889" spans="1:1" x14ac:dyDescent="0.35">
      <c r="A2889" s="16" t="s">
        <v>5471</v>
      </c>
    </row>
    <row r="2890" spans="1:1" x14ac:dyDescent="0.35">
      <c r="A2890" s="16" t="s">
        <v>5472</v>
      </c>
    </row>
    <row r="2891" spans="1:1" x14ac:dyDescent="0.35">
      <c r="A2891" s="16" t="s">
        <v>5473</v>
      </c>
    </row>
    <row r="2892" spans="1:1" x14ac:dyDescent="0.35">
      <c r="A2892" s="16" t="s">
        <v>5474</v>
      </c>
    </row>
    <row r="2893" spans="1:1" x14ac:dyDescent="0.35">
      <c r="A2893" s="16" t="s">
        <v>5475</v>
      </c>
    </row>
    <row r="2894" spans="1:1" ht="29" x14ac:dyDescent="0.35">
      <c r="A2894" s="16" t="s">
        <v>5476</v>
      </c>
    </row>
    <row r="2895" spans="1:1" x14ac:dyDescent="0.35">
      <c r="A2895" s="16" t="s">
        <v>5477</v>
      </c>
    </row>
    <row r="2896" spans="1:1" ht="29" x14ac:dyDescent="0.35">
      <c r="A2896" s="16" t="s">
        <v>5478</v>
      </c>
    </row>
    <row r="2897" spans="1:1" x14ac:dyDescent="0.35">
      <c r="A2897" s="16" t="s">
        <v>5479</v>
      </c>
    </row>
    <row r="2898" spans="1:1" x14ac:dyDescent="0.35">
      <c r="A2898" s="16" t="s">
        <v>5480</v>
      </c>
    </row>
    <row r="2899" spans="1:1" ht="29" x14ac:dyDescent="0.35">
      <c r="A2899" s="16" t="s">
        <v>5481</v>
      </c>
    </row>
    <row r="2900" spans="1:1" ht="29" x14ac:dyDescent="0.35">
      <c r="A2900" s="16" t="s">
        <v>5482</v>
      </c>
    </row>
    <row r="2901" spans="1:1" ht="29" x14ac:dyDescent="0.35">
      <c r="A2901" s="16" t="s">
        <v>5483</v>
      </c>
    </row>
    <row r="2902" spans="1:1" x14ac:dyDescent="0.35">
      <c r="A2902" s="16" t="s">
        <v>5484</v>
      </c>
    </row>
    <row r="2903" spans="1:1" x14ac:dyDescent="0.35">
      <c r="A2903" s="16" t="s">
        <v>5485</v>
      </c>
    </row>
    <row r="2904" spans="1:1" ht="29" x14ac:dyDescent="0.35">
      <c r="A2904" s="16" t="s">
        <v>5486</v>
      </c>
    </row>
    <row r="2905" spans="1:1" x14ac:dyDescent="0.35">
      <c r="A2905" s="16" t="s">
        <v>5487</v>
      </c>
    </row>
    <row r="2906" spans="1:1" x14ac:dyDescent="0.35">
      <c r="A2906" s="16" t="s">
        <v>5488</v>
      </c>
    </row>
    <row r="2907" spans="1:1" x14ac:dyDescent="0.35">
      <c r="A2907" s="16" t="s">
        <v>5489</v>
      </c>
    </row>
    <row r="2908" spans="1:1" x14ac:dyDescent="0.35">
      <c r="A2908" s="16" t="s">
        <v>5490</v>
      </c>
    </row>
    <row r="2909" spans="1:1" ht="29" x14ac:dyDescent="0.35">
      <c r="A2909" s="16" t="s">
        <v>5491</v>
      </c>
    </row>
    <row r="2910" spans="1:1" x14ac:dyDescent="0.35">
      <c r="A2910" s="16" t="s">
        <v>5492</v>
      </c>
    </row>
    <row r="2911" spans="1:1" ht="29" x14ac:dyDescent="0.35">
      <c r="A2911" s="16" t="s">
        <v>5493</v>
      </c>
    </row>
    <row r="2912" spans="1:1" x14ac:dyDescent="0.35">
      <c r="A2912" s="16" t="s">
        <v>5494</v>
      </c>
    </row>
    <row r="2913" spans="1:1" ht="29" x14ac:dyDescent="0.35">
      <c r="A2913" s="16" t="s">
        <v>5495</v>
      </c>
    </row>
    <row r="2914" spans="1:1" x14ac:dyDescent="0.35">
      <c r="A2914" s="16" t="s">
        <v>5496</v>
      </c>
    </row>
    <row r="2915" spans="1:1" x14ac:dyDescent="0.35">
      <c r="A2915" s="16" t="s">
        <v>5497</v>
      </c>
    </row>
    <row r="2916" spans="1:1" x14ac:dyDescent="0.35">
      <c r="A2916" s="16" t="s">
        <v>5498</v>
      </c>
    </row>
    <row r="2917" spans="1:1" x14ac:dyDescent="0.35">
      <c r="A2917" s="16" t="s">
        <v>5499</v>
      </c>
    </row>
    <row r="2918" spans="1:1" x14ac:dyDescent="0.35">
      <c r="A2918" s="16" t="s">
        <v>5500</v>
      </c>
    </row>
    <row r="2919" spans="1:1" x14ac:dyDescent="0.35">
      <c r="A2919" s="16" t="s">
        <v>5501</v>
      </c>
    </row>
    <row r="2920" spans="1:1" ht="29" x14ac:dyDescent="0.35">
      <c r="A2920" s="16" t="s">
        <v>5502</v>
      </c>
    </row>
    <row r="2921" spans="1:1" x14ac:dyDescent="0.35">
      <c r="A2921" s="16" t="s">
        <v>5503</v>
      </c>
    </row>
    <row r="2922" spans="1:1" x14ac:dyDescent="0.35">
      <c r="A2922" s="16" t="s">
        <v>5504</v>
      </c>
    </row>
    <row r="2923" spans="1:1" x14ac:dyDescent="0.35">
      <c r="A2923" s="16" t="s">
        <v>5505</v>
      </c>
    </row>
    <row r="2924" spans="1:1" x14ac:dyDescent="0.35">
      <c r="A2924" s="16" t="s">
        <v>5506</v>
      </c>
    </row>
    <row r="2925" spans="1:1" x14ac:dyDescent="0.35">
      <c r="A2925" s="16" t="s">
        <v>5507</v>
      </c>
    </row>
    <row r="2926" spans="1:1" ht="29" x14ac:dyDescent="0.35">
      <c r="A2926" s="16" t="s">
        <v>5508</v>
      </c>
    </row>
    <row r="2927" spans="1:1" ht="29" x14ac:dyDescent="0.35">
      <c r="A2927" s="16" t="s">
        <v>5509</v>
      </c>
    </row>
    <row r="2928" spans="1:1" x14ac:dyDescent="0.35">
      <c r="A2928" s="16" t="s">
        <v>5510</v>
      </c>
    </row>
    <row r="2929" spans="1:1" x14ac:dyDescent="0.35">
      <c r="A2929" s="16" t="s">
        <v>5511</v>
      </c>
    </row>
    <row r="2930" spans="1:1" ht="29" x14ac:dyDescent="0.35">
      <c r="A2930" s="16" t="s">
        <v>5512</v>
      </c>
    </row>
    <row r="2931" spans="1:1" x14ac:dyDescent="0.35">
      <c r="A2931" s="16" t="s">
        <v>5513</v>
      </c>
    </row>
    <row r="2932" spans="1:1" x14ac:dyDescent="0.35">
      <c r="A2932" s="16" t="s">
        <v>5514</v>
      </c>
    </row>
    <row r="2933" spans="1:1" ht="29" x14ac:dyDescent="0.35">
      <c r="A2933" s="16" t="s">
        <v>5515</v>
      </c>
    </row>
    <row r="2934" spans="1:1" ht="29" x14ac:dyDescent="0.35">
      <c r="A2934" s="16" t="s">
        <v>5516</v>
      </c>
    </row>
    <row r="2935" spans="1:1" ht="29" x14ac:dyDescent="0.35">
      <c r="A2935" s="16" t="s">
        <v>5517</v>
      </c>
    </row>
    <row r="2936" spans="1:1" x14ac:dyDescent="0.35">
      <c r="A2936" s="16" t="s">
        <v>5518</v>
      </c>
    </row>
    <row r="2937" spans="1:1" x14ac:dyDescent="0.35">
      <c r="A2937" s="16" t="s">
        <v>5519</v>
      </c>
    </row>
    <row r="2938" spans="1:1" x14ac:dyDescent="0.35">
      <c r="A2938" s="16" t="s">
        <v>5520</v>
      </c>
    </row>
    <row r="2939" spans="1:1" ht="29" x14ac:dyDescent="0.35">
      <c r="A2939" s="16" t="s">
        <v>5521</v>
      </c>
    </row>
    <row r="2940" spans="1:1" x14ac:dyDescent="0.35">
      <c r="A2940" s="16" t="s">
        <v>5522</v>
      </c>
    </row>
    <row r="2941" spans="1:1" ht="29" x14ac:dyDescent="0.35">
      <c r="A2941" s="16" t="s">
        <v>5523</v>
      </c>
    </row>
    <row r="2942" spans="1:1" x14ac:dyDescent="0.35">
      <c r="A2942" s="16" t="s">
        <v>5524</v>
      </c>
    </row>
    <row r="2943" spans="1:1" ht="29" x14ac:dyDescent="0.35">
      <c r="A2943" s="16" t="s">
        <v>5525</v>
      </c>
    </row>
    <row r="2944" spans="1:1" ht="29" x14ac:dyDescent="0.35">
      <c r="A2944" s="16" t="s">
        <v>5526</v>
      </c>
    </row>
    <row r="2945" spans="1:1" x14ac:dyDescent="0.35">
      <c r="A2945" s="16" t="s">
        <v>5527</v>
      </c>
    </row>
    <row r="2946" spans="1:1" x14ac:dyDescent="0.35">
      <c r="A2946" s="16" t="s">
        <v>5528</v>
      </c>
    </row>
    <row r="2947" spans="1:1" x14ac:dyDescent="0.35">
      <c r="A2947" s="16" t="s">
        <v>5529</v>
      </c>
    </row>
    <row r="2948" spans="1:1" x14ac:dyDescent="0.35">
      <c r="A2948" s="16" t="s">
        <v>5530</v>
      </c>
    </row>
    <row r="2949" spans="1:1" x14ac:dyDescent="0.35">
      <c r="A2949" s="16" t="s">
        <v>5531</v>
      </c>
    </row>
    <row r="2950" spans="1:1" ht="29" x14ac:dyDescent="0.35">
      <c r="A2950" s="16" t="s">
        <v>5532</v>
      </c>
    </row>
    <row r="2951" spans="1:1" ht="29" x14ac:dyDescent="0.35">
      <c r="A2951" s="16" t="s">
        <v>5533</v>
      </c>
    </row>
    <row r="2952" spans="1:1" ht="29" x14ac:dyDescent="0.35">
      <c r="A2952" s="16" t="s">
        <v>5534</v>
      </c>
    </row>
    <row r="2953" spans="1:1" x14ac:dyDescent="0.35">
      <c r="A2953" s="16" t="s">
        <v>5535</v>
      </c>
    </row>
    <row r="2954" spans="1:1" ht="29" x14ac:dyDescent="0.35">
      <c r="A2954" s="16" t="s">
        <v>5536</v>
      </c>
    </row>
    <row r="2955" spans="1:1" ht="29" x14ac:dyDescent="0.35">
      <c r="A2955" s="16" t="s">
        <v>5537</v>
      </c>
    </row>
    <row r="2956" spans="1:1" x14ac:dyDescent="0.35">
      <c r="A2956" s="16" t="s">
        <v>5538</v>
      </c>
    </row>
    <row r="2957" spans="1:1" x14ac:dyDescent="0.35">
      <c r="A2957" s="16" t="s">
        <v>5539</v>
      </c>
    </row>
    <row r="2958" spans="1:1" x14ac:dyDescent="0.35">
      <c r="A2958" s="16" t="s">
        <v>5540</v>
      </c>
    </row>
    <row r="2959" spans="1:1" x14ac:dyDescent="0.35">
      <c r="A2959" s="16" t="s">
        <v>5541</v>
      </c>
    </row>
    <row r="2960" spans="1:1" x14ac:dyDescent="0.35">
      <c r="A2960" s="16" t="s">
        <v>5542</v>
      </c>
    </row>
    <row r="2961" spans="1:1" ht="29" x14ac:dyDescent="0.35">
      <c r="A2961" s="16" t="s">
        <v>5543</v>
      </c>
    </row>
    <row r="2962" spans="1:1" x14ac:dyDescent="0.35">
      <c r="A2962" s="16" t="s">
        <v>5544</v>
      </c>
    </row>
    <row r="2963" spans="1:1" x14ac:dyDescent="0.35">
      <c r="A2963" s="16" t="s">
        <v>5545</v>
      </c>
    </row>
    <row r="2964" spans="1:1" ht="29" x14ac:dyDescent="0.35">
      <c r="A2964" s="16" t="s">
        <v>5546</v>
      </c>
    </row>
    <row r="2965" spans="1:1" x14ac:dyDescent="0.35">
      <c r="A2965" s="16" t="s">
        <v>5547</v>
      </c>
    </row>
    <row r="2966" spans="1:1" x14ac:dyDescent="0.35">
      <c r="A2966" s="16" t="s">
        <v>5548</v>
      </c>
    </row>
    <row r="2967" spans="1:1" x14ac:dyDescent="0.35">
      <c r="A2967" s="16" t="s">
        <v>5549</v>
      </c>
    </row>
    <row r="2968" spans="1:1" ht="29" x14ac:dyDescent="0.35">
      <c r="A2968" s="16" t="s">
        <v>5550</v>
      </c>
    </row>
    <row r="2969" spans="1:1" x14ac:dyDescent="0.35">
      <c r="A2969" s="16" t="s">
        <v>5551</v>
      </c>
    </row>
    <row r="2970" spans="1:1" ht="29" x14ac:dyDescent="0.35">
      <c r="A2970" s="16" t="s">
        <v>5552</v>
      </c>
    </row>
    <row r="2971" spans="1:1" x14ac:dyDescent="0.35">
      <c r="A2971" s="16" t="s">
        <v>5553</v>
      </c>
    </row>
    <row r="2972" spans="1:1" x14ac:dyDescent="0.35">
      <c r="A2972" s="16" t="s">
        <v>5554</v>
      </c>
    </row>
    <row r="2973" spans="1:1" x14ac:dyDescent="0.35">
      <c r="A2973" s="16" t="s">
        <v>5555</v>
      </c>
    </row>
    <row r="2974" spans="1:1" x14ac:dyDescent="0.35">
      <c r="A2974" s="16" t="s">
        <v>5556</v>
      </c>
    </row>
    <row r="2975" spans="1:1" ht="29" x14ac:dyDescent="0.35">
      <c r="A2975" s="16" t="s">
        <v>5557</v>
      </c>
    </row>
    <row r="2976" spans="1:1" ht="29" x14ac:dyDescent="0.35">
      <c r="A2976" s="16" t="s">
        <v>5558</v>
      </c>
    </row>
    <row r="2977" spans="1:1" x14ac:dyDescent="0.35">
      <c r="A2977" s="16" t="s">
        <v>5559</v>
      </c>
    </row>
    <row r="2978" spans="1:1" ht="29" x14ac:dyDescent="0.35">
      <c r="A2978" s="16" t="s">
        <v>5560</v>
      </c>
    </row>
    <row r="2979" spans="1:1" x14ac:dyDescent="0.35">
      <c r="A2979" s="16" t="s">
        <v>5561</v>
      </c>
    </row>
    <row r="2980" spans="1:1" x14ac:dyDescent="0.35">
      <c r="A2980" s="16" t="s">
        <v>5562</v>
      </c>
    </row>
    <row r="2981" spans="1:1" x14ac:dyDescent="0.35">
      <c r="A2981" s="16" t="s">
        <v>5563</v>
      </c>
    </row>
    <row r="2982" spans="1:1" x14ac:dyDescent="0.35">
      <c r="A2982" s="16" t="s">
        <v>5564</v>
      </c>
    </row>
    <row r="2983" spans="1:1" x14ac:dyDescent="0.35">
      <c r="A2983" s="16" t="s">
        <v>5565</v>
      </c>
    </row>
    <row r="2984" spans="1:1" x14ac:dyDescent="0.35">
      <c r="A2984" s="16" t="s">
        <v>5566</v>
      </c>
    </row>
    <row r="2985" spans="1:1" ht="29" x14ac:dyDescent="0.35">
      <c r="A2985" s="16" t="s">
        <v>5567</v>
      </c>
    </row>
    <row r="2986" spans="1:1" x14ac:dyDescent="0.35">
      <c r="A2986" s="16" t="s">
        <v>5568</v>
      </c>
    </row>
    <row r="2987" spans="1:1" x14ac:dyDescent="0.35">
      <c r="A2987" s="16" t="s">
        <v>5569</v>
      </c>
    </row>
    <row r="2988" spans="1:1" x14ac:dyDescent="0.35">
      <c r="A2988" s="16" t="s">
        <v>5570</v>
      </c>
    </row>
    <row r="2989" spans="1:1" ht="29" x14ac:dyDescent="0.35">
      <c r="A2989" s="16" t="s">
        <v>5571</v>
      </c>
    </row>
    <row r="2990" spans="1:1" x14ac:dyDescent="0.35">
      <c r="A2990" s="16" t="s">
        <v>5572</v>
      </c>
    </row>
    <row r="2991" spans="1:1" x14ac:dyDescent="0.35">
      <c r="A2991" s="16" t="s">
        <v>5573</v>
      </c>
    </row>
    <row r="2992" spans="1:1" ht="29" x14ac:dyDescent="0.35">
      <c r="A2992" s="16" t="s">
        <v>5574</v>
      </c>
    </row>
    <row r="2993" spans="1:1" x14ac:dyDescent="0.35">
      <c r="A2993" s="16" t="s">
        <v>5575</v>
      </c>
    </row>
    <row r="2994" spans="1:1" x14ac:dyDescent="0.35">
      <c r="A2994" s="16" t="s">
        <v>5576</v>
      </c>
    </row>
    <row r="2995" spans="1:1" x14ac:dyDescent="0.35">
      <c r="A2995" s="16" t="s">
        <v>5577</v>
      </c>
    </row>
    <row r="2996" spans="1:1" ht="29" x14ac:dyDescent="0.35">
      <c r="A2996" s="16" t="s">
        <v>5578</v>
      </c>
    </row>
    <row r="2997" spans="1:1" x14ac:dyDescent="0.35">
      <c r="A2997" s="16" t="s">
        <v>5579</v>
      </c>
    </row>
    <row r="2998" spans="1:1" ht="29" x14ac:dyDescent="0.35">
      <c r="A2998" s="16" t="s">
        <v>5580</v>
      </c>
    </row>
    <row r="2999" spans="1:1" ht="29" x14ac:dyDescent="0.35">
      <c r="A2999" s="16" t="s">
        <v>5581</v>
      </c>
    </row>
    <row r="3000" spans="1:1" ht="29" x14ac:dyDescent="0.35">
      <c r="A3000" s="16" t="s">
        <v>5582</v>
      </c>
    </row>
    <row r="3001" spans="1:1" ht="29" x14ac:dyDescent="0.35">
      <c r="A3001" s="16" t="s">
        <v>5583</v>
      </c>
    </row>
    <row r="3002" spans="1:1" ht="29" x14ac:dyDescent="0.35">
      <c r="A3002" s="16" t="s">
        <v>5584</v>
      </c>
    </row>
    <row r="3003" spans="1:1" ht="29" x14ac:dyDescent="0.35">
      <c r="A3003" s="16" t="s">
        <v>5585</v>
      </c>
    </row>
    <row r="3004" spans="1:1" x14ac:dyDescent="0.35">
      <c r="A3004" s="16" t="s">
        <v>5586</v>
      </c>
    </row>
    <row r="3005" spans="1:1" x14ac:dyDescent="0.35">
      <c r="A3005" s="16" t="s">
        <v>5587</v>
      </c>
    </row>
    <row r="3006" spans="1:1" ht="29" x14ac:dyDescent="0.35">
      <c r="A3006" s="16" t="s">
        <v>5588</v>
      </c>
    </row>
    <row r="3007" spans="1:1" ht="29" x14ac:dyDescent="0.35">
      <c r="A3007" s="16" t="s">
        <v>5589</v>
      </c>
    </row>
    <row r="3008" spans="1:1" x14ac:dyDescent="0.35">
      <c r="A3008" s="16" t="s">
        <v>5590</v>
      </c>
    </row>
    <row r="3009" spans="1:1" x14ac:dyDescent="0.35">
      <c r="A3009" s="16" t="s">
        <v>5591</v>
      </c>
    </row>
    <row r="3010" spans="1:1" x14ac:dyDescent="0.35">
      <c r="A3010" s="16" t="s">
        <v>5592</v>
      </c>
    </row>
    <row r="3011" spans="1:1" x14ac:dyDescent="0.35">
      <c r="A3011" s="16" t="s">
        <v>5593</v>
      </c>
    </row>
    <row r="3012" spans="1:1" ht="29" x14ac:dyDescent="0.35">
      <c r="A3012" s="16" t="s">
        <v>5594</v>
      </c>
    </row>
    <row r="3013" spans="1:1" x14ac:dyDescent="0.35">
      <c r="A3013" s="16" t="s">
        <v>5595</v>
      </c>
    </row>
    <row r="3014" spans="1:1" ht="29" x14ac:dyDescent="0.35">
      <c r="A3014" s="16" t="s">
        <v>5596</v>
      </c>
    </row>
    <row r="3015" spans="1:1" ht="29" x14ac:dyDescent="0.35">
      <c r="A3015" s="16" t="s">
        <v>5597</v>
      </c>
    </row>
    <row r="3016" spans="1:1" x14ac:dyDescent="0.35">
      <c r="A3016" s="16" t="s">
        <v>5598</v>
      </c>
    </row>
    <row r="3017" spans="1:1" ht="29" x14ac:dyDescent="0.35">
      <c r="A3017" s="16" t="s">
        <v>5599</v>
      </c>
    </row>
    <row r="3018" spans="1:1" ht="29" x14ac:dyDescent="0.35">
      <c r="A3018" s="16" t="s">
        <v>5600</v>
      </c>
    </row>
    <row r="3019" spans="1:1" ht="29" x14ac:dyDescent="0.35">
      <c r="A3019" s="16" t="s">
        <v>5601</v>
      </c>
    </row>
    <row r="3020" spans="1:1" x14ac:dyDescent="0.35">
      <c r="A3020" s="16" t="s">
        <v>5602</v>
      </c>
    </row>
    <row r="3021" spans="1:1" x14ac:dyDescent="0.35">
      <c r="A3021" s="16" t="s">
        <v>5603</v>
      </c>
    </row>
    <row r="3022" spans="1:1" ht="29" x14ac:dyDescent="0.35">
      <c r="A3022" s="16" t="s">
        <v>5604</v>
      </c>
    </row>
    <row r="3023" spans="1:1" x14ac:dyDescent="0.35">
      <c r="A3023" s="16" t="s">
        <v>5605</v>
      </c>
    </row>
    <row r="3024" spans="1:1" ht="29" x14ac:dyDescent="0.35">
      <c r="A3024" s="16" t="s">
        <v>5606</v>
      </c>
    </row>
    <row r="3025" spans="1:1" x14ac:dyDescent="0.35">
      <c r="A3025" s="16" t="s">
        <v>5607</v>
      </c>
    </row>
    <row r="3026" spans="1:1" ht="43.5" x14ac:dyDescent="0.35">
      <c r="A3026" s="16" t="s">
        <v>5608</v>
      </c>
    </row>
    <row r="3027" spans="1:1" x14ac:dyDescent="0.35">
      <c r="A3027" s="16" t="s">
        <v>5609</v>
      </c>
    </row>
    <row r="3028" spans="1:1" x14ac:dyDescent="0.35">
      <c r="A3028" s="16" t="s">
        <v>5610</v>
      </c>
    </row>
    <row r="3029" spans="1:1" ht="29" x14ac:dyDescent="0.35">
      <c r="A3029" s="16" t="s">
        <v>5611</v>
      </c>
    </row>
    <row r="3030" spans="1:1" ht="29" x14ac:dyDescent="0.35">
      <c r="A3030" s="16" t="s">
        <v>5612</v>
      </c>
    </row>
    <row r="3031" spans="1:1" ht="29" x14ac:dyDescent="0.35">
      <c r="A3031" s="16" t="s">
        <v>5613</v>
      </c>
    </row>
    <row r="3032" spans="1:1" x14ac:dyDescent="0.35">
      <c r="A3032" s="16" t="s">
        <v>5614</v>
      </c>
    </row>
    <row r="3033" spans="1:1" ht="29" x14ac:dyDescent="0.35">
      <c r="A3033" s="16" t="s">
        <v>5615</v>
      </c>
    </row>
    <row r="3034" spans="1:1" ht="29" x14ac:dyDescent="0.35">
      <c r="A3034" s="16" t="s">
        <v>5616</v>
      </c>
    </row>
    <row r="3035" spans="1:1" ht="29" x14ac:dyDescent="0.35">
      <c r="A3035" s="16" t="s">
        <v>5617</v>
      </c>
    </row>
    <row r="3036" spans="1:1" ht="29" x14ac:dyDescent="0.35">
      <c r="A3036" s="16" t="s">
        <v>5618</v>
      </c>
    </row>
    <row r="3037" spans="1:1" ht="29" x14ac:dyDescent="0.35">
      <c r="A3037" s="16" t="s">
        <v>5619</v>
      </c>
    </row>
    <row r="3038" spans="1:1" ht="29" x14ac:dyDescent="0.35">
      <c r="A3038" s="16" t="s">
        <v>5620</v>
      </c>
    </row>
    <row r="3039" spans="1:1" x14ac:dyDescent="0.35">
      <c r="A3039" s="16" t="s">
        <v>5621</v>
      </c>
    </row>
    <row r="3040" spans="1:1" x14ac:dyDescent="0.35">
      <c r="A3040" s="16" t="s">
        <v>5622</v>
      </c>
    </row>
    <row r="3041" spans="1:1" x14ac:dyDescent="0.35">
      <c r="A3041" s="16" t="s">
        <v>5623</v>
      </c>
    </row>
    <row r="3042" spans="1:1" x14ac:dyDescent="0.35">
      <c r="A3042" s="16" t="s">
        <v>5624</v>
      </c>
    </row>
    <row r="3043" spans="1:1" ht="29" x14ac:dyDescent="0.35">
      <c r="A3043" s="16" t="s">
        <v>5625</v>
      </c>
    </row>
    <row r="3044" spans="1:1" ht="29" x14ac:dyDescent="0.35">
      <c r="A3044" s="16" t="s">
        <v>5626</v>
      </c>
    </row>
    <row r="3045" spans="1:1" ht="29" x14ac:dyDescent="0.35">
      <c r="A3045" s="16" t="s">
        <v>5627</v>
      </c>
    </row>
    <row r="3046" spans="1:1" ht="29" x14ac:dyDescent="0.35">
      <c r="A3046" s="16" t="s">
        <v>5628</v>
      </c>
    </row>
    <row r="3047" spans="1:1" x14ac:dyDescent="0.35">
      <c r="A3047" s="16" t="s">
        <v>5629</v>
      </c>
    </row>
    <row r="3048" spans="1:1" ht="29" x14ac:dyDescent="0.35">
      <c r="A3048" s="16" t="s">
        <v>5630</v>
      </c>
    </row>
    <row r="3049" spans="1:1" x14ac:dyDescent="0.35">
      <c r="A3049" s="16" t="s">
        <v>5631</v>
      </c>
    </row>
    <row r="3050" spans="1:1" x14ac:dyDescent="0.35">
      <c r="A3050" s="16" t="s">
        <v>5632</v>
      </c>
    </row>
    <row r="3051" spans="1:1" x14ac:dyDescent="0.35">
      <c r="A3051" s="16" t="s">
        <v>5633</v>
      </c>
    </row>
    <row r="3052" spans="1:1" ht="29" x14ac:dyDescent="0.35">
      <c r="A3052" s="16" t="s">
        <v>5634</v>
      </c>
    </row>
    <row r="3053" spans="1:1" ht="29" x14ac:dyDescent="0.35">
      <c r="A3053" s="16" t="s">
        <v>5635</v>
      </c>
    </row>
    <row r="3054" spans="1:1" x14ac:dyDescent="0.35">
      <c r="A3054" s="16" t="s">
        <v>5636</v>
      </c>
    </row>
    <row r="3055" spans="1:1" x14ac:dyDescent="0.35">
      <c r="A3055" s="16" t="s">
        <v>5637</v>
      </c>
    </row>
    <row r="3056" spans="1:1" ht="29" x14ac:dyDescent="0.35">
      <c r="A3056" s="16" t="s">
        <v>5638</v>
      </c>
    </row>
    <row r="3057" spans="1:1" x14ac:dyDescent="0.35">
      <c r="A3057" s="16" t="s">
        <v>5639</v>
      </c>
    </row>
    <row r="3058" spans="1:1" ht="29" x14ac:dyDescent="0.35">
      <c r="A3058" s="16" t="s">
        <v>5640</v>
      </c>
    </row>
    <row r="3059" spans="1:1" ht="29" x14ac:dyDescent="0.35">
      <c r="A3059" s="16" t="s">
        <v>5641</v>
      </c>
    </row>
    <row r="3060" spans="1:1" ht="29" x14ac:dyDescent="0.35">
      <c r="A3060" s="16" t="s">
        <v>5642</v>
      </c>
    </row>
    <row r="3061" spans="1:1" ht="29" x14ac:dyDescent="0.35">
      <c r="A3061" s="16" t="s">
        <v>5643</v>
      </c>
    </row>
    <row r="3062" spans="1:1" ht="29" x14ac:dyDescent="0.35">
      <c r="A3062" s="16" t="s">
        <v>5644</v>
      </c>
    </row>
    <row r="3063" spans="1:1" x14ac:dyDescent="0.35">
      <c r="A3063" s="16" t="s">
        <v>5645</v>
      </c>
    </row>
    <row r="3064" spans="1:1" ht="29" x14ac:dyDescent="0.35">
      <c r="A3064" s="16" t="s">
        <v>5646</v>
      </c>
    </row>
    <row r="3065" spans="1:1" x14ac:dyDescent="0.35">
      <c r="A3065" s="16" t="s">
        <v>5647</v>
      </c>
    </row>
    <row r="3066" spans="1:1" ht="29" x14ac:dyDescent="0.35">
      <c r="A3066" s="16" t="s">
        <v>5648</v>
      </c>
    </row>
    <row r="3067" spans="1:1" ht="29" x14ac:dyDescent="0.35">
      <c r="A3067" s="16" t="s">
        <v>5649</v>
      </c>
    </row>
    <row r="3068" spans="1:1" ht="29" x14ac:dyDescent="0.35">
      <c r="A3068" s="16" t="s">
        <v>5650</v>
      </c>
    </row>
    <row r="3069" spans="1:1" ht="29" x14ac:dyDescent="0.35">
      <c r="A3069" s="16" t="s">
        <v>5651</v>
      </c>
    </row>
    <row r="3070" spans="1:1" ht="29" x14ac:dyDescent="0.35">
      <c r="A3070" s="16" t="s">
        <v>5652</v>
      </c>
    </row>
    <row r="3071" spans="1:1" ht="29" x14ac:dyDescent="0.35">
      <c r="A3071" s="16" t="s">
        <v>5653</v>
      </c>
    </row>
    <row r="3072" spans="1:1" ht="29" x14ac:dyDescent="0.35">
      <c r="A3072" s="16" t="s">
        <v>5654</v>
      </c>
    </row>
    <row r="3073" spans="1:1" ht="29" x14ac:dyDescent="0.35">
      <c r="A3073" s="16" t="s">
        <v>5655</v>
      </c>
    </row>
    <row r="3074" spans="1:1" ht="29" x14ac:dyDescent="0.35">
      <c r="A3074" s="16" t="s">
        <v>5656</v>
      </c>
    </row>
    <row r="3075" spans="1:1" ht="29" x14ac:dyDescent="0.35">
      <c r="A3075" s="16" t="s">
        <v>5657</v>
      </c>
    </row>
    <row r="3076" spans="1:1" ht="29" x14ac:dyDescent="0.35">
      <c r="A3076" s="16" t="s">
        <v>5658</v>
      </c>
    </row>
    <row r="3077" spans="1:1" x14ac:dyDescent="0.35">
      <c r="A3077" s="16" t="s">
        <v>5659</v>
      </c>
    </row>
    <row r="3078" spans="1:1" x14ac:dyDescent="0.35">
      <c r="A3078" s="16" t="s">
        <v>5660</v>
      </c>
    </row>
    <row r="3079" spans="1:1" ht="29" x14ac:dyDescent="0.35">
      <c r="A3079" s="16" t="s">
        <v>5661</v>
      </c>
    </row>
    <row r="3080" spans="1:1" x14ac:dyDescent="0.35">
      <c r="A3080" s="16" t="s">
        <v>5662</v>
      </c>
    </row>
    <row r="3081" spans="1:1" x14ac:dyDescent="0.35">
      <c r="A3081" s="16" t="s">
        <v>5663</v>
      </c>
    </row>
    <row r="3082" spans="1:1" ht="29" x14ac:dyDescent="0.35">
      <c r="A3082" s="16" t="s">
        <v>5664</v>
      </c>
    </row>
    <row r="3083" spans="1:1" ht="29" x14ac:dyDescent="0.35">
      <c r="A3083" s="16" t="s">
        <v>5665</v>
      </c>
    </row>
    <row r="3084" spans="1:1" ht="29" x14ac:dyDescent="0.35">
      <c r="A3084" s="16" t="s">
        <v>5666</v>
      </c>
    </row>
    <row r="3085" spans="1:1" x14ac:dyDescent="0.35">
      <c r="A3085" s="16" t="s">
        <v>5667</v>
      </c>
    </row>
    <row r="3086" spans="1:1" ht="29" x14ac:dyDescent="0.35">
      <c r="A3086" s="16" t="s">
        <v>5668</v>
      </c>
    </row>
    <row r="3087" spans="1:1" ht="29" x14ac:dyDescent="0.35">
      <c r="A3087" s="16" t="s">
        <v>5669</v>
      </c>
    </row>
    <row r="3088" spans="1:1" x14ac:dyDescent="0.35">
      <c r="A3088" s="16" t="s">
        <v>5670</v>
      </c>
    </row>
    <row r="3089" spans="1:1" x14ac:dyDescent="0.35">
      <c r="A3089" s="16" t="s">
        <v>5671</v>
      </c>
    </row>
    <row r="3090" spans="1:1" x14ac:dyDescent="0.35">
      <c r="A3090" s="16" t="s">
        <v>5672</v>
      </c>
    </row>
    <row r="3091" spans="1:1" ht="29" x14ac:dyDescent="0.35">
      <c r="A3091" s="16" t="s">
        <v>5673</v>
      </c>
    </row>
    <row r="3092" spans="1:1" ht="29" x14ac:dyDescent="0.35">
      <c r="A3092" s="16" t="s">
        <v>5674</v>
      </c>
    </row>
    <row r="3093" spans="1:1" ht="29" x14ac:dyDescent="0.35">
      <c r="A3093" s="16" t="s">
        <v>5675</v>
      </c>
    </row>
    <row r="3094" spans="1:1" ht="29" x14ac:dyDescent="0.35">
      <c r="A3094" s="16" t="s">
        <v>5676</v>
      </c>
    </row>
    <row r="3095" spans="1:1" ht="29" x14ac:dyDescent="0.35">
      <c r="A3095" s="16" t="s">
        <v>5677</v>
      </c>
    </row>
    <row r="3096" spans="1:1" x14ac:dyDescent="0.35">
      <c r="A3096" s="16" t="s">
        <v>5678</v>
      </c>
    </row>
    <row r="3097" spans="1:1" ht="29" x14ac:dyDescent="0.35">
      <c r="A3097" s="16" t="s">
        <v>5679</v>
      </c>
    </row>
    <row r="3098" spans="1:1" ht="29" x14ac:dyDescent="0.35">
      <c r="A3098" s="16" t="s">
        <v>5680</v>
      </c>
    </row>
    <row r="3099" spans="1:1" ht="29" x14ac:dyDescent="0.35">
      <c r="A3099" s="16" t="s">
        <v>5681</v>
      </c>
    </row>
    <row r="3100" spans="1:1" ht="29" x14ac:dyDescent="0.35">
      <c r="A3100" s="16" t="s">
        <v>5682</v>
      </c>
    </row>
    <row r="3101" spans="1:1" ht="29" x14ac:dyDescent="0.35">
      <c r="A3101" s="16" t="s">
        <v>5683</v>
      </c>
    </row>
    <row r="3102" spans="1:1" ht="29" x14ac:dyDescent="0.35">
      <c r="A3102" s="16" t="s">
        <v>5684</v>
      </c>
    </row>
    <row r="3103" spans="1:1" ht="29" x14ac:dyDescent="0.35">
      <c r="A3103" s="16" t="s">
        <v>5685</v>
      </c>
    </row>
    <row r="3104" spans="1:1" ht="29" x14ac:dyDescent="0.35">
      <c r="A3104" s="16" t="s">
        <v>5686</v>
      </c>
    </row>
    <row r="3105" spans="1:1" ht="29" x14ac:dyDescent="0.35">
      <c r="A3105" s="16" t="s">
        <v>5687</v>
      </c>
    </row>
    <row r="3106" spans="1:1" x14ac:dyDescent="0.35">
      <c r="A3106" s="16" t="s">
        <v>5688</v>
      </c>
    </row>
    <row r="3107" spans="1:1" ht="29" x14ac:dyDescent="0.35">
      <c r="A3107" s="16" t="s">
        <v>5689</v>
      </c>
    </row>
    <row r="3108" spans="1:1" x14ac:dyDescent="0.35">
      <c r="A3108" s="16" t="s">
        <v>5690</v>
      </c>
    </row>
    <row r="3109" spans="1:1" x14ac:dyDescent="0.35">
      <c r="A3109" s="16" t="s">
        <v>5691</v>
      </c>
    </row>
    <row r="3110" spans="1:1" x14ac:dyDescent="0.35">
      <c r="A3110" s="16" t="s">
        <v>5692</v>
      </c>
    </row>
    <row r="3111" spans="1:1" ht="29" x14ac:dyDescent="0.35">
      <c r="A3111" s="16" t="s">
        <v>5693</v>
      </c>
    </row>
    <row r="3112" spans="1:1" ht="29" x14ac:dyDescent="0.35">
      <c r="A3112" s="16" t="s">
        <v>5694</v>
      </c>
    </row>
    <row r="3113" spans="1:1" x14ac:dyDescent="0.35">
      <c r="A3113" s="16" t="s">
        <v>5695</v>
      </c>
    </row>
    <row r="3114" spans="1:1" x14ac:dyDescent="0.35">
      <c r="A3114" s="16" t="s">
        <v>5696</v>
      </c>
    </row>
    <row r="3115" spans="1:1" ht="29" x14ac:dyDescent="0.35">
      <c r="A3115" s="16" t="s">
        <v>5697</v>
      </c>
    </row>
    <row r="3116" spans="1:1" x14ac:dyDescent="0.35">
      <c r="A3116" s="16" t="s">
        <v>5698</v>
      </c>
    </row>
    <row r="3117" spans="1:1" x14ac:dyDescent="0.35">
      <c r="A3117" s="16" t="s">
        <v>5699</v>
      </c>
    </row>
    <row r="3118" spans="1:1" x14ac:dyDescent="0.35">
      <c r="A3118" s="16" t="s">
        <v>5700</v>
      </c>
    </row>
    <row r="3119" spans="1:1" ht="29" x14ac:dyDescent="0.35">
      <c r="A3119" s="16" t="s">
        <v>5701</v>
      </c>
    </row>
    <row r="3120" spans="1:1" ht="29" x14ac:dyDescent="0.35">
      <c r="A3120" s="16" t="s">
        <v>5702</v>
      </c>
    </row>
    <row r="3121" spans="1:1" ht="29" x14ac:dyDescent="0.35">
      <c r="A3121" s="16" t="s">
        <v>5703</v>
      </c>
    </row>
    <row r="3122" spans="1:1" ht="29" x14ac:dyDescent="0.35">
      <c r="A3122" s="16" t="s">
        <v>5704</v>
      </c>
    </row>
    <row r="3123" spans="1:1" ht="29" x14ac:dyDescent="0.35">
      <c r="A3123" s="16" t="s">
        <v>5705</v>
      </c>
    </row>
    <row r="3124" spans="1:1" x14ac:dyDescent="0.35">
      <c r="A3124" s="16" t="s">
        <v>5706</v>
      </c>
    </row>
    <row r="3125" spans="1:1" ht="43.5" x14ac:dyDescent="0.35">
      <c r="A3125" s="16" t="s">
        <v>5707</v>
      </c>
    </row>
    <row r="3126" spans="1:1" x14ac:dyDescent="0.35">
      <c r="A3126" s="16" t="s">
        <v>5708</v>
      </c>
    </row>
    <row r="3127" spans="1:1" ht="29" x14ac:dyDescent="0.35">
      <c r="A3127" s="16" t="s">
        <v>5709</v>
      </c>
    </row>
    <row r="3128" spans="1:1" ht="29" x14ac:dyDescent="0.35">
      <c r="A3128" s="16" t="s">
        <v>5710</v>
      </c>
    </row>
    <row r="3129" spans="1:1" ht="29" x14ac:dyDescent="0.35">
      <c r="A3129" s="16" t="s">
        <v>5711</v>
      </c>
    </row>
    <row r="3130" spans="1:1" ht="29" x14ac:dyDescent="0.35">
      <c r="A3130" s="16" t="s">
        <v>5712</v>
      </c>
    </row>
    <row r="3131" spans="1:1" x14ac:dyDescent="0.35">
      <c r="A3131" s="16" t="s">
        <v>5713</v>
      </c>
    </row>
    <row r="3132" spans="1:1" ht="29" x14ac:dyDescent="0.35">
      <c r="A3132" s="16" t="s">
        <v>5714</v>
      </c>
    </row>
    <row r="3133" spans="1:1" ht="29" x14ac:dyDescent="0.35">
      <c r="A3133" s="16" t="s">
        <v>5715</v>
      </c>
    </row>
    <row r="3134" spans="1:1" ht="29" x14ac:dyDescent="0.35">
      <c r="A3134" s="16" t="s">
        <v>5716</v>
      </c>
    </row>
    <row r="3135" spans="1:1" ht="29" x14ac:dyDescent="0.35">
      <c r="A3135" s="16" t="s">
        <v>5717</v>
      </c>
    </row>
    <row r="3136" spans="1:1" ht="29" x14ac:dyDescent="0.35">
      <c r="A3136" s="16" t="s">
        <v>5718</v>
      </c>
    </row>
    <row r="3137" spans="1:1" ht="29" x14ac:dyDescent="0.35">
      <c r="A3137" s="16" t="s">
        <v>5719</v>
      </c>
    </row>
    <row r="3138" spans="1:1" ht="29" x14ac:dyDescent="0.35">
      <c r="A3138" s="16" t="s">
        <v>5720</v>
      </c>
    </row>
    <row r="3139" spans="1:1" ht="29" x14ac:dyDescent="0.35">
      <c r="A3139" s="16" t="s">
        <v>5721</v>
      </c>
    </row>
    <row r="3140" spans="1:1" x14ac:dyDescent="0.35">
      <c r="A3140" s="16" t="s">
        <v>5722</v>
      </c>
    </row>
    <row r="3141" spans="1:1" x14ac:dyDescent="0.35">
      <c r="A3141" s="16" t="s">
        <v>5723</v>
      </c>
    </row>
    <row r="3142" spans="1:1" x14ac:dyDescent="0.35">
      <c r="A3142" s="16" t="s">
        <v>5724</v>
      </c>
    </row>
    <row r="3143" spans="1:1" x14ac:dyDescent="0.35">
      <c r="A3143" s="16" t="s">
        <v>5725</v>
      </c>
    </row>
    <row r="3144" spans="1:1" x14ac:dyDescent="0.35">
      <c r="A3144" s="16" t="s">
        <v>5726</v>
      </c>
    </row>
    <row r="3145" spans="1:1" x14ac:dyDescent="0.35">
      <c r="A3145" s="16" t="s">
        <v>5727</v>
      </c>
    </row>
    <row r="3146" spans="1:1" ht="29" x14ac:dyDescent="0.35">
      <c r="A3146" s="16" t="s">
        <v>5728</v>
      </c>
    </row>
    <row r="3147" spans="1:1" x14ac:dyDescent="0.35">
      <c r="A3147" s="16" t="s">
        <v>5729</v>
      </c>
    </row>
    <row r="3148" spans="1:1" x14ac:dyDescent="0.35">
      <c r="A3148" s="16" t="s">
        <v>5730</v>
      </c>
    </row>
    <row r="3149" spans="1:1" ht="29" x14ac:dyDescent="0.35">
      <c r="A3149" s="16" t="s">
        <v>5731</v>
      </c>
    </row>
    <row r="3150" spans="1:1" ht="29" x14ac:dyDescent="0.35">
      <c r="A3150" s="16" t="s">
        <v>5732</v>
      </c>
    </row>
    <row r="3151" spans="1:1" x14ac:dyDescent="0.35">
      <c r="A3151" s="16" t="s">
        <v>5733</v>
      </c>
    </row>
    <row r="3152" spans="1:1" x14ac:dyDescent="0.35">
      <c r="A3152" s="16" t="s">
        <v>5734</v>
      </c>
    </row>
    <row r="3153" spans="1:1" ht="29" x14ac:dyDescent="0.35">
      <c r="A3153" s="16" t="s">
        <v>5735</v>
      </c>
    </row>
    <row r="3154" spans="1:1" x14ac:dyDescent="0.35">
      <c r="A3154" s="16" t="s">
        <v>5736</v>
      </c>
    </row>
    <row r="3155" spans="1:1" x14ac:dyDescent="0.35">
      <c r="A3155" s="16" t="s">
        <v>5737</v>
      </c>
    </row>
    <row r="3156" spans="1:1" ht="29" x14ac:dyDescent="0.35">
      <c r="A3156" s="16" t="s">
        <v>5738</v>
      </c>
    </row>
    <row r="3157" spans="1:1" x14ac:dyDescent="0.35">
      <c r="A3157" s="16" t="s">
        <v>5739</v>
      </c>
    </row>
    <row r="3158" spans="1:1" ht="29" x14ac:dyDescent="0.35">
      <c r="A3158" s="16" t="s">
        <v>5740</v>
      </c>
    </row>
    <row r="3159" spans="1:1" ht="29" x14ac:dyDescent="0.35">
      <c r="A3159" s="16" t="s">
        <v>5741</v>
      </c>
    </row>
    <row r="3160" spans="1:1" ht="29" x14ac:dyDescent="0.35">
      <c r="A3160" s="16" t="s">
        <v>5742</v>
      </c>
    </row>
    <row r="3161" spans="1:1" x14ac:dyDescent="0.35">
      <c r="A3161" s="16" t="s">
        <v>5743</v>
      </c>
    </row>
    <row r="3162" spans="1:1" x14ac:dyDescent="0.35">
      <c r="A3162" s="16" t="s">
        <v>5744</v>
      </c>
    </row>
    <row r="3163" spans="1:1" x14ac:dyDescent="0.35">
      <c r="A3163" s="16" t="s">
        <v>5745</v>
      </c>
    </row>
    <row r="3164" spans="1:1" ht="29" x14ac:dyDescent="0.35">
      <c r="A3164" s="16" t="s">
        <v>5746</v>
      </c>
    </row>
    <row r="3165" spans="1:1" ht="29" x14ac:dyDescent="0.35">
      <c r="A3165" s="16" t="s">
        <v>5747</v>
      </c>
    </row>
    <row r="3166" spans="1:1" ht="29" x14ac:dyDescent="0.35">
      <c r="A3166" s="16" t="s">
        <v>5748</v>
      </c>
    </row>
    <row r="3167" spans="1:1" x14ac:dyDescent="0.35">
      <c r="A3167" s="16" t="s">
        <v>5749</v>
      </c>
    </row>
    <row r="3168" spans="1:1" ht="29" x14ac:dyDescent="0.35">
      <c r="A3168" s="16" t="s">
        <v>5750</v>
      </c>
    </row>
    <row r="3169" spans="1:1" x14ac:dyDescent="0.35">
      <c r="A3169" s="16" t="s">
        <v>5751</v>
      </c>
    </row>
    <row r="3170" spans="1:1" x14ac:dyDescent="0.35">
      <c r="A3170" s="16" t="s">
        <v>5752</v>
      </c>
    </row>
    <row r="3171" spans="1:1" ht="29" x14ac:dyDescent="0.35">
      <c r="A3171" s="16" t="s">
        <v>5753</v>
      </c>
    </row>
    <row r="3172" spans="1:1" ht="29" x14ac:dyDescent="0.35">
      <c r="A3172" s="16" t="s">
        <v>5754</v>
      </c>
    </row>
    <row r="3173" spans="1:1" x14ac:dyDescent="0.35">
      <c r="A3173" s="16" t="s">
        <v>5755</v>
      </c>
    </row>
    <row r="3174" spans="1:1" x14ac:dyDescent="0.35">
      <c r="A3174" s="16" t="s">
        <v>5756</v>
      </c>
    </row>
    <row r="3175" spans="1:1" x14ac:dyDescent="0.35">
      <c r="A3175" s="16" t="s">
        <v>5757</v>
      </c>
    </row>
    <row r="3176" spans="1:1" ht="29" x14ac:dyDescent="0.35">
      <c r="A3176" s="16" t="s">
        <v>5758</v>
      </c>
    </row>
    <row r="3177" spans="1:1" x14ac:dyDescent="0.35">
      <c r="A3177" s="16" t="s">
        <v>3026</v>
      </c>
    </row>
    <row r="3178" spans="1:1" ht="29" x14ac:dyDescent="0.35">
      <c r="A3178" s="16" t="s">
        <v>5759</v>
      </c>
    </row>
    <row r="3179" spans="1:1" ht="29" x14ac:dyDescent="0.35">
      <c r="A3179" s="16" t="s">
        <v>5760</v>
      </c>
    </row>
    <row r="3180" spans="1:1" x14ac:dyDescent="0.35">
      <c r="A3180" s="16" t="s">
        <v>5761</v>
      </c>
    </row>
    <row r="3181" spans="1:1" ht="29" x14ac:dyDescent="0.35">
      <c r="A3181" s="16" t="s">
        <v>5762</v>
      </c>
    </row>
    <row r="3182" spans="1:1" x14ac:dyDescent="0.35">
      <c r="A3182" s="16" t="s">
        <v>5763</v>
      </c>
    </row>
    <row r="3183" spans="1:1" ht="29" x14ac:dyDescent="0.35">
      <c r="A3183" s="16" t="s">
        <v>5764</v>
      </c>
    </row>
    <row r="3184" spans="1:1" x14ac:dyDescent="0.35">
      <c r="A3184" s="16" t="s">
        <v>5765</v>
      </c>
    </row>
    <row r="3185" spans="1:1" ht="29" x14ac:dyDescent="0.35">
      <c r="A3185" s="16" t="s">
        <v>5766</v>
      </c>
    </row>
    <row r="3186" spans="1:1" x14ac:dyDescent="0.35">
      <c r="A3186" s="16" t="s">
        <v>5767</v>
      </c>
    </row>
    <row r="3187" spans="1:1" x14ac:dyDescent="0.35">
      <c r="A3187" s="16" t="s">
        <v>5768</v>
      </c>
    </row>
    <row r="3188" spans="1:1" ht="29" x14ac:dyDescent="0.35">
      <c r="A3188" s="16" t="s">
        <v>5769</v>
      </c>
    </row>
    <row r="3189" spans="1:1" ht="29" x14ac:dyDescent="0.35">
      <c r="A3189" s="16" t="s">
        <v>5770</v>
      </c>
    </row>
    <row r="3190" spans="1:1" x14ac:dyDescent="0.35">
      <c r="A3190" s="16" t="s">
        <v>5771</v>
      </c>
    </row>
    <row r="3191" spans="1:1" x14ac:dyDescent="0.35">
      <c r="A3191" s="16" t="s">
        <v>5772</v>
      </c>
    </row>
    <row r="3192" spans="1:1" ht="29" x14ac:dyDescent="0.35">
      <c r="A3192" s="16" t="s">
        <v>5773</v>
      </c>
    </row>
    <row r="3193" spans="1:1" x14ac:dyDescent="0.35">
      <c r="A3193" s="16" t="s">
        <v>5774</v>
      </c>
    </row>
    <row r="3194" spans="1:1" ht="29" x14ac:dyDescent="0.35">
      <c r="A3194" s="16" t="s">
        <v>5775</v>
      </c>
    </row>
    <row r="3195" spans="1:1" x14ac:dyDescent="0.35">
      <c r="A3195" s="16" t="s">
        <v>5776</v>
      </c>
    </row>
    <row r="3196" spans="1:1" ht="29" x14ac:dyDescent="0.35">
      <c r="A3196" s="16" t="s">
        <v>5777</v>
      </c>
    </row>
    <row r="3197" spans="1:1" x14ac:dyDescent="0.35">
      <c r="A3197" s="16" t="s">
        <v>5778</v>
      </c>
    </row>
    <row r="3198" spans="1:1" ht="29" x14ac:dyDescent="0.35">
      <c r="A3198" s="16" t="s">
        <v>5779</v>
      </c>
    </row>
    <row r="3199" spans="1:1" ht="29" x14ac:dyDescent="0.35">
      <c r="A3199" s="16" t="s">
        <v>5780</v>
      </c>
    </row>
    <row r="3200" spans="1:1" x14ac:dyDescent="0.35">
      <c r="A3200" s="16" t="s">
        <v>5781</v>
      </c>
    </row>
    <row r="3201" spans="1:1" ht="29" x14ac:dyDescent="0.35">
      <c r="A3201" s="16" t="s">
        <v>5782</v>
      </c>
    </row>
    <row r="3202" spans="1:1" ht="29" x14ac:dyDescent="0.35">
      <c r="A3202" s="16" t="s">
        <v>5783</v>
      </c>
    </row>
    <row r="3203" spans="1:1" ht="29" x14ac:dyDescent="0.35">
      <c r="A3203" s="16" t="s">
        <v>5784</v>
      </c>
    </row>
    <row r="3204" spans="1:1" ht="29" x14ac:dyDescent="0.35">
      <c r="A3204" s="16" t="s">
        <v>5785</v>
      </c>
    </row>
    <row r="3205" spans="1:1" x14ac:dyDescent="0.35">
      <c r="A3205" s="16" t="s">
        <v>5786</v>
      </c>
    </row>
    <row r="3206" spans="1:1" x14ac:dyDescent="0.35">
      <c r="A3206" s="16" t="s">
        <v>5787</v>
      </c>
    </row>
    <row r="3207" spans="1:1" x14ac:dyDescent="0.35">
      <c r="A3207" s="16" t="s">
        <v>5788</v>
      </c>
    </row>
    <row r="3208" spans="1:1" ht="29" x14ac:dyDescent="0.35">
      <c r="A3208" s="16" t="s">
        <v>5789</v>
      </c>
    </row>
    <row r="3209" spans="1:1" x14ac:dyDescent="0.35">
      <c r="A3209" s="16" t="s">
        <v>5790</v>
      </c>
    </row>
    <row r="3210" spans="1:1" ht="29" x14ac:dyDescent="0.35">
      <c r="A3210" s="16" t="s">
        <v>5791</v>
      </c>
    </row>
    <row r="3211" spans="1:1" ht="29" x14ac:dyDescent="0.35">
      <c r="A3211" s="16" t="s">
        <v>5792</v>
      </c>
    </row>
    <row r="3212" spans="1:1" ht="29" x14ac:dyDescent="0.35">
      <c r="A3212" s="16" t="s">
        <v>5793</v>
      </c>
    </row>
    <row r="3213" spans="1:1" ht="29" x14ac:dyDescent="0.35">
      <c r="A3213" s="16" t="s">
        <v>5794</v>
      </c>
    </row>
    <row r="3214" spans="1:1" ht="29" x14ac:dyDescent="0.35">
      <c r="A3214" s="16" t="s">
        <v>5795</v>
      </c>
    </row>
    <row r="3215" spans="1:1" ht="29" x14ac:dyDescent="0.35">
      <c r="A3215" s="16" t="s">
        <v>5796</v>
      </c>
    </row>
    <row r="3216" spans="1:1" x14ac:dyDescent="0.35">
      <c r="A3216" s="16" t="s">
        <v>5797</v>
      </c>
    </row>
    <row r="3217" spans="1:1" x14ac:dyDescent="0.35">
      <c r="A3217" s="16" t="s">
        <v>5798</v>
      </c>
    </row>
    <row r="3218" spans="1:1" x14ac:dyDescent="0.35">
      <c r="A3218" s="16" t="s">
        <v>5799</v>
      </c>
    </row>
    <row r="3219" spans="1:1" x14ac:dyDescent="0.35">
      <c r="A3219" s="16" t="s">
        <v>5800</v>
      </c>
    </row>
    <row r="3220" spans="1:1" ht="29" x14ac:dyDescent="0.35">
      <c r="A3220" s="16" t="s">
        <v>5801</v>
      </c>
    </row>
    <row r="3221" spans="1:1" x14ac:dyDescent="0.35">
      <c r="A3221" s="16" t="s">
        <v>5802</v>
      </c>
    </row>
    <row r="3222" spans="1:1" ht="29" x14ac:dyDescent="0.35">
      <c r="A3222" s="16" t="s">
        <v>5803</v>
      </c>
    </row>
    <row r="3223" spans="1:1" ht="29" x14ac:dyDescent="0.35">
      <c r="A3223" s="16" t="s">
        <v>5804</v>
      </c>
    </row>
    <row r="3224" spans="1:1" x14ac:dyDescent="0.35">
      <c r="A3224" s="16" t="s">
        <v>5805</v>
      </c>
    </row>
    <row r="3225" spans="1:1" x14ac:dyDescent="0.35">
      <c r="A3225" s="16" t="s">
        <v>5806</v>
      </c>
    </row>
    <row r="3226" spans="1:1" ht="29" x14ac:dyDescent="0.35">
      <c r="A3226" s="16" t="s">
        <v>5807</v>
      </c>
    </row>
    <row r="3227" spans="1:1" x14ac:dyDescent="0.35">
      <c r="A3227" s="16" t="s">
        <v>5808</v>
      </c>
    </row>
    <row r="3228" spans="1:1" x14ac:dyDescent="0.35">
      <c r="A3228" s="16" t="s">
        <v>5809</v>
      </c>
    </row>
    <row r="3229" spans="1:1" x14ac:dyDescent="0.35">
      <c r="A3229" s="16" t="s">
        <v>5810</v>
      </c>
    </row>
    <row r="3230" spans="1:1" x14ac:dyDescent="0.35">
      <c r="A3230" s="16" t="s">
        <v>5811</v>
      </c>
    </row>
    <row r="3231" spans="1:1" ht="29" x14ac:dyDescent="0.35">
      <c r="A3231" s="16" t="s">
        <v>5812</v>
      </c>
    </row>
    <row r="3232" spans="1:1" x14ac:dyDescent="0.35">
      <c r="A3232" s="16" t="s">
        <v>5813</v>
      </c>
    </row>
    <row r="3233" spans="1:1" ht="29" x14ac:dyDescent="0.35">
      <c r="A3233" s="16" t="s">
        <v>5814</v>
      </c>
    </row>
    <row r="3234" spans="1:1" ht="29" x14ac:dyDescent="0.35">
      <c r="A3234" s="16" t="s">
        <v>5815</v>
      </c>
    </row>
    <row r="3235" spans="1:1" ht="29" x14ac:dyDescent="0.35">
      <c r="A3235" s="16" t="s">
        <v>5816</v>
      </c>
    </row>
    <row r="3236" spans="1:1" ht="29" x14ac:dyDescent="0.35">
      <c r="A3236" s="16" t="s">
        <v>5817</v>
      </c>
    </row>
    <row r="3237" spans="1:1" ht="29" x14ac:dyDescent="0.35">
      <c r="A3237" s="16" t="s">
        <v>5818</v>
      </c>
    </row>
    <row r="3238" spans="1:1" x14ac:dyDescent="0.35">
      <c r="A3238" s="16" t="s">
        <v>5819</v>
      </c>
    </row>
    <row r="3239" spans="1:1" ht="29" x14ac:dyDescent="0.35">
      <c r="A3239" s="16" t="s">
        <v>5820</v>
      </c>
    </row>
    <row r="3240" spans="1:1" ht="29" x14ac:dyDescent="0.35">
      <c r="A3240" s="16" t="s">
        <v>5821</v>
      </c>
    </row>
    <row r="3241" spans="1:1" x14ac:dyDescent="0.35">
      <c r="A3241" s="16" t="s">
        <v>5822</v>
      </c>
    </row>
    <row r="3242" spans="1:1" x14ac:dyDescent="0.35">
      <c r="A3242" s="16" t="s">
        <v>5823</v>
      </c>
    </row>
    <row r="3243" spans="1:1" x14ac:dyDescent="0.35">
      <c r="A3243" s="16" t="s">
        <v>5824</v>
      </c>
    </row>
    <row r="3244" spans="1:1" ht="29" x14ac:dyDescent="0.35">
      <c r="A3244" s="16" t="s">
        <v>5825</v>
      </c>
    </row>
    <row r="3245" spans="1:1" ht="29" x14ac:dyDescent="0.35">
      <c r="A3245" s="16" t="s">
        <v>5826</v>
      </c>
    </row>
    <row r="3246" spans="1:1" x14ac:dyDescent="0.35">
      <c r="A3246" s="16" t="s">
        <v>5827</v>
      </c>
    </row>
    <row r="3247" spans="1:1" ht="29" x14ac:dyDescent="0.35">
      <c r="A3247" s="16" t="s">
        <v>5828</v>
      </c>
    </row>
    <row r="3248" spans="1:1" x14ac:dyDescent="0.35">
      <c r="A3248" s="16" t="s">
        <v>5829</v>
      </c>
    </row>
    <row r="3249" spans="1:1" ht="29" x14ac:dyDescent="0.35">
      <c r="A3249" s="16" t="s">
        <v>5830</v>
      </c>
    </row>
    <row r="3250" spans="1:1" ht="29" x14ac:dyDescent="0.35">
      <c r="A3250" s="16" t="s">
        <v>5831</v>
      </c>
    </row>
    <row r="3251" spans="1:1" ht="29" x14ac:dyDescent="0.35">
      <c r="A3251" s="16" t="s">
        <v>5832</v>
      </c>
    </row>
    <row r="3252" spans="1:1" ht="29" x14ac:dyDescent="0.35">
      <c r="A3252" s="16" t="s">
        <v>5833</v>
      </c>
    </row>
    <row r="3253" spans="1:1" ht="29" x14ac:dyDescent="0.35">
      <c r="A3253" s="16" t="s">
        <v>5834</v>
      </c>
    </row>
    <row r="3254" spans="1:1" x14ac:dyDescent="0.35">
      <c r="A3254" s="16" t="s">
        <v>5835</v>
      </c>
    </row>
    <row r="3255" spans="1:1" ht="29" x14ac:dyDescent="0.35">
      <c r="A3255" s="16" t="s">
        <v>5836</v>
      </c>
    </row>
    <row r="3256" spans="1:1" x14ac:dyDescent="0.35">
      <c r="A3256" s="16" t="s">
        <v>5837</v>
      </c>
    </row>
    <row r="3257" spans="1:1" x14ac:dyDescent="0.35">
      <c r="A3257" s="16" t="s">
        <v>5838</v>
      </c>
    </row>
    <row r="3258" spans="1:1" x14ac:dyDescent="0.35">
      <c r="A3258" s="16" t="s">
        <v>5839</v>
      </c>
    </row>
    <row r="3259" spans="1:1" x14ac:dyDescent="0.35">
      <c r="A3259" s="16" t="s">
        <v>5840</v>
      </c>
    </row>
    <row r="3260" spans="1:1" x14ac:dyDescent="0.35">
      <c r="A3260" s="16" t="s">
        <v>5841</v>
      </c>
    </row>
    <row r="3261" spans="1:1" x14ac:dyDescent="0.35">
      <c r="A3261" s="16" t="s">
        <v>5842</v>
      </c>
    </row>
    <row r="3262" spans="1:1" x14ac:dyDescent="0.35">
      <c r="A3262" s="16" t="s">
        <v>5843</v>
      </c>
    </row>
    <row r="3263" spans="1:1" x14ac:dyDescent="0.35">
      <c r="A3263" s="16" t="s">
        <v>5844</v>
      </c>
    </row>
    <row r="3264" spans="1:1" x14ac:dyDescent="0.35">
      <c r="A3264" s="16" t="s">
        <v>5845</v>
      </c>
    </row>
    <row r="3265" spans="1:1" x14ac:dyDescent="0.35">
      <c r="A3265" s="16" t="s">
        <v>5846</v>
      </c>
    </row>
    <row r="3266" spans="1:1" ht="29" x14ac:dyDescent="0.35">
      <c r="A3266" s="16" t="s">
        <v>5847</v>
      </c>
    </row>
    <row r="3267" spans="1:1" ht="29" x14ac:dyDescent="0.35">
      <c r="A3267" s="16" t="s">
        <v>5848</v>
      </c>
    </row>
    <row r="3268" spans="1:1" x14ac:dyDescent="0.35">
      <c r="A3268" s="16" t="s">
        <v>5849</v>
      </c>
    </row>
    <row r="3269" spans="1:1" x14ac:dyDescent="0.35">
      <c r="A3269" s="16" t="s">
        <v>5850</v>
      </c>
    </row>
    <row r="3270" spans="1:1" x14ac:dyDescent="0.35">
      <c r="A3270" s="16" t="s">
        <v>5851</v>
      </c>
    </row>
    <row r="3271" spans="1:1" ht="29" x14ac:dyDescent="0.35">
      <c r="A3271" s="16" t="s">
        <v>5852</v>
      </c>
    </row>
    <row r="3272" spans="1:1" ht="29" x14ac:dyDescent="0.35">
      <c r="A3272" s="16" t="s">
        <v>5853</v>
      </c>
    </row>
    <row r="3273" spans="1:1" x14ac:dyDescent="0.35">
      <c r="A3273" s="16" t="s">
        <v>5854</v>
      </c>
    </row>
    <row r="3274" spans="1:1" ht="29" x14ac:dyDescent="0.35">
      <c r="A3274" s="16" t="s">
        <v>5855</v>
      </c>
    </row>
    <row r="3275" spans="1:1" x14ac:dyDescent="0.35">
      <c r="A3275" s="16" t="s">
        <v>5856</v>
      </c>
    </row>
    <row r="3276" spans="1:1" ht="29" x14ac:dyDescent="0.35">
      <c r="A3276" s="16" t="s">
        <v>5857</v>
      </c>
    </row>
    <row r="3277" spans="1:1" x14ac:dyDescent="0.35">
      <c r="A3277" s="16" t="s">
        <v>5858</v>
      </c>
    </row>
    <row r="3278" spans="1:1" x14ac:dyDescent="0.35">
      <c r="A3278" s="16" t="s">
        <v>5859</v>
      </c>
    </row>
    <row r="3279" spans="1:1" x14ac:dyDescent="0.35">
      <c r="A3279" s="16" t="s">
        <v>5860</v>
      </c>
    </row>
    <row r="3280" spans="1:1" x14ac:dyDescent="0.35">
      <c r="A3280" s="16" t="s">
        <v>5861</v>
      </c>
    </row>
    <row r="3281" spans="1:1" ht="29" x14ac:dyDescent="0.35">
      <c r="A3281" s="16" t="s">
        <v>5862</v>
      </c>
    </row>
    <row r="3282" spans="1:1" x14ac:dyDescent="0.35">
      <c r="A3282" s="16" t="s">
        <v>5863</v>
      </c>
    </row>
    <row r="3283" spans="1:1" ht="29" x14ac:dyDescent="0.35">
      <c r="A3283" s="16" t="s">
        <v>5864</v>
      </c>
    </row>
    <row r="3284" spans="1:1" ht="29" x14ac:dyDescent="0.35">
      <c r="A3284" s="16" t="s">
        <v>5865</v>
      </c>
    </row>
    <row r="3285" spans="1:1" x14ac:dyDescent="0.35">
      <c r="A3285" s="16" t="s">
        <v>5866</v>
      </c>
    </row>
    <row r="3286" spans="1:1" ht="29" x14ac:dyDescent="0.35">
      <c r="A3286" s="16" t="s">
        <v>5867</v>
      </c>
    </row>
    <row r="3287" spans="1:1" ht="29" x14ac:dyDescent="0.35">
      <c r="A3287" s="16" t="s">
        <v>5868</v>
      </c>
    </row>
    <row r="3288" spans="1:1" ht="29" x14ac:dyDescent="0.35">
      <c r="A3288" s="16" t="s">
        <v>5869</v>
      </c>
    </row>
    <row r="3289" spans="1:1" ht="29" x14ac:dyDescent="0.35">
      <c r="A3289" s="16" t="s">
        <v>5870</v>
      </c>
    </row>
    <row r="3290" spans="1:1" ht="29" x14ac:dyDescent="0.35">
      <c r="A3290" s="16" t="s">
        <v>5871</v>
      </c>
    </row>
    <row r="3291" spans="1:1" ht="29" x14ac:dyDescent="0.35">
      <c r="A3291" s="16" t="s">
        <v>5872</v>
      </c>
    </row>
    <row r="3292" spans="1:1" ht="29" x14ac:dyDescent="0.35">
      <c r="A3292" s="16" t="s">
        <v>5873</v>
      </c>
    </row>
    <row r="3293" spans="1:1" ht="29" x14ac:dyDescent="0.35">
      <c r="A3293" s="16" t="s">
        <v>5874</v>
      </c>
    </row>
    <row r="3294" spans="1:1" x14ac:dyDescent="0.35">
      <c r="A3294" s="16" t="s">
        <v>5875</v>
      </c>
    </row>
    <row r="3295" spans="1:1" x14ac:dyDescent="0.35">
      <c r="A3295" s="16" t="s">
        <v>5876</v>
      </c>
    </row>
    <row r="3296" spans="1:1" ht="29" x14ac:dyDescent="0.35">
      <c r="A3296" s="16" t="s">
        <v>5877</v>
      </c>
    </row>
    <row r="3297" spans="1:1" ht="29" x14ac:dyDescent="0.35">
      <c r="A3297" s="16" t="s">
        <v>5878</v>
      </c>
    </row>
    <row r="3298" spans="1:1" ht="29" x14ac:dyDescent="0.35">
      <c r="A3298" s="16" t="s">
        <v>5879</v>
      </c>
    </row>
    <row r="3299" spans="1:1" x14ac:dyDescent="0.35">
      <c r="A3299" s="16" t="s">
        <v>5880</v>
      </c>
    </row>
    <row r="3300" spans="1:1" ht="29" x14ac:dyDescent="0.35">
      <c r="A3300" s="16" t="s">
        <v>5881</v>
      </c>
    </row>
    <row r="3301" spans="1:1" ht="29" x14ac:dyDescent="0.35">
      <c r="A3301" s="16" t="s">
        <v>5882</v>
      </c>
    </row>
    <row r="3302" spans="1:1" x14ac:dyDescent="0.35">
      <c r="A3302" s="16" t="s">
        <v>5883</v>
      </c>
    </row>
    <row r="3303" spans="1:1" ht="29" x14ac:dyDescent="0.35">
      <c r="A3303" s="16" t="s">
        <v>5884</v>
      </c>
    </row>
    <row r="3304" spans="1:1" ht="29" x14ac:dyDescent="0.35">
      <c r="A3304" s="16" t="s">
        <v>5885</v>
      </c>
    </row>
    <row r="3305" spans="1:1" x14ac:dyDescent="0.35">
      <c r="A3305" s="16" t="s">
        <v>5886</v>
      </c>
    </row>
    <row r="3306" spans="1:1" ht="29" x14ac:dyDescent="0.35">
      <c r="A3306" s="16" t="s">
        <v>5887</v>
      </c>
    </row>
    <row r="3307" spans="1:1" x14ac:dyDescent="0.35">
      <c r="A3307" s="16" t="s">
        <v>5888</v>
      </c>
    </row>
    <row r="3308" spans="1:1" ht="29" x14ac:dyDescent="0.35">
      <c r="A3308" s="16" t="s">
        <v>5889</v>
      </c>
    </row>
    <row r="3309" spans="1:1" x14ac:dyDescent="0.35">
      <c r="A3309" s="16" t="s">
        <v>5890</v>
      </c>
    </row>
    <row r="3310" spans="1:1" ht="29" x14ac:dyDescent="0.35">
      <c r="A3310" s="16" t="s">
        <v>5891</v>
      </c>
    </row>
    <row r="3311" spans="1:1" ht="29" x14ac:dyDescent="0.35">
      <c r="A3311" s="16" t="s">
        <v>5892</v>
      </c>
    </row>
    <row r="3312" spans="1:1" x14ac:dyDescent="0.35">
      <c r="A3312" s="16" t="s">
        <v>5893</v>
      </c>
    </row>
    <row r="3313" spans="1:1" x14ac:dyDescent="0.35">
      <c r="A3313" s="16" t="s">
        <v>5894</v>
      </c>
    </row>
    <row r="3314" spans="1:1" x14ac:dyDescent="0.35">
      <c r="A3314" s="16" t="s">
        <v>5895</v>
      </c>
    </row>
    <row r="3315" spans="1:1" ht="29" x14ac:dyDescent="0.35">
      <c r="A3315" s="16" t="s">
        <v>5896</v>
      </c>
    </row>
    <row r="3316" spans="1:1" x14ac:dyDescent="0.35">
      <c r="A3316" s="16" t="s">
        <v>5897</v>
      </c>
    </row>
    <row r="3317" spans="1:1" ht="29" x14ac:dyDescent="0.35">
      <c r="A3317" s="16" t="s">
        <v>5898</v>
      </c>
    </row>
    <row r="3318" spans="1:1" x14ac:dyDescent="0.35">
      <c r="A3318" s="16" t="s">
        <v>5899</v>
      </c>
    </row>
    <row r="3319" spans="1:1" x14ac:dyDescent="0.35">
      <c r="A3319" s="16" t="s">
        <v>5900</v>
      </c>
    </row>
    <row r="3320" spans="1:1" ht="29" x14ac:dyDescent="0.35">
      <c r="A3320" s="16" t="s">
        <v>5901</v>
      </c>
    </row>
    <row r="3321" spans="1:1" x14ac:dyDescent="0.35">
      <c r="A3321" s="16" t="s">
        <v>5902</v>
      </c>
    </row>
    <row r="3322" spans="1:1" ht="29" x14ac:dyDescent="0.35">
      <c r="A3322" s="16" t="s">
        <v>5903</v>
      </c>
    </row>
    <row r="3323" spans="1:1" x14ac:dyDescent="0.35">
      <c r="A3323" s="16" t="s">
        <v>5904</v>
      </c>
    </row>
    <row r="3324" spans="1:1" ht="29" x14ac:dyDescent="0.35">
      <c r="A3324" s="16" t="s">
        <v>5905</v>
      </c>
    </row>
    <row r="3325" spans="1:1" ht="29" x14ac:dyDescent="0.35">
      <c r="A3325" s="16" t="s">
        <v>5906</v>
      </c>
    </row>
    <row r="3326" spans="1:1" ht="29" x14ac:dyDescent="0.35">
      <c r="A3326" s="16" t="s">
        <v>5907</v>
      </c>
    </row>
    <row r="3327" spans="1:1" x14ac:dyDescent="0.35">
      <c r="A3327" s="16" t="s">
        <v>5908</v>
      </c>
    </row>
    <row r="3328" spans="1:1" x14ac:dyDescent="0.35">
      <c r="A3328" s="16" t="s">
        <v>5909</v>
      </c>
    </row>
    <row r="3329" spans="1:1" ht="29" x14ac:dyDescent="0.35">
      <c r="A3329" s="16" t="s">
        <v>5910</v>
      </c>
    </row>
    <row r="3330" spans="1:1" x14ac:dyDescent="0.35">
      <c r="A3330" s="16" t="s">
        <v>5911</v>
      </c>
    </row>
    <row r="3331" spans="1:1" x14ac:dyDescent="0.35">
      <c r="A3331" s="16" t="s">
        <v>5912</v>
      </c>
    </row>
    <row r="3332" spans="1:1" x14ac:dyDescent="0.35">
      <c r="A3332" s="16" t="s">
        <v>5913</v>
      </c>
    </row>
    <row r="3333" spans="1:1" x14ac:dyDescent="0.35">
      <c r="A3333" s="16" t="s">
        <v>5914</v>
      </c>
    </row>
    <row r="3334" spans="1:1" x14ac:dyDescent="0.35">
      <c r="A3334" s="16" t="s">
        <v>5915</v>
      </c>
    </row>
    <row r="3335" spans="1:1" x14ac:dyDescent="0.35">
      <c r="A3335" s="16" t="s">
        <v>5916</v>
      </c>
    </row>
    <row r="3336" spans="1:1" ht="29" x14ac:dyDescent="0.35">
      <c r="A3336" s="16" t="s">
        <v>5917</v>
      </c>
    </row>
    <row r="3337" spans="1:1" x14ac:dyDescent="0.35">
      <c r="A3337" s="16" t="s">
        <v>5918</v>
      </c>
    </row>
    <row r="3338" spans="1:1" ht="29" x14ac:dyDescent="0.35">
      <c r="A3338" s="16" t="s">
        <v>5919</v>
      </c>
    </row>
    <row r="3339" spans="1:1" x14ac:dyDescent="0.35">
      <c r="A3339" s="16" t="s">
        <v>5920</v>
      </c>
    </row>
    <row r="3340" spans="1:1" ht="29" x14ac:dyDescent="0.35">
      <c r="A3340" s="16" t="s">
        <v>5921</v>
      </c>
    </row>
    <row r="3341" spans="1:1" ht="29" x14ac:dyDescent="0.35">
      <c r="A3341" s="16" t="s">
        <v>5922</v>
      </c>
    </row>
    <row r="3342" spans="1:1" ht="29" x14ac:dyDescent="0.35">
      <c r="A3342" s="16" t="s">
        <v>5923</v>
      </c>
    </row>
    <row r="3343" spans="1:1" ht="29" x14ac:dyDescent="0.35">
      <c r="A3343" s="16" t="s">
        <v>5924</v>
      </c>
    </row>
    <row r="3344" spans="1:1" x14ac:dyDescent="0.35">
      <c r="A3344" s="16" t="s">
        <v>5925</v>
      </c>
    </row>
    <row r="3345" spans="1:1" ht="29" x14ac:dyDescent="0.35">
      <c r="A3345" s="16" t="s">
        <v>5926</v>
      </c>
    </row>
    <row r="3346" spans="1:1" x14ac:dyDescent="0.35">
      <c r="A3346" s="16" t="s">
        <v>5927</v>
      </c>
    </row>
    <row r="3347" spans="1:1" ht="29" x14ac:dyDescent="0.35">
      <c r="A3347" s="16" t="s">
        <v>5928</v>
      </c>
    </row>
    <row r="3348" spans="1:1" x14ac:dyDescent="0.35">
      <c r="A3348" s="16" t="s">
        <v>5929</v>
      </c>
    </row>
    <row r="3349" spans="1:1" x14ac:dyDescent="0.35">
      <c r="A3349" s="16" t="s">
        <v>5930</v>
      </c>
    </row>
    <row r="3350" spans="1:1" ht="29" x14ac:dyDescent="0.35">
      <c r="A3350" s="16" t="s">
        <v>5931</v>
      </c>
    </row>
    <row r="3351" spans="1:1" x14ac:dyDescent="0.35">
      <c r="A3351" s="16" t="s">
        <v>5932</v>
      </c>
    </row>
    <row r="3352" spans="1:1" ht="29" x14ac:dyDescent="0.35">
      <c r="A3352" s="16" t="s">
        <v>5933</v>
      </c>
    </row>
    <row r="3353" spans="1:1" ht="29" x14ac:dyDescent="0.35">
      <c r="A3353" s="16" t="s">
        <v>5934</v>
      </c>
    </row>
    <row r="3354" spans="1:1" x14ac:dyDescent="0.35">
      <c r="A3354" s="16" t="s">
        <v>5935</v>
      </c>
    </row>
    <row r="3355" spans="1:1" ht="29" x14ac:dyDescent="0.35">
      <c r="A3355" s="16" t="s">
        <v>5936</v>
      </c>
    </row>
    <row r="3356" spans="1:1" ht="29" x14ac:dyDescent="0.35">
      <c r="A3356" s="16" t="s">
        <v>5937</v>
      </c>
    </row>
    <row r="3357" spans="1:1" ht="29" x14ac:dyDescent="0.35">
      <c r="A3357" s="16" t="s">
        <v>5938</v>
      </c>
    </row>
    <row r="3358" spans="1:1" ht="29" x14ac:dyDescent="0.35">
      <c r="A3358" s="16" t="s">
        <v>5939</v>
      </c>
    </row>
    <row r="3359" spans="1:1" ht="29" x14ac:dyDescent="0.35">
      <c r="A3359" s="16" t="s">
        <v>5940</v>
      </c>
    </row>
    <row r="3360" spans="1:1" x14ac:dyDescent="0.35">
      <c r="A3360" s="16" t="s">
        <v>5941</v>
      </c>
    </row>
    <row r="3361" spans="1:1" x14ac:dyDescent="0.35">
      <c r="A3361" s="16" t="s">
        <v>5942</v>
      </c>
    </row>
    <row r="3362" spans="1:1" ht="29" x14ac:dyDescent="0.35">
      <c r="A3362" s="16" t="s">
        <v>5943</v>
      </c>
    </row>
    <row r="3363" spans="1:1" ht="29" x14ac:dyDescent="0.35">
      <c r="A3363" s="16" t="s">
        <v>5944</v>
      </c>
    </row>
    <row r="3364" spans="1:1" ht="29" x14ac:dyDescent="0.35">
      <c r="A3364" s="16" t="s">
        <v>5945</v>
      </c>
    </row>
    <row r="3365" spans="1:1" ht="29" x14ac:dyDescent="0.35">
      <c r="A3365" s="16" t="s">
        <v>5946</v>
      </c>
    </row>
    <row r="3366" spans="1:1" ht="29" x14ac:dyDescent="0.35">
      <c r="A3366" s="16" t="s">
        <v>5947</v>
      </c>
    </row>
    <row r="3367" spans="1:1" ht="29" x14ac:dyDescent="0.35">
      <c r="A3367" s="16" t="s">
        <v>5948</v>
      </c>
    </row>
    <row r="3368" spans="1:1" x14ac:dyDescent="0.35">
      <c r="A3368" s="16" t="s">
        <v>5949</v>
      </c>
    </row>
    <row r="3369" spans="1:1" ht="29" x14ac:dyDescent="0.35">
      <c r="A3369" s="16" t="s">
        <v>5950</v>
      </c>
    </row>
    <row r="3370" spans="1:1" ht="29" x14ac:dyDescent="0.35">
      <c r="A3370" s="16" t="s">
        <v>5951</v>
      </c>
    </row>
    <row r="3371" spans="1:1" x14ac:dyDescent="0.35">
      <c r="A3371" s="16" t="s">
        <v>5952</v>
      </c>
    </row>
    <row r="3372" spans="1:1" ht="29" x14ac:dyDescent="0.35">
      <c r="A3372" s="16" t="s">
        <v>5953</v>
      </c>
    </row>
    <row r="3373" spans="1:1" x14ac:dyDescent="0.35">
      <c r="A3373" s="16" t="s">
        <v>5954</v>
      </c>
    </row>
    <row r="3374" spans="1:1" x14ac:dyDescent="0.35">
      <c r="A3374" s="16" t="s">
        <v>5955</v>
      </c>
    </row>
    <row r="3375" spans="1:1" x14ac:dyDescent="0.35">
      <c r="A3375" s="16" t="s">
        <v>5956</v>
      </c>
    </row>
    <row r="3376" spans="1:1" ht="29" x14ac:dyDescent="0.35">
      <c r="A3376" s="16" t="s">
        <v>5957</v>
      </c>
    </row>
    <row r="3377" spans="1:1" ht="29" x14ac:dyDescent="0.35">
      <c r="A3377" s="16" t="s">
        <v>5958</v>
      </c>
    </row>
    <row r="3378" spans="1:1" ht="29" x14ac:dyDescent="0.35">
      <c r="A3378" s="16" t="s">
        <v>5959</v>
      </c>
    </row>
    <row r="3379" spans="1:1" x14ac:dyDescent="0.35">
      <c r="A3379" s="16" t="s">
        <v>5960</v>
      </c>
    </row>
    <row r="3380" spans="1:1" x14ac:dyDescent="0.35">
      <c r="A3380" s="16" t="s">
        <v>5961</v>
      </c>
    </row>
    <row r="3381" spans="1:1" x14ac:dyDescent="0.35">
      <c r="A3381" s="16" t="s">
        <v>5962</v>
      </c>
    </row>
    <row r="3382" spans="1:1" ht="29" x14ac:dyDescent="0.35">
      <c r="A3382" s="16" t="s">
        <v>5963</v>
      </c>
    </row>
    <row r="3383" spans="1:1" ht="29" x14ac:dyDescent="0.35">
      <c r="A3383" s="16" t="s">
        <v>5964</v>
      </c>
    </row>
    <row r="3384" spans="1:1" ht="29" x14ac:dyDescent="0.35">
      <c r="A3384" s="16" t="s">
        <v>5965</v>
      </c>
    </row>
    <row r="3385" spans="1:1" ht="29" x14ac:dyDescent="0.35">
      <c r="A3385" s="16" t="s">
        <v>5966</v>
      </c>
    </row>
    <row r="3386" spans="1:1" ht="29" x14ac:dyDescent="0.35">
      <c r="A3386" s="16" t="s">
        <v>5967</v>
      </c>
    </row>
    <row r="3387" spans="1:1" x14ac:dyDescent="0.35">
      <c r="A3387" s="16" t="s">
        <v>5968</v>
      </c>
    </row>
    <row r="3388" spans="1:1" ht="29" x14ac:dyDescent="0.35">
      <c r="A3388" s="16" t="s">
        <v>5969</v>
      </c>
    </row>
    <row r="3389" spans="1:1" x14ac:dyDescent="0.35">
      <c r="A3389" s="16" t="s">
        <v>5970</v>
      </c>
    </row>
    <row r="3390" spans="1:1" x14ac:dyDescent="0.35">
      <c r="A3390" s="16" t="s">
        <v>5971</v>
      </c>
    </row>
    <row r="3391" spans="1:1" ht="29" x14ac:dyDescent="0.35">
      <c r="A3391" s="16" t="s">
        <v>5972</v>
      </c>
    </row>
    <row r="3392" spans="1:1" x14ac:dyDescent="0.35">
      <c r="A3392" s="16" t="s">
        <v>5973</v>
      </c>
    </row>
    <row r="3393" spans="1:1" ht="29" x14ac:dyDescent="0.35">
      <c r="A3393" s="16" t="s">
        <v>5974</v>
      </c>
    </row>
    <row r="3394" spans="1:1" ht="29" x14ac:dyDescent="0.35">
      <c r="A3394" s="16" t="s">
        <v>5975</v>
      </c>
    </row>
    <row r="3395" spans="1:1" x14ac:dyDescent="0.35">
      <c r="A3395" s="16" t="s">
        <v>5976</v>
      </c>
    </row>
    <row r="3396" spans="1:1" ht="29" x14ac:dyDescent="0.35">
      <c r="A3396" s="16" t="s">
        <v>5977</v>
      </c>
    </row>
    <row r="3397" spans="1:1" ht="29" x14ac:dyDescent="0.35">
      <c r="A3397" s="16" t="s">
        <v>5978</v>
      </c>
    </row>
    <row r="3398" spans="1:1" ht="29" x14ac:dyDescent="0.35">
      <c r="A3398" s="16" t="s">
        <v>5979</v>
      </c>
    </row>
    <row r="3399" spans="1:1" x14ac:dyDescent="0.35">
      <c r="A3399" s="16" t="s">
        <v>5980</v>
      </c>
    </row>
    <row r="3400" spans="1:1" ht="29" x14ac:dyDescent="0.35">
      <c r="A3400" s="16" t="s">
        <v>5981</v>
      </c>
    </row>
    <row r="3401" spans="1:1" x14ac:dyDescent="0.35">
      <c r="A3401" s="16" t="s">
        <v>5982</v>
      </c>
    </row>
    <row r="3402" spans="1:1" ht="29" x14ac:dyDescent="0.35">
      <c r="A3402" s="16" t="s">
        <v>5983</v>
      </c>
    </row>
    <row r="3403" spans="1:1" x14ac:dyDescent="0.35">
      <c r="A3403" s="16" t="s">
        <v>5984</v>
      </c>
    </row>
    <row r="3404" spans="1:1" ht="29" x14ac:dyDescent="0.35">
      <c r="A3404" s="16" t="s">
        <v>5985</v>
      </c>
    </row>
    <row r="3405" spans="1:1" ht="29" x14ac:dyDescent="0.35">
      <c r="A3405" s="16" t="s">
        <v>5986</v>
      </c>
    </row>
    <row r="3406" spans="1:1" x14ac:dyDescent="0.35">
      <c r="A3406" s="16" t="s">
        <v>5987</v>
      </c>
    </row>
    <row r="3407" spans="1:1" ht="29" x14ac:dyDescent="0.35">
      <c r="A3407" s="16" t="s">
        <v>5988</v>
      </c>
    </row>
    <row r="3408" spans="1:1" ht="29" x14ac:dyDescent="0.35">
      <c r="A3408" s="16" t="s">
        <v>5989</v>
      </c>
    </row>
    <row r="3409" spans="1:1" ht="29" x14ac:dyDescent="0.35">
      <c r="A3409" s="16" t="s">
        <v>5990</v>
      </c>
    </row>
    <row r="3410" spans="1:1" ht="29" x14ac:dyDescent="0.35">
      <c r="A3410" s="16" t="s">
        <v>5991</v>
      </c>
    </row>
    <row r="3411" spans="1:1" ht="29" x14ac:dyDescent="0.35">
      <c r="A3411" s="16" t="s">
        <v>5992</v>
      </c>
    </row>
    <row r="3412" spans="1:1" x14ac:dyDescent="0.35">
      <c r="A3412" s="16" t="s">
        <v>5993</v>
      </c>
    </row>
    <row r="3413" spans="1:1" ht="29" x14ac:dyDescent="0.35">
      <c r="A3413" s="16" t="s">
        <v>5994</v>
      </c>
    </row>
    <row r="3414" spans="1:1" x14ac:dyDescent="0.35">
      <c r="A3414" s="16" t="s">
        <v>5995</v>
      </c>
    </row>
    <row r="3415" spans="1:1" x14ac:dyDescent="0.35">
      <c r="A3415" s="16" t="s">
        <v>5996</v>
      </c>
    </row>
    <row r="3416" spans="1:1" ht="29" x14ac:dyDescent="0.35">
      <c r="A3416" s="16" t="s">
        <v>5997</v>
      </c>
    </row>
    <row r="3417" spans="1:1" ht="29" x14ac:dyDescent="0.35">
      <c r="A3417" s="16" t="s">
        <v>5998</v>
      </c>
    </row>
    <row r="3418" spans="1:1" ht="29" x14ac:dyDescent="0.35">
      <c r="A3418" s="16" t="s">
        <v>5999</v>
      </c>
    </row>
    <row r="3419" spans="1:1" ht="29" x14ac:dyDescent="0.35">
      <c r="A3419" s="16" t="s">
        <v>6000</v>
      </c>
    </row>
    <row r="3420" spans="1:1" x14ac:dyDescent="0.35">
      <c r="A3420" s="16" t="s">
        <v>6001</v>
      </c>
    </row>
    <row r="3421" spans="1:1" ht="29" x14ac:dyDescent="0.35">
      <c r="A3421" s="16" t="s">
        <v>6002</v>
      </c>
    </row>
    <row r="3422" spans="1:1" ht="29" x14ac:dyDescent="0.35">
      <c r="A3422" s="16" t="s">
        <v>6003</v>
      </c>
    </row>
    <row r="3423" spans="1:1" x14ac:dyDescent="0.35">
      <c r="A3423" s="16" t="s">
        <v>6004</v>
      </c>
    </row>
    <row r="3424" spans="1:1" x14ac:dyDescent="0.35">
      <c r="A3424" s="16" t="s">
        <v>6005</v>
      </c>
    </row>
    <row r="3425" spans="1:1" x14ac:dyDescent="0.35">
      <c r="A3425" s="16" t="s">
        <v>6006</v>
      </c>
    </row>
    <row r="3426" spans="1:1" ht="29" x14ac:dyDescent="0.35">
      <c r="A3426" s="16" t="s">
        <v>6007</v>
      </c>
    </row>
    <row r="3427" spans="1:1" ht="29" x14ac:dyDescent="0.35">
      <c r="A3427" s="16" t="s">
        <v>6008</v>
      </c>
    </row>
    <row r="3428" spans="1:1" ht="29" x14ac:dyDescent="0.35">
      <c r="A3428" s="16" t="s">
        <v>6009</v>
      </c>
    </row>
    <row r="3429" spans="1:1" ht="29" x14ac:dyDescent="0.35">
      <c r="A3429" s="16" t="s">
        <v>6010</v>
      </c>
    </row>
    <row r="3430" spans="1:1" ht="29" x14ac:dyDescent="0.35">
      <c r="A3430" s="16" t="s">
        <v>6011</v>
      </c>
    </row>
    <row r="3431" spans="1:1" x14ac:dyDescent="0.35">
      <c r="A3431" s="16" t="s">
        <v>5465</v>
      </c>
    </row>
    <row r="3432" spans="1:1" ht="29" x14ac:dyDescent="0.35">
      <c r="A3432" s="16" t="s">
        <v>6012</v>
      </c>
    </row>
    <row r="3433" spans="1:1" x14ac:dyDescent="0.35">
      <c r="A3433" s="16" t="s">
        <v>6013</v>
      </c>
    </row>
    <row r="3434" spans="1:1" ht="29" x14ac:dyDescent="0.35">
      <c r="A3434" s="16" t="s">
        <v>6014</v>
      </c>
    </row>
    <row r="3435" spans="1:1" x14ac:dyDescent="0.35">
      <c r="A3435" s="16" t="s">
        <v>6015</v>
      </c>
    </row>
    <row r="3436" spans="1:1" ht="29" x14ac:dyDescent="0.35">
      <c r="A3436" s="16" t="s">
        <v>6016</v>
      </c>
    </row>
    <row r="3437" spans="1:1" ht="29" x14ac:dyDescent="0.35">
      <c r="A3437" s="16" t="s">
        <v>6017</v>
      </c>
    </row>
    <row r="3438" spans="1:1" ht="29" x14ac:dyDescent="0.35">
      <c r="A3438" s="16" t="s">
        <v>6018</v>
      </c>
    </row>
    <row r="3439" spans="1:1" ht="29" x14ac:dyDescent="0.35">
      <c r="A3439" s="16" t="s">
        <v>6019</v>
      </c>
    </row>
    <row r="3440" spans="1:1" ht="29" x14ac:dyDescent="0.35">
      <c r="A3440" s="16" t="s">
        <v>6020</v>
      </c>
    </row>
    <row r="3441" spans="1:1" x14ac:dyDescent="0.35">
      <c r="A3441" s="16" t="s">
        <v>6021</v>
      </c>
    </row>
    <row r="3442" spans="1:1" ht="29" x14ac:dyDescent="0.35">
      <c r="A3442" s="16" t="s">
        <v>6022</v>
      </c>
    </row>
    <row r="3443" spans="1:1" ht="29" x14ac:dyDescent="0.35">
      <c r="A3443" s="16" t="s">
        <v>6023</v>
      </c>
    </row>
    <row r="3444" spans="1:1" ht="29" x14ac:dyDescent="0.35">
      <c r="A3444" s="16" t="s">
        <v>6024</v>
      </c>
    </row>
    <row r="3445" spans="1:1" x14ac:dyDescent="0.35">
      <c r="A3445" s="16" t="s">
        <v>6025</v>
      </c>
    </row>
    <row r="3446" spans="1:1" ht="29" x14ac:dyDescent="0.35">
      <c r="A3446" s="16" t="s">
        <v>6026</v>
      </c>
    </row>
    <row r="3447" spans="1:1" x14ac:dyDescent="0.35">
      <c r="A3447" s="16" t="s">
        <v>6027</v>
      </c>
    </row>
    <row r="3448" spans="1:1" x14ac:dyDescent="0.35">
      <c r="A3448" s="16" t="s">
        <v>6028</v>
      </c>
    </row>
    <row r="3449" spans="1:1" ht="29" x14ac:dyDescent="0.35">
      <c r="A3449" s="16" t="s">
        <v>6029</v>
      </c>
    </row>
    <row r="3450" spans="1:1" x14ac:dyDescent="0.35">
      <c r="A3450" s="16" t="s">
        <v>6030</v>
      </c>
    </row>
    <row r="3451" spans="1:1" x14ac:dyDescent="0.35">
      <c r="A3451" s="16" t="s">
        <v>6031</v>
      </c>
    </row>
    <row r="3452" spans="1:1" ht="29" x14ac:dyDescent="0.35">
      <c r="A3452" s="16" t="s">
        <v>6032</v>
      </c>
    </row>
    <row r="3453" spans="1:1" x14ac:dyDescent="0.35">
      <c r="A3453" s="16" t="s">
        <v>6033</v>
      </c>
    </row>
    <row r="3454" spans="1:1" x14ac:dyDescent="0.35">
      <c r="A3454" s="16" t="s">
        <v>6034</v>
      </c>
    </row>
    <row r="3455" spans="1:1" x14ac:dyDescent="0.35">
      <c r="A3455" s="16" t="s">
        <v>6035</v>
      </c>
    </row>
    <row r="3456" spans="1:1" x14ac:dyDescent="0.35">
      <c r="A3456" s="16" t="s">
        <v>6036</v>
      </c>
    </row>
    <row r="3457" spans="1:1" ht="29" x14ac:dyDescent="0.35">
      <c r="A3457" s="16" t="s">
        <v>6037</v>
      </c>
    </row>
    <row r="3458" spans="1:1" ht="29" x14ac:dyDescent="0.35">
      <c r="A3458" s="16" t="s">
        <v>6038</v>
      </c>
    </row>
    <row r="3459" spans="1:1" ht="29" x14ac:dyDescent="0.35">
      <c r="A3459" s="16" t="s">
        <v>6039</v>
      </c>
    </row>
    <row r="3460" spans="1:1" ht="29" x14ac:dyDescent="0.35">
      <c r="A3460" s="16" t="s">
        <v>6040</v>
      </c>
    </row>
    <row r="3461" spans="1:1" ht="29" x14ac:dyDescent="0.35">
      <c r="A3461" s="16" t="s">
        <v>6041</v>
      </c>
    </row>
    <row r="3462" spans="1:1" ht="29" x14ac:dyDescent="0.35">
      <c r="A3462" s="16" t="s">
        <v>6042</v>
      </c>
    </row>
    <row r="3463" spans="1:1" x14ac:dyDescent="0.35">
      <c r="A3463" s="16" t="s">
        <v>6043</v>
      </c>
    </row>
    <row r="3464" spans="1:1" x14ac:dyDescent="0.35">
      <c r="A3464" s="16" t="s">
        <v>6044</v>
      </c>
    </row>
    <row r="3465" spans="1:1" x14ac:dyDescent="0.35">
      <c r="A3465" s="16" t="s">
        <v>6045</v>
      </c>
    </row>
    <row r="3466" spans="1:1" x14ac:dyDescent="0.35">
      <c r="A3466" s="16" t="s">
        <v>6046</v>
      </c>
    </row>
    <row r="3467" spans="1:1" ht="29" x14ac:dyDescent="0.35">
      <c r="A3467" s="16" t="s">
        <v>6047</v>
      </c>
    </row>
    <row r="3468" spans="1:1" x14ac:dyDescent="0.35">
      <c r="A3468" s="16" t="s">
        <v>6048</v>
      </c>
    </row>
    <row r="3469" spans="1:1" x14ac:dyDescent="0.35">
      <c r="A3469" s="16" t="s">
        <v>6049</v>
      </c>
    </row>
    <row r="3470" spans="1:1" ht="29" x14ac:dyDescent="0.35">
      <c r="A3470" s="16" t="s">
        <v>6050</v>
      </c>
    </row>
    <row r="3471" spans="1:1" ht="29" x14ac:dyDescent="0.35">
      <c r="A3471" s="16" t="s">
        <v>6051</v>
      </c>
    </row>
    <row r="3472" spans="1:1" x14ac:dyDescent="0.35">
      <c r="A3472" s="16" t="s">
        <v>6052</v>
      </c>
    </row>
    <row r="3473" spans="1:1" x14ac:dyDescent="0.35">
      <c r="A3473" s="16" t="s">
        <v>6053</v>
      </c>
    </row>
    <row r="3474" spans="1:1" x14ac:dyDescent="0.35">
      <c r="A3474" s="16" t="s">
        <v>6054</v>
      </c>
    </row>
    <row r="3475" spans="1:1" x14ac:dyDescent="0.35">
      <c r="A3475" s="16" t="s">
        <v>6055</v>
      </c>
    </row>
    <row r="3476" spans="1:1" ht="29" x14ac:dyDescent="0.35">
      <c r="A3476" s="16" t="s">
        <v>6056</v>
      </c>
    </row>
    <row r="3477" spans="1:1" x14ac:dyDescent="0.35">
      <c r="A3477" s="16" t="s">
        <v>6057</v>
      </c>
    </row>
    <row r="3478" spans="1:1" x14ac:dyDescent="0.35">
      <c r="A3478" s="16" t="s">
        <v>6058</v>
      </c>
    </row>
    <row r="3479" spans="1:1" ht="29" x14ac:dyDescent="0.35">
      <c r="A3479" s="16" t="s">
        <v>6059</v>
      </c>
    </row>
    <row r="3480" spans="1:1" ht="29" x14ac:dyDescent="0.35">
      <c r="A3480" s="16" t="s">
        <v>6060</v>
      </c>
    </row>
    <row r="3481" spans="1:1" x14ac:dyDescent="0.35">
      <c r="A3481" s="16" t="s">
        <v>6061</v>
      </c>
    </row>
    <row r="3482" spans="1:1" x14ac:dyDescent="0.35">
      <c r="A3482" s="16" t="s">
        <v>6062</v>
      </c>
    </row>
    <row r="3483" spans="1:1" x14ac:dyDescent="0.35">
      <c r="A3483" s="16" t="s">
        <v>6063</v>
      </c>
    </row>
    <row r="3484" spans="1:1" x14ac:dyDescent="0.35">
      <c r="A3484" s="16" t="s">
        <v>6064</v>
      </c>
    </row>
    <row r="3485" spans="1:1" x14ac:dyDescent="0.35">
      <c r="A3485" s="16" t="s">
        <v>6065</v>
      </c>
    </row>
    <row r="3486" spans="1:1" ht="29" x14ac:dyDescent="0.35">
      <c r="A3486" s="16" t="s">
        <v>6066</v>
      </c>
    </row>
    <row r="3487" spans="1:1" ht="29" x14ac:dyDescent="0.35">
      <c r="A3487" s="16" t="s">
        <v>6067</v>
      </c>
    </row>
    <row r="3488" spans="1:1" x14ac:dyDescent="0.35">
      <c r="A3488" s="16" t="s">
        <v>6068</v>
      </c>
    </row>
    <row r="3489" spans="1:1" ht="29" x14ac:dyDescent="0.35">
      <c r="A3489" s="16" t="s">
        <v>6069</v>
      </c>
    </row>
    <row r="3490" spans="1:1" ht="29" x14ac:dyDescent="0.35">
      <c r="A3490" s="16" t="s">
        <v>6070</v>
      </c>
    </row>
    <row r="3491" spans="1:1" ht="29" x14ac:dyDescent="0.35">
      <c r="A3491" s="16" t="s">
        <v>6071</v>
      </c>
    </row>
    <row r="3492" spans="1:1" ht="29" x14ac:dyDescent="0.35">
      <c r="A3492" s="16" t="s">
        <v>6072</v>
      </c>
    </row>
    <row r="3493" spans="1:1" x14ac:dyDescent="0.35">
      <c r="A3493" s="16" t="s">
        <v>6073</v>
      </c>
    </row>
    <row r="3494" spans="1:1" ht="29" x14ac:dyDescent="0.35">
      <c r="A3494" s="16" t="s">
        <v>6074</v>
      </c>
    </row>
    <row r="3495" spans="1:1" ht="29" x14ac:dyDescent="0.35">
      <c r="A3495" s="16" t="s">
        <v>6075</v>
      </c>
    </row>
    <row r="3496" spans="1:1" ht="29" x14ac:dyDescent="0.35">
      <c r="A3496" s="16" t="s">
        <v>6076</v>
      </c>
    </row>
    <row r="3497" spans="1:1" ht="29" x14ac:dyDescent="0.35">
      <c r="A3497" s="16" t="s">
        <v>6077</v>
      </c>
    </row>
    <row r="3498" spans="1:1" x14ac:dyDescent="0.35">
      <c r="A3498" s="16" t="s">
        <v>6078</v>
      </c>
    </row>
    <row r="3499" spans="1:1" ht="29" x14ac:dyDescent="0.35">
      <c r="A3499" s="16" t="s">
        <v>6079</v>
      </c>
    </row>
    <row r="3500" spans="1:1" x14ac:dyDescent="0.35">
      <c r="A3500" s="16" t="s">
        <v>6080</v>
      </c>
    </row>
    <row r="3501" spans="1:1" ht="29" x14ac:dyDescent="0.35">
      <c r="A3501" s="16" t="s">
        <v>6081</v>
      </c>
    </row>
    <row r="3502" spans="1:1" ht="29" x14ac:dyDescent="0.35">
      <c r="A3502" s="16" t="s">
        <v>6082</v>
      </c>
    </row>
    <row r="3503" spans="1:1" x14ac:dyDescent="0.35">
      <c r="A3503" s="16" t="s">
        <v>6083</v>
      </c>
    </row>
    <row r="3504" spans="1:1" ht="29" x14ac:dyDescent="0.35">
      <c r="A3504" s="16" t="s">
        <v>6084</v>
      </c>
    </row>
    <row r="3505" spans="1:1" ht="29" x14ac:dyDescent="0.35">
      <c r="A3505" s="16" t="s">
        <v>6085</v>
      </c>
    </row>
    <row r="3506" spans="1:1" ht="29" x14ac:dyDescent="0.35">
      <c r="A3506" s="16" t="s">
        <v>6086</v>
      </c>
    </row>
    <row r="3507" spans="1:1" x14ac:dyDescent="0.35">
      <c r="A3507" s="16" t="s">
        <v>6087</v>
      </c>
    </row>
    <row r="3508" spans="1:1" ht="29" x14ac:dyDescent="0.35">
      <c r="A3508" s="16" t="s">
        <v>6088</v>
      </c>
    </row>
    <row r="3509" spans="1:1" x14ac:dyDescent="0.35">
      <c r="A3509" s="16" t="s">
        <v>6089</v>
      </c>
    </row>
    <row r="3510" spans="1:1" ht="29" x14ac:dyDescent="0.35">
      <c r="A3510" s="16" t="s">
        <v>6090</v>
      </c>
    </row>
    <row r="3511" spans="1:1" x14ac:dyDescent="0.35">
      <c r="A3511" s="16" t="s">
        <v>6091</v>
      </c>
    </row>
    <row r="3512" spans="1:1" x14ac:dyDescent="0.35">
      <c r="A3512" s="16" t="s">
        <v>6092</v>
      </c>
    </row>
    <row r="3513" spans="1:1" ht="29" x14ac:dyDescent="0.35">
      <c r="A3513" s="16" t="s">
        <v>6093</v>
      </c>
    </row>
    <row r="3514" spans="1:1" ht="29" x14ac:dyDescent="0.35">
      <c r="A3514" s="16" t="s">
        <v>6094</v>
      </c>
    </row>
    <row r="3515" spans="1:1" ht="29" x14ac:dyDescent="0.35">
      <c r="A3515" s="16" t="s">
        <v>6095</v>
      </c>
    </row>
    <row r="3516" spans="1:1" ht="29" x14ac:dyDescent="0.35">
      <c r="A3516" s="16" t="s">
        <v>6096</v>
      </c>
    </row>
    <row r="3517" spans="1:1" x14ac:dyDescent="0.35">
      <c r="A3517" s="16" t="s">
        <v>6097</v>
      </c>
    </row>
    <row r="3518" spans="1:1" x14ac:dyDescent="0.35">
      <c r="A3518" s="16" t="s">
        <v>6098</v>
      </c>
    </row>
    <row r="3519" spans="1:1" x14ac:dyDescent="0.35">
      <c r="A3519" s="16" t="s">
        <v>6099</v>
      </c>
    </row>
    <row r="3520" spans="1:1" ht="29" x14ac:dyDescent="0.35">
      <c r="A3520" s="16" t="s">
        <v>6100</v>
      </c>
    </row>
    <row r="3521" spans="1:1" x14ac:dyDescent="0.35">
      <c r="A3521" s="16" t="s">
        <v>6101</v>
      </c>
    </row>
    <row r="3522" spans="1:1" ht="29" x14ac:dyDescent="0.35">
      <c r="A3522" s="16" t="s">
        <v>6102</v>
      </c>
    </row>
    <row r="3523" spans="1:1" ht="29" x14ac:dyDescent="0.35">
      <c r="A3523" s="16" t="s">
        <v>6103</v>
      </c>
    </row>
    <row r="3524" spans="1:1" ht="29" x14ac:dyDescent="0.35">
      <c r="A3524" s="16" t="s">
        <v>6104</v>
      </c>
    </row>
    <row r="3525" spans="1:1" ht="29" x14ac:dyDescent="0.35">
      <c r="A3525" s="16" t="s">
        <v>6105</v>
      </c>
    </row>
    <row r="3526" spans="1:1" x14ac:dyDescent="0.35">
      <c r="A3526" s="16" t="s">
        <v>6106</v>
      </c>
    </row>
    <row r="3527" spans="1:1" x14ac:dyDescent="0.35">
      <c r="A3527" s="16" t="s">
        <v>6107</v>
      </c>
    </row>
    <row r="3528" spans="1:1" ht="29" x14ac:dyDescent="0.35">
      <c r="A3528" s="16" t="s">
        <v>6108</v>
      </c>
    </row>
    <row r="3529" spans="1:1" ht="29" x14ac:dyDescent="0.35">
      <c r="A3529" s="16" t="s">
        <v>6109</v>
      </c>
    </row>
    <row r="3530" spans="1:1" ht="29" x14ac:dyDescent="0.35">
      <c r="A3530" s="16" t="s">
        <v>6110</v>
      </c>
    </row>
    <row r="3531" spans="1:1" ht="29" x14ac:dyDescent="0.35">
      <c r="A3531" s="16" t="s">
        <v>6111</v>
      </c>
    </row>
    <row r="3532" spans="1:1" ht="29" x14ac:dyDescent="0.35">
      <c r="A3532" s="16" t="s">
        <v>6112</v>
      </c>
    </row>
    <row r="3533" spans="1:1" ht="29" x14ac:dyDescent="0.35">
      <c r="A3533" s="16" t="s">
        <v>6113</v>
      </c>
    </row>
    <row r="3534" spans="1:1" ht="29" x14ac:dyDescent="0.35">
      <c r="A3534" s="16" t="s">
        <v>6114</v>
      </c>
    </row>
    <row r="3535" spans="1:1" x14ac:dyDescent="0.35">
      <c r="A3535" s="16" t="s">
        <v>6115</v>
      </c>
    </row>
    <row r="3536" spans="1:1" x14ac:dyDescent="0.35">
      <c r="A3536" s="16" t="s">
        <v>6116</v>
      </c>
    </row>
    <row r="3537" spans="1:1" x14ac:dyDescent="0.35">
      <c r="A3537" s="16" t="s">
        <v>6117</v>
      </c>
    </row>
    <row r="3538" spans="1:1" ht="29" x14ac:dyDescent="0.35">
      <c r="A3538" s="16" t="s">
        <v>6118</v>
      </c>
    </row>
    <row r="3539" spans="1:1" x14ac:dyDescent="0.35">
      <c r="A3539" s="16" t="s">
        <v>6119</v>
      </c>
    </row>
    <row r="3540" spans="1:1" ht="29" x14ac:dyDescent="0.35">
      <c r="A3540" s="16" t="s">
        <v>6120</v>
      </c>
    </row>
    <row r="3541" spans="1:1" x14ac:dyDescent="0.35">
      <c r="A3541" s="16" t="s">
        <v>6121</v>
      </c>
    </row>
    <row r="3542" spans="1:1" ht="29" x14ac:dyDescent="0.35">
      <c r="A3542" s="16" t="s">
        <v>6122</v>
      </c>
    </row>
    <row r="3543" spans="1:1" x14ac:dyDescent="0.35">
      <c r="A3543" s="16" t="s">
        <v>6123</v>
      </c>
    </row>
    <row r="3544" spans="1:1" ht="29" x14ac:dyDescent="0.35">
      <c r="A3544" s="16" t="s">
        <v>6124</v>
      </c>
    </row>
    <row r="3545" spans="1:1" x14ac:dyDescent="0.35">
      <c r="A3545" s="16" t="s">
        <v>6125</v>
      </c>
    </row>
    <row r="3546" spans="1:1" x14ac:dyDescent="0.35">
      <c r="A3546" s="16" t="s">
        <v>6126</v>
      </c>
    </row>
    <row r="3547" spans="1:1" ht="29" x14ac:dyDescent="0.35">
      <c r="A3547" s="16" t="s">
        <v>6127</v>
      </c>
    </row>
    <row r="3548" spans="1:1" ht="29" x14ac:dyDescent="0.35">
      <c r="A3548" s="16" t="s">
        <v>6128</v>
      </c>
    </row>
    <row r="3549" spans="1:1" ht="29" x14ac:dyDescent="0.35">
      <c r="A3549" s="16" t="s">
        <v>6129</v>
      </c>
    </row>
    <row r="3550" spans="1:1" ht="29" x14ac:dyDescent="0.35">
      <c r="A3550" s="16" t="s">
        <v>6130</v>
      </c>
    </row>
    <row r="3551" spans="1:1" ht="29" x14ac:dyDescent="0.35">
      <c r="A3551" s="16" t="s">
        <v>6131</v>
      </c>
    </row>
    <row r="3552" spans="1:1" ht="29" x14ac:dyDescent="0.35">
      <c r="A3552" s="16" t="s">
        <v>6132</v>
      </c>
    </row>
    <row r="3553" spans="1:1" ht="29" x14ac:dyDescent="0.35">
      <c r="A3553" s="16" t="s">
        <v>6133</v>
      </c>
    </row>
    <row r="3554" spans="1:1" x14ac:dyDescent="0.35">
      <c r="A3554" s="16" t="s">
        <v>6134</v>
      </c>
    </row>
    <row r="3555" spans="1:1" x14ac:dyDescent="0.35">
      <c r="A3555" s="16" t="s">
        <v>6135</v>
      </c>
    </row>
    <row r="3556" spans="1:1" ht="29" x14ac:dyDescent="0.35">
      <c r="A3556" s="16" t="s">
        <v>6136</v>
      </c>
    </row>
    <row r="3557" spans="1:1" ht="29" x14ac:dyDescent="0.35">
      <c r="A3557" s="16" t="s">
        <v>6137</v>
      </c>
    </row>
    <row r="3558" spans="1:1" ht="29" x14ac:dyDescent="0.35">
      <c r="A3558" s="16" t="s">
        <v>6138</v>
      </c>
    </row>
    <row r="3559" spans="1:1" x14ac:dyDescent="0.35">
      <c r="A3559" s="16" t="s">
        <v>6139</v>
      </c>
    </row>
    <row r="3560" spans="1:1" x14ac:dyDescent="0.35">
      <c r="A3560" s="16" t="s">
        <v>6140</v>
      </c>
    </row>
    <row r="3561" spans="1:1" ht="29" x14ac:dyDescent="0.35">
      <c r="A3561" s="16" t="s">
        <v>6141</v>
      </c>
    </row>
    <row r="3562" spans="1:1" x14ac:dyDescent="0.35">
      <c r="A3562" s="16" t="s">
        <v>6142</v>
      </c>
    </row>
    <row r="3563" spans="1:1" x14ac:dyDescent="0.35">
      <c r="A3563" s="16" t="s">
        <v>6143</v>
      </c>
    </row>
    <row r="3564" spans="1:1" x14ac:dyDescent="0.35">
      <c r="A3564" s="16" t="s">
        <v>6144</v>
      </c>
    </row>
    <row r="3565" spans="1:1" x14ac:dyDescent="0.35">
      <c r="A3565" s="16" t="s">
        <v>6145</v>
      </c>
    </row>
    <row r="3566" spans="1:1" ht="29" x14ac:dyDescent="0.35">
      <c r="A3566" s="16" t="s">
        <v>6146</v>
      </c>
    </row>
    <row r="3567" spans="1:1" x14ac:dyDescent="0.35">
      <c r="A3567" s="16" t="s">
        <v>6147</v>
      </c>
    </row>
    <row r="3568" spans="1:1" x14ac:dyDescent="0.35">
      <c r="A3568" s="16" t="s">
        <v>6148</v>
      </c>
    </row>
    <row r="3569" spans="1:1" ht="29" x14ac:dyDescent="0.35">
      <c r="A3569" s="16" t="s">
        <v>6149</v>
      </c>
    </row>
    <row r="3570" spans="1:1" ht="29" x14ac:dyDescent="0.35">
      <c r="A3570" s="16" t="s">
        <v>6150</v>
      </c>
    </row>
    <row r="3571" spans="1:1" x14ac:dyDescent="0.35">
      <c r="A3571" s="16" t="s">
        <v>6151</v>
      </c>
    </row>
    <row r="3572" spans="1:1" x14ac:dyDescent="0.35">
      <c r="A3572" s="16" t="s">
        <v>6152</v>
      </c>
    </row>
    <row r="3573" spans="1:1" ht="29" x14ac:dyDescent="0.35">
      <c r="A3573" s="16" t="s">
        <v>6153</v>
      </c>
    </row>
    <row r="3574" spans="1:1" x14ac:dyDescent="0.35">
      <c r="A3574" s="16" t="s">
        <v>6154</v>
      </c>
    </row>
    <row r="3575" spans="1:1" ht="29" x14ac:dyDescent="0.35">
      <c r="A3575" s="16" t="s">
        <v>6155</v>
      </c>
    </row>
    <row r="3576" spans="1:1" x14ac:dyDescent="0.35">
      <c r="A3576" s="16" t="s">
        <v>6156</v>
      </c>
    </row>
    <row r="3577" spans="1:1" ht="43.5" x14ac:dyDescent="0.35">
      <c r="A3577" s="16" t="s">
        <v>6157</v>
      </c>
    </row>
    <row r="3578" spans="1:1" x14ac:dyDescent="0.35">
      <c r="A3578" s="16" t="s">
        <v>6158</v>
      </c>
    </row>
    <row r="3579" spans="1:1" x14ac:dyDescent="0.35">
      <c r="A3579" s="16" t="s">
        <v>6159</v>
      </c>
    </row>
    <row r="3580" spans="1:1" x14ac:dyDescent="0.35">
      <c r="A3580" s="16" t="s">
        <v>6160</v>
      </c>
    </row>
    <row r="3581" spans="1:1" x14ac:dyDescent="0.35">
      <c r="A3581" s="16" t="s">
        <v>6161</v>
      </c>
    </row>
    <row r="3582" spans="1:1" x14ac:dyDescent="0.35">
      <c r="A3582" s="16" t="s">
        <v>6162</v>
      </c>
    </row>
    <row r="3583" spans="1:1" x14ac:dyDescent="0.35">
      <c r="A3583" s="16" t="s">
        <v>6163</v>
      </c>
    </row>
    <row r="3584" spans="1:1" ht="29" x14ac:dyDescent="0.35">
      <c r="A3584" s="16" t="s">
        <v>6164</v>
      </c>
    </row>
    <row r="3585" spans="1:1" x14ac:dyDescent="0.35">
      <c r="A3585" s="16" t="s">
        <v>6165</v>
      </c>
    </row>
    <row r="3586" spans="1:1" ht="29" x14ac:dyDescent="0.35">
      <c r="A3586" s="16" t="s">
        <v>6166</v>
      </c>
    </row>
    <row r="3587" spans="1:1" x14ac:dyDescent="0.35">
      <c r="A3587" s="16" t="s">
        <v>6167</v>
      </c>
    </row>
    <row r="3588" spans="1:1" x14ac:dyDescent="0.35">
      <c r="A3588" s="16" t="s">
        <v>6168</v>
      </c>
    </row>
    <row r="3589" spans="1:1" ht="29" x14ac:dyDescent="0.35">
      <c r="A3589" s="16" t="s">
        <v>6169</v>
      </c>
    </row>
    <row r="3590" spans="1:1" ht="29" x14ac:dyDescent="0.35">
      <c r="A3590" s="16" t="s">
        <v>6170</v>
      </c>
    </row>
    <row r="3591" spans="1:1" ht="29" x14ac:dyDescent="0.35">
      <c r="A3591" s="16" t="s">
        <v>6171</v>
      </c>
    </row>
    <row r="3592" spans="1:1" x14ac:dyDescent="0.35">
      <c r="A3592" s="16" t="s">
        <v>6172</v>
      </c>
    </row>
    <row r="3593" spans="1:1" ht="29" x14ac:dyDescent="0.35">
      <c r="A3593" s="16" t="s">
        <v>6173</v>
      </c>
    </row>
    <row r="3594" spans="1:1" ht="29" x14ac:dyDescent="0.35">
      <c r="A3594" s="16" t="s">
        <v>6174</v>
      </c>
    </row>
    <row r="3595" spans="1:1" ht="29" x14ac:dyDescent="0.35">
      <c r="A3595" s="16" t="s">
        <v>6175</v>
      </c>
    </row>
    <row r="3596" spans="1:1" ht="29" x14ac:dyDescent="0.35">
      <c r="A3596" s="16" t="s">
        <v>6176</v>
      </c>
    </row>
    <row r="3597" spans="1:1" x14ac:dyDescent="0.35">
      <c r="A3597" s="16" t="s">
        <v>6177</v>
      </c>
    </row>
    <row r="3598" spans="1:1" x14ac:dyDescent="0.35">
      <c r="A3598" s="16" t="s">
        <v>6178</v>
      </c>
    </row>
    <row r="3599" spans="1:1" ht="29" x14ac:dyDescent="0.35">
      <c r="A3599" s="16" t="s">
        <v>6179</v>
      </c>
    </row>
    <row r="3600" spans="1:1" ht="29" x14ac:dyDescent="0.35">
      <c r="A3600" s="16" t="s">
        <v>6180</v>
      </c>
    </row>
    <row r="3601" spans="1:1" x14ac:dyDescent="0.35">
      <c r="A3601" s="16" t="s">
        <v>6181</v>
      </c>
    </row>
    <row r="3602" spans="1:1" x14ac:dyDescent="0.35">
      <c r="A3602" s="16" t="s">
        <v>6182</v>
      </c>
    </row>
    <row r="3603" spans="1:1" x14ac:dyDescent="0.35">
      <c r="A3603" s="16" t="s">
        <v>6183</v>
      </c>
    </row>
    <row r="3604" spans="1:1" ht="29" x14ac:dyDescent="0.35">
      <c r="A3604" s="16" t="s">
        <v>6184</v>
      </c>
    </row>
    <row r="3605" spans="1:1" x14ac:dyDescent="0.35">
      <c r="A3605" s="16" t="s">
        <v>6185</v>
      </c>
    </row>
    <row r="3606" spans="1:1" ht="29" x14ac:dyDescent="0.35">
      <c r="A3606" s="16" t="s">
        <v>6186</v>
      </c>
    </row>
    <row r="3607" spans="1:1" ht="29" x14ac:dyDescent="0.35">
      <c r="A3607" s="16" t="s">
        <v>6187</v>
      </c>
    </row>
    <row r="3608" spans="1:1" x14ac:dyDescent="0.35">
      <c r="A3608" s="16" t="s">
        <v>6188</v>
      </c>
    </row>
    <row r="3609" spans="1:1" ht="29" x14ac:dyDescent="0.35">
      <c r="A3609" s="16" t="s">
        <v>6189</v>
      </c>
    </row>
    <row r="3610" spans="1:1" x14ac:dyDescent="0.35">
      <c r="A3610" s="16" t="s">
        <v>6190</v>
      </c>
    </row>
    <row r="3611" spans="1:1" x14ac:dyDescent="0.35">
      <c r="A3611" s="16" t="s">
        <v>6191</v>
      </c>
    </row>
    <row r="3612" spans="1:1" ht="29" x14ac:dyDescent="0.35">
      <c r="A3612" s="16" t="s">
        <v>6192</v>
      </c>
    </row>
    <row r="3613" spans="1:1" x14ac:dyDescent="0.35">
      <c r="A3613" s="16" t="s">
        <v>6193</v>
      </c>
    </row>
    <row r="3614" spans="1:1" x14ac:dyDescent="0.35">
      <c r="A3614" s="16" t="s">
        <v>6194</v>
      </c>
    </row>
    <row r="3615" spans="1:1" x14ac:dyDescent="0.35">
      <c r="A3615" s="16" t="s">
        <v>6195</v>
      </c>
    </row>
    <row r="3616" spans="1:1" ht="29" x14ac:dyDescent="0.35">
      <c r="A3616" s="16" t="s">
        <v>6196</v>
      </c>
    </row>
    <row r="3617" spans="1:1" ht="29" x14ac:dyDescent="0.35">
      <c r="A3617" s="16" t="s">
        <v>6197</v>
      </c>
    </row>
    <row r="3618" spans="1:1" x14ac:dyDescent="0.35">
      <c r="A3618" s="16" t="s">
        <v>6198</v>
      </c>
    </row>
    <row r="3619" spans="1:1" ht="29" x14ac:dyDescent="0.35">
      <c r="A3619" s="16" t="s">
        <v>6199</v>
      </c>
    </row>
    <row r="3620" spans="1:1" ht="29" x14ac:dyDescent="0.35">
      <c r="A3620" s="16" t="s">
        <v>6200</v>
      </c>
    </row>
    <row r="3621" spans="1:1" x14ac:dyDescent="0.35">
      <c r="A3621" s="16" t="s">
        <v>6201</v>
      </c>
    </row>
    <row r="3622" spans="1:1" ht="29" x14ac:dyDescent="0.35">
      <c r="A3622" s="16" t="s">
        <v>6202</v>
      </c>
    </row>
    <row r="3623" spans="1:1" x14ac:dyDescent="0.35">
      <c r="A3623" s="16" t="s">
        <v>6203</v>
      </c>
    </row>
    <row r="3624" spans="1:1" x14ac:dyDescent="0.35">
      <c r="A3624" s="16" t="s">
        <v>6204</v>
      </c>
    </row>
    <row r="3625" spans="1:1" ht="29" x14ac:dyDescent="0.35">
      <c r="A3625" s="16" t="s">
        <v>6205</v>
      </c>
    </row>
    <row r="3626" spans="1:1" ht="29" x14ac:dyDescent="0.35">
      <c r="A3626" s="16" t="s">
        <v>6206</v>
      </c>
    </row>
    <row r="3627" spans="1:1" ht="29" x14ac:dyDescent="0.35">
      <c r="A3627" s="16" t="s">
        <v>6207</v>
      </c>
    </row>
    <row r="3628" spans="1:1" x14ac:dyDescent="0.35">
      <c r="A3628" s="16" t="s">
        <v>6208</v>
      </c>
    </row>
    <row r="3629" spans="1:1" ht="29" x14ac:dyDescent="0.35">
      <c r="A3629" s="16" t="s">
        <v>6209</v>
      </c>
    </row>
    <row r="3630" spans="1:1" ht="29" x14ac:dyDescent="0.35">
      <c r="A3630" s="16" t="s">
        <v>6210</v>
      </c>
    </row>
    <row r="3631" spans="1:1" ht="29" x14ac:dyDescent="0.35">
      <c r="A3631" s="16" t="s">
        <v>6211</v>
      </c>
    </row>
    <row r="3632" spans="1:1" ht="29" x14ac:dyDescent="0.35">
      <c r="A3632" s="16" t="s">
        <v>6212</v>
      </c>
    </row>
    <row r="3633" spans="1:1" ht="29" x14ac:dyDescent="0.35">
      <c r="A3633" s="16" t="s">
        <v>6213</v>
      </c>
    </row>
    <row r="3634" spans="1:1" ht="29" x14ac:dyDescent="0.35">
      <c r="A3634" s="16" t="s">
        <v>6214</v>
      </c>
    </row>
    <row r="3635" spans="1:1" x14ac:dyDescent="0.35">
      <c r="A3635" s="16" t="s">
        <v>6215</v>
      </c>
    </row>
    <row r="3636" spans="1:1" ht="29" x14ac:dyDescent="0.35">
      <c r="A3636" s="16" t="s">
        <v>6216</v>
      </c>
    </row>
    <row r="3637" spans="1:1" ht="29" x14ac:dyDescent="0.35">
      <c r="A3637" s="16" t="s">
        <v>6217</v>
      </c>
    </row>
    <row r="3638" spans="1:1" ht="29" x14ac:dyDescent="0.35">
      <c r="A3638" s="16" t="s">
        <v>6218</v>
      </c>
    </row>
    <row r="3639" spans="1:1" ht="29" x14ac:dyDescent="0.35">
      <c r="A3639" s="16" t="s">
        <v>6219</v>
      </c>
    </row>
    <row r="3640" spans="1:1" ht="29" x14ac:dyDescent="0.35">
      <c r="A3640" s="16" t="s">
        <v>6220</v>
      </c>
    </row>
    <row r="3641" spans="1:1" ht="29" x14ac:dyDescent="0.35">
      <c r="A3641" s="16" t="s">
        <v>6221</v>
      </c>
    </row>
    <row r="3642" spans="1:1" ht="29" x14ac:dyDescent="0.35">
      <c r="A3642" s="16" t="s">
        <v>6222</v>
      </c>
    </row>
    <row r="3643" spans="1:1" ht="29" x14ac:dyDescent="0.35">
      <c r="A3643" s="16" t="s">
        <v>6223</v>
      </c>
    </row>
    <row r="3644" spans="1:1" x14ac:dyDescent="0.35">
      <c r="A3644" s="16" t="s">
        <v>6224</v>
      </c>
    </row>
    <row r="3645" spans="1:1" x14ac:dyDescent="0.35">
      <c r="A3645" s="16" t="s">
        <v>6225</v>
      </c>
    </row>
    <row r="3646" spans="1:1" ht="29" x14ac:dyDescent="0.35">
      <c r="A3646" s="16" t="s">
        <v>6226</v>
      </c>
    </row>
    <row r="3647" spans="1:1" ht="29" x14ac:dyDescent="0.35">
      <c r="A3647" s="16" t="s">
        <v>6227</v>
      </c>
    </row>
    <row r="3648" spans="1:1" x14ac:dyDescent="0.35">
      <c r="A3648" s="16" t="s">
        <v>6228</v>
      </c>
    </row>
    <row r="3649" spans="1:1" ht="29" x14ac:dyDescent="0.35">
      <c r="A3649" s="16" t="s">
        <v>6229</v>
      </c>
    </row>
    <row r="3650" spans="1:1" x14ac:dyDescent="0.35">
      <c r="A3650" s="16" t="s">
        <v>6230</v>
      </c>
    </row>
    <row r="3651" spans="1:1" ht="29" x14ac:dyDescent="0.35">
      <c r="A3651" s="16" t="s">
        <v>6231</v>
      </c>
    </row>
    <row r="3652" spans="1:1" ht="29" x14ac:dyDescent="0.35">
      <c r="A3652" s="16" t="s">
        <v>6232</v>
      </c>
    </row>
    <row r="3653" spans="1:1" ht="29" x14ac:dyDescent="0.35">
      <c r="A3653" s="16" t="s">
        <v>6233</v>
      </c>
    </row>
    <row r="3654" spans="1:1" x14ac:dyDescent="0.35">
      <c r="A3654" s="16" t="s">
        <v>6234</v>
      </c>
    </row>
    <row r="3655" spans="1:1" ht="29" x14ac:dyDescent="0.35">
      <c r="A3655" s="16" t="s">
        <v>6235</v>
      </c>
    </row>
    <row r="3656" spans="1:1" x14ac:dyDescent="0.35">
      <c r="A3656" s="16" t="s">
        <v>6236</v>
      </c>
    </row>
    <row r="3657" spans="1:1" x14ac:dyDescent="0.35">
      <c r="A3657" s="16" t="s">
        <v>6237</v>
      </c>
    </row>
    <row r="3658" spans="1:1" ht="29" x14ac:dyDescent="0.35">
      <c r="A3658" s="16" t="s">
        <v>6238</v>
      </c>
    </row>
    <row r="3659" spans="1:1" ht="29" x14ac:dyDescent="0.35">
      <c r="A3659" s="16" t="s">
        <v>6239</v>
      </c>
    </row>
    <row r="3660" spans="1:1" x14ac:dyDescent="0.35">
      <c r="A3660" s="16" t="s">
        <v>6240</v>
      </c>
    </row>
    <row r="3661" spans="1:1" ht="29" x14ac:dyDescent="0.35">
      <c r="A3661" s="16" t="s">
        <v>6241</v>
      </c>
    </row>
    <row r="3662" spans="1:1" ht="29" x14ac:dyDescent="0.35">
      <c r="A3662" s="16" t="s">
        <v>6242</v>
      </c>
    </row>
    <row r="3663" spans="1:1" ht="29" x14ac:dyDescent="0.35">
      <c r="A3663" s="16" t="s">
        <v>6243</v>
      </c>
    </row>
    <row r="3664" spans="1:1" ht="29" x14ac:dyDescent="0.35">
      <c r="A3664" s="16" t="s">
        <v>6244</v>
      </c>
    </row>
    <row r="3665" spans="1:1" ht="29" x14ac:dyDescent="0.35">
      <c r="A3665" s="16" t="s">
        <v>6245</v>
      </c>
    </row>
    <row r="3666" spans="1:1" x14ac:dyDescent="0.35">
      <c r="A3666" s="16" t="s">
        <v>6246</v>
      </c>
    </row>
    <row r="3667" spans="1:1" x14ac:dyDescent="0.35">
      <c r="A3667" s="16" t="s">
        <v>6247</v>
      </c>
    </row>
    <row r="3668" spans="1:1" ht="29" x14ac:dyDescent="0.35">
      <c r="A3668" s="16" t="s">
        <v>6248</v>
      </c>
    </row>
    <row r="3669" spans="1:1" ht="29" x14ac:dyDescent="0.35">
      <c r="A3669" s="16" t="s">
        <v>6249</v>
      </c>
    </row>
    <row r="3670" spans="1:1" ht="29" x14ac:dyDescent="0.35">
      <c r="A3670" s="16" t="s">
        <v>6250</v>
      </c>
    </row>
    <row r="3671" spans="1:1" ht="29" x14ac:dyDescent="0.35">
      <c r="A3671" s="16" t="s">
        <v>6251</v>
      </c>
    </row>
    <row r="3672" spans="1:1" ht="29" x14ac:dyDescent="0.35">
      <c r="A3672" s="16" t="s">
        <v>6252</v>
      </c>
    </row>
    <row r="3673" spans="1:1" ht="29" x14ac:dyDescent="0.35">
      <c r="A3673" s="16" t="s">
        <v>6253</v>
      </c>
    </row>
    <row r="3674" spans="1:1" x14ac:dyDescent="0.35">
      <c r="A3674" s="16" t="s">
        <v>6254</v>
      </c>
    </row>
    <row r="3675" spans="1:1" ht="29" x14ac:dyDescent="0.35">
      <c r="A3675" s="16" t="s">
        <v>6255</v>
      </c>
    </row>
    <row r="3676" spans="1:1" x14ac:dyDescent="0.35">
      <c r="A3676" s="16" t="s">
        <v>6256</v>
      </c>
    </row>
    <row r="3677" spans="1:1" ht="29" x14ac:dyDescent="0.35">
      <c r="A3677" s="16" t="s">
        <v>6257</v>
      </c>
    </row>
    <row r="3678" spans="1:1" ht="29" x14ac:dyDescent="0.35">
      <c r="A3678" s="16" t="s">
        <v>6258</v>
      </c>
    </row>
    <row r="3679" spans="1:1" x14ac:dyDescent="0.35">
      <c r="A3679" s="16" t="s">
        <v>6259</v>
      </c>
    </row>
    <row r="3680" spans="1:1" ht="29" x14ac:dyDescent="0.35">
      <c r="A3680" s="16" t="s">
        <v>6260</v>
      </c>
    </row>
    <row r="3681" spans="1:1" ht="29" x14ac:dyDescent="0.35">
      <c r="A3681" s="16" t="s">
        <v>6261</v>
      </c>
    </row>
    <row r="3682" spans="1:1" ht="29" x14ac:dyDescent="0.35">
      <c r="A3682" s="16" t="s">
        <v>6262</v>
      </c>
    </row>
    <row r="3683" spans="1:1" ht="29" x14ac:dyDescent="0.35">
      <c r="A3683" s="16" t="s">
        <v>6263</v>
      </c>
    </row>
    <row r="3684" spans="1:1" x14ac:dyDescent="0.35">
      <c r="A3684" s="16" t="s">
        <v>6264</v>
      </c>
    </row>
    <row r="3685" spans="1:1" ht="29" x14ac:dyDescent="0.35">
      <c r="A3685" s="16" t="s">
        <v>6265</v>
      </c>
    </row>
    <row r="3686" spans="1:1" ht="29" x14ac:dyDescent="0.35">
      <c r="A3686" s="16" t="s">
        <v>6266</v>
      </c>
    </row>
    <row r="3687" spans="1:1" ht="29" x14ac:dyDescent="0.35">
      <c r="A3687" s="16" t="s">
        <v>6267</v>
      </c>
    </row>
    <row r="3688" spans="1:1" ht="29" x14ac:dyDescent="0.35">
      <c r="A3688" s="16" t="s">
        <v>6268</v>
      </c>
    </row>
    <row r="3689" spans="1:1" ht="29" x14ac:dyDescent="0.35">
      <c r="A3689" s="16" t="s">
        <v>6269</v>
      </c>
    </row>
    <row r="3690" spans="1:1" x14ac:dyDescent="0.35">
      <c r="A3690" s="16" t="s">
        <v>6270</v>
      </c>
    </row>
    <row r="3691" spans="1:1" ht="29" x14ac:dyDescent="0.35">
      <c r="A3691" s="16" t="s">
        <v>6271</v>
      </c>
    </row>
    <row r="3692" spans="1:1" x14ac:dyDescent="0.35">
      <c r="A3692" s="16" t="s">
        <v>6272</v>
      </c>
    </row>
    <row r="3693" spans="1:1" ht="29" x14ac:dyDescent="0.35">
      <c r="A3693" s="16" t="s">
        <v>6273</v>
      </c>
    </row>
    <row r="3694" spans="1:1" ht="29" x14ac:dyDescent="0.35">
      <c r="A3694" s="16" t="s">
        <v>6274</v>
      </c>
    </row>
    <row r="3695" spans="1:1" x14ac:dyDescent="0.35">
      <c r="A3695" s="16" t="s">
        <v>6275</v>
      </c>
    </row>
    <row r="3696" spans="1:1" x14ac:dyDescent="0.35">
      <c r="A3696" s="16" t="s">
        <v>6276</v>
      </c>
    </row>
    <row r="3697" spans="1:1" x14ac:dyDescent="0.35">
      <c r="A3697" s="16" t="s">
        <v>6277</v>
      </c>
    </row>
    <row r="3698" spans="1:1" ht="29" x14ac:dyDescent="0.35">
      <c r="A3698" s="16" t="s">
        <v>6278</v>
      </c>
    </row>
    <row r="3699" spans="1:1" ht="29" x14ac:dyDescent="0.35">
      <c r="A3699" s="16" t="s">
        <v>6279</v>
      </c>
    </row>
    <row r="3700" spans="1:1" ht="29" x14ac:dyDescent="0.35">
      <c r="A3700" s="16" t="s">
        <v>6280</v>
      </c>
    </row>
    <row r="3701" spans="1:1" ht="29" x14ac:dyDescent="0.35">
      <c r="A3701" s="16" t="s">
        <v>6281</v>
      </c>
    </row>
    <row r="3702" spans="1:1" ht="29" x14ac:dyDescent="0.35">
      <c r="A3702" s="16" t="s">
        <v>6282</v>
      </c>
    </row>
    <row r="3703" spans="1:1" x14ac:dyDescent="0.35">
      <c r="A3703" s="16" t="s">
        <v>6283</v>
      </c>
    </row>
    <row r="3704" spans="1:1" ht="29" x14ac:dyDescent="0.35">
      <c r="A3704" s="16" t="s">
        <v>6284</v>
      </c>
    </row>
    <row r="3705" spans="1:1" x14ac:dyDescent="0.35">
      <c r="A3705" s="16" t="s">
        <v>6285</v>
      </c>
    </row>
    <row r="3706" spans="1:1" ht="29" x14ac:dyDescent="0.35">
      <c r="A3706" s="16" t="s">
        <v>6286</v>
      </c>
    </row>
    <row r="3707" spans="1:1" ht="29" x14ac:dyDescent="0.35">
      <c r="A3707" s="16" t="s">
        <v>6287</v>
      </c>
    </row>
    <row r="3708" spans="1:1" ht="29" x14ac:dyDescent="0.35">
      <c r="A3708" s="16" t="s">
        <v>6288</v>
      </c>
    </row>
    <row r="3709" spans="1:1" ht="29" x14ac:dyDescent="0.35">
      <c r="A3709" s="16" t="s">
        <v>6289</v>
      </c>
    </row>
    <row r="3710" spans="1:1" x14ac:dyDescent="0.35">
      <c r="A3710" s="16" t="s">
        <v>6290</v>
      </c>
    </row>
    <row r="3711" spans="1:1" x14ac:dyDescent="0.35">
      <c r="A3711" s="16" t="s">
        <v>6291</v>
      </c>
    </row>
    <row r="3712" spans="1:1" x14ac:dyDescent="0.35">
      <c r="A3712" s="16" t="s">
        <v>6292</v>
      </c>
    </row>
    <row r="3713" spans="1:1" ht="29" x14ac:dyDescent="0.35">
      <c r="A3713" s="16" t="s">
        <v>6293</v>
      </c>
    </row>
    <row r="3714" spans="1:1" x14ac:dyDescent="0.35">
      <c r="A3714" s="16" t="s">
        <v>6294</v>
      </c>
    </row>
    <row r="3715" spans="1:1" ht="29" x14ac:dyDescent="0.35">
      <c r="A3715" s="16" t="s">
        <v>6295</v>
      </c>
    </row>
    <row r="3716" spans="1:1" x14ac:dyDescent="0.35">
      <c r="A3716" s="16" t="s">
        <v>6296</v>
      </c>
    </row>
    <row r="3717" spans="1:1" x14ac:dyDescent="0.35">
      <c r="A3717" s="16" t="s">
        <v>6297</v>
      </c>
    </row>
    <row r="3718" spans="1:1" ht="29" x14ac:dyDescent="0.35">
      <c r="A3718" s="16" t="s">
        <v>6298</v>
      </c>
    </row>
    <row r="3719" spans="1:1" ht="29" x14ac:dyDescent="0.35">
      <c r="A3719" s="16" t="s">
        <v>6299</v>
      </c>
    </row>
    <row r="3720" spans="1:1" ht="29" x14ac:dyDescent="0.35">
      <c r="A3720" s="16" t="s">
        <v>6300</v>
      </c>
    </row>
    <row r="3721" spans="1:1" x14ac:dyDescent="0.35">
      <c r="A3721" s="16" t="s">
        <v>6301</v>
      </c>
    </row>
    <row r="3722" spans="1:1" x14ac:dyDescent="0.35">
      <c r="A3722" s="16" t="s">
        <v>6302</v>
      </c>
    </row>
    <row r="3723" spans="1:1" ht="29" x14ac:dyDescent="0.35">
      <c r="A3723" s="16" t="s">
        <v>6303</v>
      </c>
    </row>
    <row r="3724" spans="1:1" x14ac:dyDescent="0.35">
      <c r="A3724" s="16" t="s">
        <v>6304</v>
      </c>
    </row>
    <row r="3725" spans="1:1" x14ac:dyDescent="0.35">
      <c r="A3725" s="16" t="s">
        <v>6305</v>
      </c>
    </row>
    <row r="3726" spans="1:1" x14ac:dyDescent="0.35">
      <c r="A3726" s="16" t="s">
        <v>6306</v>
      </c>
    </row>
    <row r="3727" spans="1:1" ht="29" x14ac:dyDescent="0.35">
      <c r="A3727" s="16" t="s">
        <v>6307</v>
      </c>
    </row>
    <row r="3728" spans="1:1" x14ac:dyDescent="0.35">
      <c r="A3728" s="16" t="s">
        <v>6308</v>
      </c>
    </row>
    <row r="3729" spans="1:1" ht="43.5" x14ac:dyDescent="0.35">
      <c r="A3729" s="16" t="s">
        <v>6309</v>
      </c>
    </row>
    <row r="3730" spans="1:1" ht="29" x14ac:dyDescent="0.35">
      <c r="A3730" s="16" t="s">
        <v>6310</v>
      </c>
    </row>
    <row r="3731" spans="1:1" ht="29" x14ac:dyDescent="0.35">
      <c r="A3731" s="16" t="s">
        <v>6311</v>
      </c>
    </row>
    <row r="3732" spans="1:1" x14ac:dyDescent="0.35">
      <c r="A3732" s="16" t="s">
        <v>6312</v>
      </c>
    </row>
    <row r="3733" spans="1:1" x14ac:dyDescent="0.35">
      <c r="A3733" s="16" t="s">
        <v>6313</v>
      </c>
    </row>
    <row r="3734" spans="1:1" ht="29" x14ac:dyDescent="0.35">
      <c r="A3734" s="16" t="s">
        <v>6314</v>
      </c>
    </row>
    <row r="3735" spans="1:1" ht="29" x14ac:dyDescent="0.35">
      <c r="A3735" s="16" t="s">
        <v>6315</v>
      </c>
    </row>
    <row r="3736" spans="1:1" ht="29" x14ac:dyDescent="0.35">
      <c r="A3736" s="16" t="s">
        <v>6316</v>
      </c>
    </row>
    <row r="3737" spans="1:1" x14ac:dyDescent="0.35">
      <c r="A3737" s="16" t="s">
        <v>6317</v>
      </c>
    </row>
    <row r="3738" spans="1:1" x14ac:dyDescent="0.35">
      <c r="A3738" s="16" t="s">
        <v>6318</v>
      </c>
    </row>
    <row r="3739" spans="1:1" x14ac:dyDescent="0.35">
      <c r="A3739" s="16" t="s">
        <v>6319</v>
      </c>
    </row>
    <row r="3740" spans="1:1" x14ac:dyDescent="0.35">
      <c r="A3740" s="16" t="s">
        <v>6320</v>
      </c>
    </row>
    <row r="3741" spans="1:1" ht="29" x14ac:dyDescent="0.35">
      <c r="A3741" s="16" t="s">
        <v>6321</v>
      </c>
    </row>
    <row r="3742" spans="1:1" x14ac:dyDescent="0.35">
      <c r="A3742" s="16" t="s">
        <v>6322</v>
      </c>
    </row>
    <row r="3743" spans="1:1" ht="29" x14ac:dyDescent="0.35">
      <c r="A3743" s="16" t="s">
        <v>6323</v>
      </c>
    </row>
    <row r="3744" spans="1:1" x14ac:dyDescent="0.35">
      <c r="A3744" s="16" t="s">
        <v>6324</v>
      </c>
    </row>
    <row r="3745" spans="1:1" ht="29" x14ac:dyDescent="0.35">
      <c r="A3745" s="16" t="s">
        <v>6325</v>
      </c>
    </row>
    <row r="3746" spans="1:1" ht="29" x14ac:dyDescent="0.35">
      <c r="A3746" s="16" t="s">
        <v>6326</v>
      </c>
    </row>
    <row r="3747" spans="1:1" ht="29" x14ac:dyDescent="0.35">
      <c r="A3747" s="16" t="s">
        <v>6327</v>
      </c>
    </row>
    <row r="3748" spans="1:1" ht="29" x14ac:dyDescent="0.35">
      <c r="A3748" s="16" t="s">
        <v>6328</v>
      </c>
    </row>
    <row r="3749" spans="1:1" ht="29" x14ac:dyDescent="0.35">
      <c r="A3749" s="16" t="s">
        <v>6329</v>
      </c>
    </row>
    <row r="3750" spans="1:1" ht="29" x14ac:dyDescent="0.35">
      <c r="A3750" s="16" t="s">
        <v>6330</v>
      </c>
    </row>
    <row r="3751" spans="1:1" x14ac:dyDescent="0.35">
      <c r="A3751" s="16" t="s">
        <v>6331</v>
      </c>
    </row>
    <row r="3752" spans="1:1" x14ac:dyDescent="0.35">
      <c r="A3752" s="16" t="s">
        <v>6332</v>
      </c>
    </row>
    <row r="3753" spans="1:1" x14ac:dyDescent="0.35">
      <c r="A3753" s="16" t="s">
        <v>6333</v>
      </c>
    </row>
    <row r="3754" spans="1:1" x14ac:dyDescent="0.35">
      <c r="A3754" s="16" t="s">
        <v>6334</v>
      </c>
    </row>
    <row r="3755" spans="1:1" x14ac:dyDescent="0.35">
      <c r="A3755" s="16" t="s">
        <v>6335</v>
      </c>
    </row>
    <row r="3756" spans="1:1" x14ac:dyDescent="0.35">
      <c r="A3756" s="16" t="s">
        <v>6336</v>
      </c>
    </row>
    <row r="3757" spans="1:1" ht="29" x14ac:dyDescent="0.35">
      <c r="A3757" s="16" t="s">
        <v>6337</v>
      </c>
    </row>
    <row r="3758" spans="1:1" ht="29" x14ac:dyDescent="0.35">
      <c r="A3758" s="16" t="s">
        <v>6338</v>
      </c>
    </row>
    <row r="3759" spans="1:1" ht="29" x14ac:dyDescent="0.35">
      <c r="A3759" s="16" t="s">
        <v>6339</v>
      </c>
    </row>
    <row r="3760" spans="1:1" ht="29" x14ac:dyDescent="0.35">
      <c r="A3760" s="16" t="s">
        <v>6340</v>
      </c>
    </row>
    <row r="3761" spans="1:1" ht="29" x14ac:dyDescent="0.35">
      <c r="A3761" s="16" t="s">
        <v>6341</v>
      </c>
    </row>
    <row r="3762" spans="1:1" ht="29" x14ac:dyDescent="0.35">
      <c r="A3762" s="16" t="s">
        <v>6342</v>
      </c>
    </row>
    <row r="3763" spans="1:1" ht="29" x14ac:dyDescent="0.35">
      <c r="A3763" s="16" t="s">
        <v>6343</v>
      </c>
    </row>
    <row r="3764" spans="1:1" x14ac:dyDescent="0.35">
      <c r="A3764" s="16" t="s">
        <v>6344</v>
      </c>
    </row>
    <row r="3765" spans="1:1" x14ac:dyDescent="0.35">
      <c r="A3765" s="16" t="s">
        <v>6345</v>
      </c>
    </row>
    <row r="3766" spans="1:1" x14ac:dyDescent="0.35">
      <c r="A3766" s="16" t="s">
        <v>6346</v>
      </c>
    </row>
    <row r="3767" spans="1:1" ht="29" x14ac:dyDescent="0.35">
      <c r="A3767" s="16" t="s">
        <v>6347</v>
      </c>
    </row>
    <row r="3768" spans="1:1" x14ac:dyDescent="0.35">
      <c r="A3768" s="16" t="s">
        <v>6348</v>
      </c>
    </row>
    <row r="3769" spans="1:1" ht="29" x14ac:dyDescent="0.35">
      <c r="A3769" s="16" t="s">
        <v>6349</v>
      </c>
    </row>
    <row r="3770" spans="1:1" ht="29" x14ac:dyDescent="0.35">
      <c r="A3770" s="16" t="s">
        <v>6350</v>
      </c>
    </row>
    <row r="3771" spans="1:1" ht="29" x14ac:dyDescent="0.35">
      <c r="A3771" s="16" t="s">
        <v>6351</v>
      </c>
    </row>
    <row r="3772" spans="1:1" x14ac:dyDescent="0.35">
      <c r="A3772" s="16" t="s">
        <v>6352</v>
      </c>
    </row>
    <row r="3773" spans="1:1" ht="29" x14ac:dyDescent="0.35">
      <c r="A3773" s="16" t="s">
        <v>6353</v>
      </c>
    </row>
    <row r="3774" spans="1:1" ht="29" x14ac:dyDescent="0.35">
      <c r="A3774" s="16" t="s">
        <v>6354</v>
      </c>
    </row>
    <row r="3775" spans="1:1" x14ac:dyDescent="0.35">
      <c r="A3775" s="16" t="s">
        <v>6355</v>
      </c>
    </row>
    <row r="3776" spans="1:1" ht="29" x14ac:dyDescent="0.35">
      <c r="A3776" s="16" t="s">
        <v>6356</v>
      </c>
    </row>
    <row r="3777" spans="1:1" ht="29" x14ac:dyDescent="0.35">
      <c r="A3777" s="16" t="s">
        <v>6357</v>
      </c>
    </row>
    <row r="3778" spans="1:1" x14ac:dyDescent="0.35">
      <c r="A3778" s="16" t="s">
        <v>6358</v>
      </c>
    </row>
    <row r="3779" spans="1:1" x14ac:dyDescent="0.35">
      <c r="A3779" s="16" t="s">
        <v>6359</v>
      </c>
    </row>
    <row r="3780" spans="1:1" ht="29" x14ac:dyDescent="0.35">
      <c r="A3780" s="16" t="s">
        <v>6360</v>
      </c>
    </row>
    <row r="3781" spans="1:1" ht="29" x14ac:dyDescent="0.35">
      <c r="A3781" s="16" t="s">
        <v>6361</v>
      </c>
    </row>
    <row r="3782" spans="1:1" ht="29" x14ac:dyDescent="0.35">
      <c r="A3782" s="16" t="s">
        <v>6362</v>
      </c>
    </row>
    <row r="3783" spans="1:1" ht="29" x14ac:dyDescent="0.35">
      <c r="A3783" s="16" t="s">
        <v>6363</v>
      </c>
    </row>
    <row r="3784" spans="1:1" x14ac:dyDescent="0.35">
      <c r="A3784" s="16" t="s">
        <v>6364</v>
      </c>
    </row>
    <row r="3785" spans="1:1" ht="29" x14ac:dyDescent="0.35">
      <c r="A3785" s="16" t="s">
        <v>6365</v>
      </c>
    </row>
    <row r="3786" spans="1:1" ht="29" x14ac:dyDescent="0.35">
      <c r="A3786" s="16" t="s">
        <v>6366</v>
      </c>
    </row>
    <row r="3787" spans="1:1" x14ac:dyDescent="0.35">
      <c r="A3787" s="16" t="s">
        <v>6367</v>
      </c>
    </row>
    <row r="3788" spans="1:1" x14ac:dyDescent="0.35">
      <c r="A3788" s="16" t="s">
        <v>6368</v>
      </c>
    </row>
    <row r="3789" spans="1:1" ht="29" x14ac:dyDescent="0.35">
      <c r="A3789" s="16" t="s">
        <v>6369</v>
      </c>
    </row>
    <row r="3790" spans="1:1" x14ac:dyDescent="0.35">
      <c r="A3790" s="16" t="s">
        <v>6370</v>
      </c>
    </row>
    <row r="3791" spans="1:1" x14ac:dyDescent="0.35">
      <c r="A3791" s="16" t="s">
        <v>6371</v>
      </c>
    </row>
    <row r="3792" spans="1:1" x14ac:dyDescent="0.35">
      <c r="A3792" s="16" t="s">
        <v>6372</v>
      </c>
    </row>
    <row r="3793" spans="1:1" x14ac:dyDescent="0.35">
      <c r="A3793" s="16" t="s">
        <v>6373</v>
      </c>
    </row>
    <row r="3794" spans="1:1" ht="29" x14ac:dyDescent="0.35">
      <c r="A3794" s="16" t="s">
        <v>6374</v>
      </c>
    </row>
    <row r="3795" spans="1:1" x14ac:dyDescent="0.35">
      <c r="A3795" s="16" t="s">
        <v>6375</v>
      </c>
    </row>
    <row r="3796" spans="1:1" ht="29" x14ac:dyDescent="0.35">
      <c r="A3796" s="16" t="s">
        <v>6376</v>
      </c>
    </row>
    <row r="3797" spans="1:1" x14ac:dyDescent="0.35">
      <c r="A3797" s="16" t="s">
        <v>6377</v>
      </c>
    </row>
    <row r="3798" spans="1:1" x14ac:dyDescent="0.35">
      <c r="A3798" s="16" t="s">
        <v>6378</v>
      </c>
    </row>
    <row r="3799" spans="1:1" x14ac:dyDescent="0.35">
      <c r="A3799" s="16" t="s">
        <v>6379</v>
      </c>
    </row>
    <row r="3800" spans="1:1" ht="29" x14ac:dyDescent="0.35">
      <c r="A3800" s="16" t="s">
        <v>6380</v>
      </c>
    </row>
    <row r="3801" spans="1:1" ht="29" x14ac:dyDescent="0.35">
      <c r="A3801" s="16" t="s">
        <v>6381</v>
      </c>
    </row>
    <row r="3802" spans="1:1" ht="29" x14ac:dyDescent="0.35">
      <c r="A3802" s="16" t="s">
        <v>6382</v>
      </c>
    </row>
    <row r="3803" spans="1:1" ht="29" x14ac:dyDescent="0.35">
      <c r="A3803" s="16" t="s">
        <v>6383</v>
      </c>
    </row>
    <row r="3804" spans="1:1" ht="29" x14ac:dyDescent="0.35">
      <c r="A3804" s="16" t="s">
        <v>6384</v>
      </c>
    </row>
    <row r="3805" spans="1:1" ht="29" x14ac:dyDescent="0.35">
      <c r="A3805" s="16" t="s">
        <v>6385</v>
      </c>
    </row>
    <row r="3806" spans="1:1" x14ac:dyDescent="0.35">
      <c r="A3806" s="16" t="s">
        <v>6386</v>
      </c>
    </row>
    <row r="3807" spans="1:1" ht="29" x14ac:dyDescent="0.35">
      <c r="A3807" s="16" t="s">
        <v>6387</v>
      </c>
    </row>
    <row r="3808" spans="1:1" ht="29" x14ac:dyDescent="0.35">
      <c r="A3808" s="16" t="s">
        <v>6388</v>
      </c>
    </row>
    <row r="3809" spans="1:1" ht="29" x14ac:dyDescent="0.35">
      <c r="A3809" s="16" t="s">
        <v>6389</v>
      </c>
    </row>
    <row r="3810" spans="1:1" ht="29" x14ac:dyDescent="0.35">
      <c r="A3810" s="16" t="s">
        <v>6390</v>
      </c>
    </row>
    <row r="3811" spans="1:1" x14ac:dyDescent="0.35">
      <c r="A3811" s="16" t="s">
        <v>6391</v>
      </c>
    </row>
    <row r="3812" spans="1:1" ht="29" x14ac:dyDescent="0.35">
      <c r="A3812" s="16" t="s">
        <v>6392</v>
      </c>
    </row>
    <row r="3813" spans="1:1" ht="29" x14ac:dyDescent="0.35">
      <c r="A3813" s="16" t="s">
        <v>6393</v>
      </c>
    </row>
    <row r="3814" spans="1:1" ht="29" x14ac:dyDescent="0.35">
      <c r="A3814" s="16" t="s">
        <v>6394</v>
      </c>
    </row>
    <row r="3815" spans="1:1" x14ac:dyDescent="0.35">
      <c r="A3815" s="16" t="s">
        <v>6395</v>
      </c>
    </row>
    <row r="3816" spans="1:1" ht="29" x14ac:dyDescent="0.35">
      <c r="A3816" s="16" t="s">
        <v>6396</v>
      </c>
    </row>
    <row r="3817" spans="1:1" x14ac:dyDescent="0.35">
      <c r="A3817" s="16" t="s">
        <v>6397</v>
      </c>
    </row>
    <row r="3818" spans="1:1" ht="29" x14ac:dyDescent="0.35">
      <c r="A3818" s="16" t="s">
        <v>6398</v>
      </c>
    </row>
    <row r="3819" spans="1:1" x14ac:dyDescent="0.35">
      <c r="A3819" s="16" t="s">
        <v>6399</v>
      </c>
    </row>
    <row r="3820" spans="1:1" ht="29" x14ac:dyDescent="0.35">
      <c r="A3820" s="16" t="s">
        <v>6400</v>
      </c>
    </row>
    <row r="3821" spans="1:1" ht="29" x14ac:dyDescent="0.35">
      <c r="A3821" s="16" t="s">
        <v>6401</v>
      </c>
    </row>
    <row r="3822" spans="1:1" x14ac:dyDescent="0.35">
      <c r="A3822" s="16" t="s">
        <v>6402</v>
      </c>
    </row>
    <row r="3823" spans="1:1" x14ac:dyDescent="0.35">
      <c r="A3823" s="16" t="s">
        <v>6403</v>
      </c>
    </row>
    <row r="3824" spans="1:1" ht="29" x14ac:dyDescent="0.35">
      <c r="A3824" s="16" t="s">
        <v>6404</v>
      </c>
    </row>
    <row r="3825" spans="1:1" x14ac:dyDescent="0.35">
      <c r="A3825" s="16" t="s">
        <v>6405</v>
      </c>
    </row>
    <row r="3826" spans="1:1" ht="29" x14ac:dyDescent="0.35">
      <c r="A3826" s="16" t="s">
        <v>6406</v>
      </c>
    </row>
    <row r="3827" spans="1:1" ht="29" x14ac:dyDescent="0.35">
      <c r="A3827" s="16" t="s">
        <v>6407</v>
      </c>
    </row>
    <row r="3828" spans="1:1" x14ac:dyDescent="0.35">
      <c r="A3828" s="16" t="s">
        <v>6408</v>
      </c>
    </row>
    <row r="3829" spans="1:1" ht="29" x14ac:dyDescent="0.35">
      <c r="A3829" s="16" t="s">
        <v>6409</v>
      </c>
    </row>
    <row r="3830" spans="1:1" x14ac:dyDescent="0.35">
      <c r="A3830" s="16" t="s">
        <v>6410</v>
      </c>
    </row>
    <row r="3831" spans="1:1" ht="29" x14ac:dyDescent="0.35">
      <c r="A3831" s="16" t="s">
        <v>6411</v>
      </c>
    </row>
    <row r="3832" spans="1:1" x14ac:dyDescent="0.35">
      <c r="A3832" s="16" t="s">
        <v>6412</v>
      </c>
    </row>
    <row r="3833" spans="1:1" ht="29" x14ac:dyDescent="0.35">
      <c r="A3833" s="16" t="s">
        <v>6413</v>
      </c>
    </row>
    <row r="3834" spans="1:1" ht="29" x14ac:dyDescent="0.35">
      <c r="A3834" s="16" t="s">
        <v>6414</v>
      </c>
    </row>
    <row r="3835" spans="1:1" x14ac:dyDescent="0.35">
      <c r="A3835" s="16" t="s">
        <v>6415</v>
      </c>
    </row>
    <row r="3836" spans="1:1" ht="29" x14ac:dyDescent="0.35">
      <c r="A3836" s="16" t="s">
        <v>6416</v>
      </c>
    </row>
    <row r="3837" spans="1:1" ht="29" x14ac:dyDescent="0.35">
      <c r="A3837" s="16" t="s">
        <v>6417</v>
      </c>
    </row>
    <row r="3838" spans="1:1" x14ac:dyDescent="0.35">
      <c r="A3838" s="16" t="s">
        <v>6418</v>
      </c>
    </row>
    <row r="3839" spans="1:1" x14ac:dyDescent="0.35">
      <c r="A3839" s="16" t="s">
        <v>6419</v>
      </c>
    </row>
    <row r="3840" spans="1:1" ht="29" x14ac:dyDescent="0.35">
      <c r="A3840" s="16" t="s">
        <v>6420</v>
      </c>
    </row>
    <row r="3841" spans="1:1" x14ac:dyDescent="0.35">
      <c r="A3841" s="16" t="s">
        <v>6421</v>
      </c>
    </row>
    <row r="3842" spans="1:1" x14ac:dyDescent="0.35">
      <c r="A3842" s="16" t="s">
        <v>6422</v>
      </c>
    </row>
    <row r="3843" spans="1:1" x14ac:dyDescent="0.35">
      <c r="A3843" s="16" t="s">
        <v>6423</v>
      </c>
    </row>
    <row r="3844" spans="1:1" ht="29" x14ac:dyDescent="0.35">
      <c r="A3844" s="16" t="s">
        <v>6424</v>
      </c>
    </row>
    <row r="3845" spans="1:1" ht="29" x14ac:dyDescent="0.35">
      <c r="A3845" s="16" t="s">
        <v>6425</v>
      </c>
    </row>
    <row r="3846" spans="1:1" x14ac:dyDescent="0.35">
      <c r="A3846" s="16" t="s">
        <v>6426</v>
      </c>
    </row>
    <row r="3847" spans="1:1" ht="29" x14ac:dyDescent="0.35">
      <c r="A3847" s="16" t="s">
        <v>6427</v>
      </c>
    </row>
    <row r="3848" spans="1:1" ht="29" x14ac:dyDescent="0.35">
      <c r="A3848" s="16" t="s">
        <v>6428</v>
      </c>
    </row>
    <row r="3849" spans="1:1" x14ac:dyDescent="0.35">
      <c r="A3849" s="16" t="s">
        <v>6429</v>
      </c>
    </row>
    <row r="3850" spans="1:1" ht="29" x14ac:dyDescent="0.35">
      <c r="A3850" s="16" t="s">
        <v>6430</v>
      </c>
    </row>
    <row r="3851" spans="1:1" ht="29" x14ac:dyDescent="0.35">
      <c r="A3851" s="16" t="s">
        <v>6431</v>
      </c>
    </row>
    <row r="3852" spans="1:1" ht="29" x14ac:dyDescent="0.35">
      <c r="A3852" s="16" t="s">
        <v>6432</v>
      </c>
    </row>
    <row r="3853" spans="1:1" x14ac:dyDescent="0.35">
      <c r="A3853" s="16" t="s">
        <v>6433</v>
      </c>
    </row>
    <row r="3854" spans="1:1" ht="29" x14ac:dyDescent="0.35">
      <c r="A3854" s="16" t="s">
        <v>6434</v>
      </c>
    </row>
    <row r="3855" spans="1:1" x14ac:dyDescent="0.35">
      <c r="A3855" s="16" t="s">
        <v>6435</v>
      </c>
    </row>
    <row r="3856" spans="1:1" ht="29" x14ac:dyDescent="0.35">
      <c r="A3856" s="16" t="s">
        <v>6436</v>
      </c>
    </row>
    <row r="3857" spans="1:1" ht="29" x14ac:dyDescent="0.35">
      <c r="A3857" s="16" t="s">
        <v>6437</v>
      </c>
    </row>
    <row r="3858" spans="1:1" ht="29" x14ac:dyDescent="0.35">
      <c r="A3858" s="16" t="s">
        <v>6438</v>
      </c>
    </row>
    <row r="3859" spans="1:1" x14ac:dyDescent="0.35">
      <c r="A3859" s="16" t="s">
        <v>6439</v>
      </c>
    </row>
    <row r="3860" spans="1:1" ht="29" x14ac:dyDescent="0.35">
      <c r="A3860" s="16" t="s">
        <v>6440</v>
      </c>
    </row>
    <row r="3861" spans="1:1" ht="29" x14ac:dyDescent="0.35">
      <c r="A3861" s="16" t="s">
        <v>6441</v>
      </c>
    </row>
    <row r="3862" spans="1:1" ht="29" x14ac:dyDescent="0.35">
      <c r="A3862" s="16" t="s">
        <v>6442</v>
      </c>
    </row>
    <row r="3863" spans="1:1" ht="29" x14ac:dyDescent="0.35">
      <c r="A3863" s="16" t="s">
        <v>6443</v>
      </c>
    </row>
    <row r="3864" spans="1:1" x14ac:dyDescent="0.35">
      <c r="A3864" s="16" t="s">
        <v>6444</v>
      </c>
    </row>
    <row r="3865" spans="1:1" ht="29" x14ac:dyDescent="0.35">
      <c r="A3865" s="16" t="s">
        <v>6445</v>
      </c>
    </row>
    <row r="3866" spans="1:1" ht="29" x14ac:dyDescent="0.35">
      <c r="A3866" s="16" t="s">
        <v>6446</v>
      </c>
    </row>
    <row r="3867" spans="1:1" ht="29" x14ac:dyDescent="0.35">
      <c r="A3867" s="16" t="s">
        <v>6447</v>
      </c>
    </row>
    <row r="3868" spans="1:1" ht="29" x14ac:dyDescent="0.35">
      <c r="A3868" s="16" t="s">
        <v>6448</v>
      </c>
    </row>
    <row r="3869" spans="1:1" x14ac:dyDescent="0.35">
      <c r="A3869" s="16" t="s">
        <v>6449</v>
      </c>
    </row>
    <row r="3870" spans="1:1" ht="29" x14ac:dyDescent="0.35">
      <c r="A3870" s="16" t="s">
        <v>6450</v>
      </c>
    </row>
    <row r="3871" spans="1:1" ht="29" x14ac:dyDescent="0.35">
      <c r="A3871" s="16" t="s">
        <v>6451</v>
      </c>
    </row>
    <row r="3872" spans="1:1" ht="29" x14ac:dyDescent="0.35">
      <c r="A3872" s="16" t="s">
        <v>6452</v>
      </c>
    </row>
    <row r="3873" spans="1:1" x14ac:dyDescent="0.35">
      <c r="A3873" s="16" t="s">
        <v>6453</v>
      </c>
    </row>
    <row r="3874" spans="1:1" ht="29" x14ac:dyDescent="0.35">
      <c r="A3874" s="16" t="s">
        <v>6454</v>
      </c>
    </row>
    <row r="3875" spans="1:1" ht="29" x14ac:dyDescent="0.35">
      <c r="A3875" s="16" t="s">
        <v>6455</v>
      </c>
    </row>
    <row r="3876" spans="1:1" x14ac:dyDescent="0.35">
      <c r="A3876" s="16" t="s">
        <v>6456</v>
      </c>
    </row>
    <row r="3877" spans="1:1" ht="29" x14ac:dyDescent="0.35">
      <c r="A3877" s="16" t="s">
        <v>6457</v>
      </c>
    </row>
    <row r="3878" spans="1:1" x14ac:dyDescent="0.35">
      <c r="A3878" s="16" t="s">
        <v>6458</v>
      </c>
    </row>
    <row r="3879" spans="1:1" ht="29" x14ac:dyDescent="0.35">
      <c r="A3879" s="16" t="s">
        <v>6459</v>
      </c>
    </row>
    <row r="3880" spans="1:1" ht="29" x14ac:dyDescent="0.35">
      <c r="A3880" s="16" t="s">
        <v>6460</v>
      </c>
    </row>
    <row r="3881" spans="1:1" ht="29" x14ac:dyDescent="0.35">
      <c r="A3881" s="16" t="s">
        <v>6461</v>
      </c>
    </row>
    <row r="3882" spans="1:1" ht="29" x14ac:dyDescent="0.35">
      <c r="A3882" s="16" t="s">
        <v>6462</v>
      </c>
    </row>
    <row r="3883" spans="1:1" ht="29" x14ac:dyDescent="0.35">
      <c r="A3883" s="16" t="s">
        <v>6463</v>
      </c>
    </row>
    <row r="3884" spans="1:1" ht="29" x14ac:dyDescent="0.35">
      <c r="A3884" s="16" t="s">
        <v>6464</v>
      </c>
    </row>
    <row r="3885" spans="1:1" ht="29" x14ac:dyDescent="0.35">
      <c r="A3885" s="16" t="s">
        <v>6465</v>
      </c>
    </row>
    <row r="3886" spans="1:1" x14ac:dyDescent="0.35">
      <c r="A3886" s="16" t="s">
        <v>6466</v>
      </c>
    </row>
    <row r="3887" spans="1:1" ht="29" x14ac:dyDescent="0.35">
      <c r="A3887" s="16" t="s">
        <v>6467</v>
      </c>
    </row>
    <row r="3888" spans="1:1" x14ac:dyDescent="0.35">
      <c r="A3888" s="16" t="s">
        <v>6468</v>
      </c>
    </row>
    <row r="3889" spans="1:1" ht="29" x14ac:dyDescent="0.35">
      <c r="A3889" s="16" t="s">
        <v>6469</v>
      </c>
    </row>
    <row r="3890" spans="1:1" ht="29" x14ac:dyDescent="0.35">
      <c r="A3890" s="16" t="s">
        <v>6470</v>
      </c>
    </row>
    <row r="3891" spans="1:1" ht="29" x14ac:dyDescent="0.35">
      <c r="A3891" s="16" t="s">
        <v>6471</v>
      </c>
    </row>
    <row r="3892" spans="1:1" ht="29" x14ac:dyDescent="0.35">
      <c r="A3892" s="16" t="s">
        <v>6472</v>
      </c>
    </row>
    <row r="3893" spans="1:1" x14ac:dyDescent="0.35">
      <c r="A3893" s="16" t="s">
        <v>6473</v>
      </c>
    </row>
    <row r="3894" spans="1:1" x14ac:dyDescent="0.35">
      <c r="A3894" s="16" t="s">
        <v>6474</v>
      </c>
    </row>
    <row r="3895" spans="1:1" x14ac:dyDescent="0.35">
      <c r="A3895" s="16" t="s">
        <v>6475</v>
      </c>
    </row>
    <row r="3896" spans="1:1" ht="29" x14ac:dyDescent="0.35">
      <c r="A3896" s="16" t="s">
        <v>6476</v>
      </c>
    </row>
    <row r="3897" spans="1:1" ht="29" x14ac:dyDescent="0.35">
      <c r="A3897" s="16" t="s">
        <v>6477</v>
      </c>
    </row>
    <row r="3898" spans="1:1" ht="29" x14ac:dyDescent="0.35">
      <c r="A3898" s="16" t="s">
        <v>6478</v>
      </c>
    </row>
    <row r="3899" spans="1:1" x14ac:dyDescent="0.35">
      <c r="A3899" s="16" t="s">
        <v>6479</v>
      </c>
    </row>
    <row r="3900" spans="1:1" ht="29" x14ac:dyDescent="0.35">
      <c r="A3900" s="16" t="s">
        <v>6480</v>
      </c>
    </row>
    <row r="3901" spans="1:1" x14ac:dyDescent="0.35">
      <c r="A3901" s="16" t="s">
        <v>6481</v>
      </c>
    </row>
    <row r="3902" spans="1:1" ht="29" x14ac:dyDescent="0.35">
      <c r="A3902" s="16" t="s">
        <v>6482</v>
      </c>
    </row>
    <row r="3903" spans="1:1" ht="29" x14ac:dyDescent="0.35">
      <c r="A3903" s="16" t="s">
        <v>6483</v>
      </c>
    </row>
    <row r="3904" spans="1:1" ht="29" x14ac:dyDescent="0.35">
      <c r="A3904" s="16" t="s">
        <v>6484</v>
      </c>
    </row>
    <row r="3905" spans="1:1" ht="29" x14ac:dyDescent="0.35">
      <c r="A3905" s="16" t="s">
        <v>6485</v>
      </c>
    </row>
    <row r="3906" spans="1:1" x14ac:dyDescent="0.35">
      <c r="A3906" s="16" t="s">
        <v>6486</v>
      </c>
    </row>
    <row r="3907" spans="1:1" ht="29" x14ac:dyDescent="0.35">
      <c r="A3907" s="16" t="s">
        <v>6487</v>
      </c>
    </row>
    <row r="3908" spans="1:1" ht="29" x14ac:dyDescent="0.35">
      <c r="A3908" s="16" t="s">
        <v>6488</v>
      </c>
    </row>
    <row r="3909" spans="1:1" x14ac:dyDescent="0.35">
      <c r="A3909" s="16" t="s">
        <v>6489</v>
      </c>
    </row>
    <row r="3910" spans="1:1" ht="29" x14ac:dyDescent="0.35">
      <c r="A3910" s="16" t="s">
        <v>6490</v>
      </c>
    </row>
    <row r="3911" spans="1:1" ht="29" x14ac:dyDescent="0.35">
      <c r="A3911" s="16" t="s">
        <v>6491</v>
      </c>
    </row>
    <row r="3912" spans="1:1" ht="29" x14ac:dyDescent="0.35">
      <c r="A3912" s="16" t="s">
        <v>6492</v>
      </c>
    </row>
    <row r="3913" spans="1:1" ht="29" x14ac:dyDescent="0.35">
      <c r="A3913" s="16" t="s">
        <v>6493</v>
      </c>
    </row>
    <row r="3914" spans="1:1" x14ac:dyDescent="0.35">
      <c r="A3914" s="16" t="s">
        <v>6494</v>
      </c>
    </row>
    <row r="3915" spans="1:1" ht="29" x14ac:dyDescent="0.35">
      <c r="A3915" s="16" t="s">
        <v>6495</v>
      </c>
    </row>
    <row r="3916" spans="1:1" x14ac:dyDescent="0.35">
      <c r="A3916" s="16" t="s">
        <v>6496</v>
      </c>
    </row>
    <row r="3917" spans="1:1" ht="29" x14ac:dyDescent="0.35">
      <c r="A3917" s="16" t="s">
        <v>6497</v>
      </c>
    </row>
    <row r="3918" spans="1:1" ht="29" x14ac:dyDescent="0.35">
      <c r="A3918" s="16" t="s">
        <v>6498</v>
      </c>
    </row>
    <row r="3919" spans="1:1" x14ac:dyDescent="0.35">
      <c r="A3919" s="16" t="s">
        <v>6499</v>
      </c>
    </row>
    <row r="3920" spans="1:1" ht="43.5" x14ac:dyDescent="0.35">
      <c r="A3920" s="16" t="s">
        <v>6500</v>
      </c>
    </row>
    <row r="3921" spans="1:1" ht="29" x14ac:dyDescent="0.35">
      <c r="A3921" s="16" t="s">
        <v>6501</v>
      </c>
    </row>
    <row r="3922" spans="1:1" x14ac:dyDescent="0.35">
      <c r="A3922" s="16" t="s">
        <v>6502</v>
      </c>
    </row>
    <row r="3923" spans="1:1" x14ac:dyDescent="0.35">
      <c r="A3923" s="16" t="s">
        <v>6503</v>
      </c>
    </row>
    <row r="3924" spans="1:1" ht="29" x14ac:dyDescent="0.35">
      <c r="A3924" s="16" t="s">
        <v>6504</v>
      </c>
    </row>
    <row r="3925" spans="1:1" ht="29" x14ac:dyDescent="0.35">
      <c r="A3925" s="16" t="s">
        <v>6505</v>
      </c>
    </row>
    <row r="3926" spans="1:1" x14ac:dyDescent="0.35">
      <c r="A3926" s="16" t="s">
        <v>6506</v>
      </c>
    </row>
    <row r="3927" spans="1:1" ht="29" x14ac:dyDescent="0.35">
      <c r="A3927" s="16" t="s">
        <v>6507</v>
      </c>
    </row>
    <row r="3928" spans="1:1" ht="29" x14ac:dyDescent="0.35">
      <c r="A3928" s="16" t="s">
        <v>6508</v>
      </c>
    </row>
    <row r="3929" spans="1:1" x14ac:dyDescent="0.35">
      <c r="A3929" s="16" t="s">
        <v>6509</v>
      </c>
    </row>
    <row r="3930" spans="1:1" ht="29" x14ac:dyDescent="0.35">
      <c r="A3930" s="16" t="s">
        <v>6510</v>
      </c>
    </row>
    <row r="3931" spans="1:1" x14ac:dyDescent="0.35">
      <c r="A3931" s="16" t="s">
        <v>6511</v>
      </c>
    </row>
    <row r="3932" spans="1:1" ht="29" x14ac:dyDescent="0.35">
      <c r="A3932" s="16" t="s">
        <v>6512</v>
      </c>
    </row>
    <row r="3933" spans="1:1" x14ac:dyDescent="0.35">
      <c r="A3933" s="16" t="s">
        <v>6513</v>
      </c>
    </row>
    <row r="3934" spans="1:1" x14ac:dyDescent="0.35">
      <c r="A3934" s="16" t="s">
        <v>6514</v>
      </c>
    </row>
    <row r="3935" spans="1:1" x14ac:dyDescent="0.35">
      <c r="A3935" s="16" t="s">
        <v>6515</v>
      </c>
    </row>
    <row r="3936" spans="1:1" x14ac:dyDescent="0.35">
      <c r="A3936" s="16" t="s">
        <v>6516</v>
      </c>
    </row>
    <row r="3937" spans="1:1" ht="29" x14ac:dyDescent="0.35">
      <c r="A3937" s="16" t="s">
        <v>6517</v>
      </c>
    </row>
    <row r="3938" spans="1:1" ht="29" x14ac:dyDescent="0.35">
      <c r="A3938" s="16" t="s">
        <v>6518</v>
      </c>
    </row>
    <row r="3939" spans="1:1" x14ac:dyDescent="0.35">
      <c r="A3939" s="16" t="s">
        <v>6519</v>
      </c>
    </row>
    <row r="3940" spans="1:1" ht="29" x14ac:dyDescent="0.35">
      <c r="A3940" s="16" t="s">
        <v>6520</v>
      </c>
    </row>
    <row r="3941" spans="1:1" x14ac:dyDescent="0.35">
      <c r="A3941" s="16" t="s">
        <v>6521</v>
      </c>
    </row>
    <row r="3942" spans="1:1" ht="29" x14ac:dyDescent="0.35">
      <c r="A3942" s="16" t="s">
        <v>6522</v>
      </c>
    </row>
    <row r="3943" spans="1:1" x14ac:dyDescent="0.35">
      <c r="A3943" s="16" t="s">
        <v>6523</v>
      </c>
    </row>
    <row r="3944" spans="1:1" x14ac:dyDescent="0.35">
      <c r="A3944" s="16" t="s">
        <v>6524</v>
      </c>
    </row>
    <row r="3945" spans="1:1" ht="29" x14ac:dyDescent="0.35">
      <c r="A3945" s="16" t="s">
        <v>6525</v>
      </c>
    </row>
    <row r="3946" spans="1:1" x14ac:dyDescent="0.35">
      <c r="A3946" s="16" t="s">
        <v>6526</v>
      </c>
    </row>
    <row r="3947" spans="1:1" x14ac:dyDescent="0.35">
      <c r="A3947" s="16" t="s">
        <v>6527</v>
      </c>
    </row>
    <row r="3948" spans="1:1" x14ac:dyDescent="0.35">
      <c r="A3948" s="16" t="s">
        <v>6528</v>
      </c>
    </row>
    <row r="3949" spans="1:1" x14ac:dyDescent="0.35">
      <c r="A3949" s="16" t="s">
        <v>6529</v>
      </c>
    </row>
    <row r="3950" spans="1:1" x14ac:dyDescent="0.35">
      <c r="A3950" s="16" t="s">
        <v>6530</v>
      </c>
    </row>
    <row r="3951" spans="1:1" x14ac:dyDescent="0.35">
      <c r="A3951" s="16" t="s">
        <v>6531</v>
      </c>
    </row>
    <row r="3952" spans="1:1" x14ac:dyDescent="0.35">
      <c r="A3952" s="16" t="s">
        <v>6532</v>
      </c>
    </row>
    <row r="3953" spans="1:1" ht="29" x14ac:dyDescent="0.35">
      <c r="A3953" s="16" t="s">
        <v>6533</v>
      </c>
    </row>
    <row r="3954" spans="1:1" x14ac:dyDescent="0.35">
      <c r="A3954" s="16" t="s">
        <v>6534</v>
      </c>
    </row>
    <row r="3955" spans="1:1" ht="29" x14ac:dyDescent="0.35">
      <c r="A3955" s="16" t="s">
        <v>6535</v>
      </c>
    </row>
    <row r="3956" spans="1:1" ht="29" x14ac:dyDescent="0.35">
      <c r="A3956" s="16" t="s">
        <v>6536</v>
      </c>
    </row>
    <row r="3957" spans="1:1" ht="29" x14ac:dyDescent="0.35">
      <c r="A3957" s="16" t="s">
        <v>6537</v>
      </c>
    </row>
    <row r="3958" spans="1:1" x14ac:dyDescent="0.35">
      <c r="A3958" s="16" t="s">
        <v>6538</v>
      </c>
    </row>
    <row r="3959" spans="1:1" ht="29" x14ac:dyDescent="0.35">
      <c r="A3959" s="16" t="s">
        <v>6539</v>
      </c>
    </row>
    <row r="3960" spans="1:1" ht="29" x14ac:dyDescent="0.35">
      <c r="A3960" s="16" t="s">
        <v>6540</v>
      </c>
    </row>
    <row r="3961" spans="1:1" x14ac:dyDescent="0.35">
      <c r="A3961" s="16" t="s">
        <v>6541</v>
      </c>
    </row>
    <row r="3962" spans="1:1" x14ac:dyDescent="0.35">
      <c r="A3962" s="16" t="s">
        <v>6542</v>
      </c>
    </row>
    <row r="3963" spans="1:1" ht="29" x14ac:dyDescent="0.35">
      <c r="A3963" s="16" t="s">
        <v>6543</v>
      </c>
    </row>
    <row r="3964" spans="1:1" ht="29" x14ac:dyDescent="0.35">
      <c r="A3964" s="16" t="s">
        <v>6544</v>
      </c>
    </row>
    <row r="3965" spans="1:1" x14ac:dyDescent="0.35">
      <c r="A3965" s="16" t="s">
        <v>6545</v>
      </c>
    </row>
    <row r="3966" spans="1:1" ht="29" x14ac:dyDescent="0.35">
      <c r="A3966" s="16" t="s">
        <v>6546</v>
      </c>
    </row>
    <row r="3967" spans="1:1" x14ac:dyDescent="0.35">
      <c r="A3967" s="16" t="s">
        <v>6547</v>
      </c>
    </row>
    <row r="3968" spans="1:1" x14ac:dyDescent="0.35">
      <c r="A3968" s="16" t="s">
        <v>6548</v>
      </c>
    </row>
    <row r="3969" spans="1:1" ht="29" x14ac:dyDescent="0.35">
      <c r="A3969" s="16" t="s">
        <v>6549</v>
      </c>
    </row>
    <row r="3970" spans="1:1" x14ac:dyDescent="0.35">
      <c r="A3970" s="16" t="s">
        <v>6550</v>
      </c>
    </row>
    <row r="3971" spans="1:1" x14ac:dyDescent="0.35">
      <c r="A3971" s="16" t="s">
        <v>6551</v>
      </c>
    </row>
    <row r="3972" spans="1:1" ht="29" x14ac:dyDescent="0.35">
      <c r="A3972" s="16" t="s">
        <v>6552</v>
      </c>
    </row>
    <row r="3973" spans="1:1" x14ac:dyDescent="0.35">
      <c r="A3973" s="16" t="s">
        <v>6553</v>
      </c>
    </row>
    <row r="3974" spans="1:1" ht="29" x14ac:dyDescent="0.35">
      <c r="A3974" s="16" t="s">
        <v>6554</v>
      </c>
    </row>
    <row r="3975" spans="1:1" ht="29" x14ac:dyDescent="0.35">
      <c r="A3975" s="16" t="s">
        <v>6555</v>
      </c>
    </row>
    <row r="3976" spans="1:1" ht="29" x14ac:dyDescent="0.35">
      <c r="A3976" s="16" t="s">
        <v>6556</v>
      </c>
    </row>
    <row r="3977" spans="1:1" x14ac:dyDescent="0.35">
      <c r="A3977" s="16" t="s">
        <v>6557</v>
      </c>
    </row>
    <row r="3978" spans="1:1" x14ac:dyDescent="0.35">
      <c r="A3978" s="16" t="s">
        <v>6558</v>
      </c>
    </row>
    <row r="3979" spans="1:1" ht="29" x14ac:dyDescent="0.35">
      <c r="A3979" s="16" t="s">
        <v>6559</v>
      </c>
    </row>
    <row r="3980" spans="1:1" ht="29" x14ac:dyDescent="0.35">
      <c r="A3980" s="16" t="s">
        <v>6560</v>
      </c>
    </row>
    <row r="3981" spans="1:1" ht="29" x14ac:dyDescent="0.35">
      <c r="A3981" s="16" t="s">
        <v>6561</v>
      </c>
    </row>
    <row r="3982" spans="1:1" ht="29" x14ac:dyDescent="0.35">
      <c r="A3982" s="16" t="s">
        <v>6562</v>
      </c>
    </row>
    <row r="3983" spans="1:1" ht="29" x14ac:dyDescent="0.35">
      <c r="A3983" s="16" t="s">
        <v>6563</v>
      </c>
    </row>
    <row r="3984" spans="1:1" x14ac:dyDescent="0.35">
      <c r="A3984" s="16" t="s">
        <v>6564</v>
      </c>
    </row>
    <row r="3985" spans="1:1" ht="29" x14ac:dyDescent="0.35">
      <c r="A3985" s="16" t="s">
        <v>6565</v>
      </c>
    </row>
    <row r="3986" spans="1:1" x14ac:dyDescent="0.35">
      <c r="A3986" s="16" t="s">
        <v>6566</v>
      </c>
    </row>
    <row r="3987" spans="1:1" x14ac:dyDescent="0.35">
      <c r="A3987" s="16" t="s">
        <v>6567</v>
      </c>
    </row>
    <row r="3988" spans="1:1" ht="29" x14ac:dyDescent="0.35">
      <c r="A3988" s="16" t="s">
        <v>6568</v>
      </c>
    </row>
    <row r="3989" spans="1:1" ht="29" x14ac:dyDescent="0.35">
      <c r="A3989" s="16" t="s">
        <v>6569</v>
      </c>
    </row>
    <row r="3990" spans="1:1" ht="29" x14ac:dyDescent="0.35">
      <c r="A3990" s="16" t="s">
        <v>6570</v>
      </c>
    </row>
    <row r="3991" spans="1:1" x14ac:dyDescent="0.35">
      <c r="A3991" s="16" t="s">
        <v>6571</v>
      </c>
    </row>
    <row r="3992" spans="1:1" ht="29" x14ac:dyDescent="0.35">
      <c r="A3992" s="16" t="s">
        <v>6572</v>
      </c>
    </row>
    <row r="3993" spans="1:1" x14ac:dyDescent="0.35">
      <c r="A3993" s="16" t="s">
        <v>6573</v>
      </c>
    </row>
    <row r="3994" spans="1:1" ht="29" x14ac:dyDescent="0.35">
      <c r="A3994" s="16" t="s">
        <v>6574</v>
      </c>
    </row>
    <row r="3995" spans="1:1" ht="29" x14ac:dyDescent="0.35">
      <c r="A3995" s="16" t="s">
        <v>6575</v>
      </c>
    </row>
    <row r="3996" spans="1:1" x14ac:dyDescent="0.35">
      <c r="A3996" s="16" t="s">
        <v>6576</v>
      </c>
    </row>
    <row r="3997" spans="1:1" x14ac:dyDescent="0.35">
      <c r="A3997" s="16" t="s">
        <v>6577</v>
      </c>
    </row>
    <row r="3998" spans="1:1" ht="29" x14ac:dyDescent="0.35">
      <c r="A3998" s="16" t="s">
        <v>6578</v>
      </c>
    </row>
    <row r="3999" spans="1:1" x14ac:dyDescent="0.35">
      <c r="A3999" s="16" t="s">
        <v>6579</v>
      </c>
    </row>
    <row r="4000" spans="1:1" ht="29" x14ac:dyDescent="0.35">
      <c r="A4000" s="16" t="s">
        <v>6580</v>
      </c>
    </row>
    <row r="4001" spans="1:1" x14ac:dyDescent="0.35">
      <c r="A4001" s="16" t="s">
        <v>6581</v>
      </c>
    </row>
    <row r="4002" spans="1:1" ht="29" x14ac:dyDescent="0.35">
      <c r="A4002" s="16" t="s">
        <v>6582</v>
      </c>
    </row>
    <row r="4003" spans="1:1" ht="29" x14ac:dyDescent="0.35">
      <c r="A4003" s="16" t="s">
        <v>6583</v>
      </c>
    </row>
    <row r="4004" spans="1:1" ht="29" x14ac:dyDescent="0.35">
      <c r="A4004" s="16" t="s">
        <v>6584</v>
      </c>
    </row>
    <row r="4005" spans="1:1" x14ac:dyDescent="0.35">
      <c r="A4005" s="16" t="s">
        <v>6585</v>
      </c>
    </row>
    <row r="4006" spans="1:1" ht="29" x14ac:dyDescent="0.35">
      <c r="A4006" s="16" t="s">
        <v>6586</v>
      </c>
    </row>
    <row r="4007" spans="1:1" x14ac:dyDescent="0.35">
      <c r="A4007" s="16" t="s">
        <v>6587</v>
      </c>
    </row>
    <row r="4008" spans="1:1" x14ac:dyDescent="0.35">
      <c r="A4008" s="16" t="s">
        <v>6588</v>
      </c>
    </row>
    <row r="4009" spans="1:1" x14ac:dyDescent="0.35">
      <c r="A4009" s="16" t="s">
        <v>6589</v>
      </c>
    </row>
    <row r="4010" spans="1:1" x14ac:dyDescent="0.35">
      <c r="A4010" s="16" t="s">
        <v>6590</v>
      </c>
    </row>
    <row r="4011" spans="1:1" x14ac:dyDescent="0.35">
      <c r="A4011" s="16" t="s">
        <v>6591</v>
      </c>
    </row>
    <row r="4012" spans="1:1" ht="29" x14ac:dyDescent="0.35">
      <c r="A4012" s="16" t="s">
        <v>6592</v>
      </c>
    </row>
    <row r="4013" spans="1:1" ht="29" x14ac:dyDescent="0.35">
      <c r="A4013" s="16" t="s">
        <v>6593</v>
      </c>
    </row>
    <row r="4014" spans="1:1" ht="29" x14ac:dyDescent="0.35">
      <c r="A4014" s="16" t="s">
        <v>6594</v>
      </c>
    </row>
    <row r="4015" spans="1:1" x14ac:dyDescent="0.35">
      <c r="A4015" s="16" t="s">
        <v>6595</v>
      </c>
    </row>
    <row r="4016" spans="1:1" ht="29" x14ac:dyDescent="0.35">
      <c r="A4016" s="16" t="s">
        <v>6596</v>
      </c>
    </row>
    <row r="4017" spans="1:1" x14ac:dyDescent="0.35">
      <c r="A4017" s="16" t="s">
        <v>6597</v>
      </c>
    </row>
    <row r="4018" spans="1:1" ht="29" x14ac:dyDescent="0.35">
      <c r="A4018" s="16" t="s">
        <v>6598</v>
      </c>
    </row>
    <row r="4019" spans="1:1" ht="29" x14ac:dyDescent="0.35">
      <c r="A4019" s="16" t="s">
        <v>6599</v>
      </c>
    </row>
    <row r="4020" spans="1:1" x14ac:dyDescent="0.35">
      <c r="A4020" s="16" t="s">
        <v>6600</v>
      </c>
    </row>
    <row r="4021" spans="1:1" ht="29" x14ac:dyDescent="0.35">
      <c r="A4021" s="16" t="s">
        <v>6601</v>
      </c>
    </row>
    <row r="4022" spans="1:1" x14ac:dyDescent="0.35">
      <c r="A4022" s="16" t="s">
        <v>6602</v>
      </c>
    </row>
    <row r="4023" spans="1:1" x14ac:dyDescent="0.35">
      <c r="A4023" s="16" t="s">
        <v>6603</v>
      </c>
    </row>
    <row r="4024" spans="1:1" x14ac:dyDescent="0.35">
      <c r="A4024" s="16" t="s">
        <v>6604</v>
      </c>
    </row>
    <row r="4025" spans="1:1" ht="29" x14ac:dyDescent="0.35">
      <c r="A4025" s="16" t="s">
        <v>6605</v>
      </c>
    </row>
    <row r="4026" spans="1:1" x14ac:dyDescent="0.35">
      <c r="A4026" s="16" t="s">
        <v>6606</v>
      </c>
    </row>
    <row r="4027" spans="1:1" ht="29" x14ac:dyDescent="0.35">
      <c r="A4027" s="16" t="s">
        <v>6607</v>
      </c>
    </row>
    <row r="4028" spans="1:1" x14ac:dyDescent="0.35">
      <c r="A4028" s="16" t="s">
        <v>6608</v>
      </c>
    </row>
    <row r="4029" spans="1:1" ht="29" x14ac:dyDescent="0.35">
      <c r="A4029" s="16" t="s">
        <v>6609</v>
      </c>
    </row>
    <row r="4030" spans="1:1" x14ac:dyDescent="0.35">
      <c r="A4030" s="16" t="s">
        <v>6610</v>
      </c>
    </row>
    <row r="4031" spans="1:1" ht="43.5" x14ac:dyDescent="0.35">
      <c r="A4031" s="16" t="s">
        <v>6611</v>
      </c>
    </row>
    <row r="4032" spans="1:1" x14ac:dyDescent="0.35">
      <c r="A4032" s="16" t="s">
        <v>6612</v>
      </c>
    </row>
    <row r="4033" spans="1:1" ht="29" x14ac:dyDescent="0.35">
      <c r="A4033" s="16" t="s">
        <v>6613</v>
      </c>
    </row>
    <row r="4034" spans="1:1" x14ac:dyDescent="0.35">
      <c r="A4034" s="16" t="s">
        <v>6614</v>
      </c>
    </row>
    <row r="4035" spans="1:1" x14ac:dyDescent="0.35">
      <c r="A4035" s="16" t="s">
        <v>6615</v>
      </c>
    </row>
    <row r="4036" spans="1:1" x14ac:dyDescent="0.35">
      <c r="A4036" s="16" t="s">
        <v>6616</v>
      </c>
    </row>
    <row r="4037" spans="1:1" ht="29" x14ac:dyDescent="0.35">
      <c r="A4037" s="16" t="s">
        <v>6617</v>
      </c>
    </row>
    <row r="4038" spans="1:1" ht="29" x14ac:dyDescent="0.35">
      <c r="A4038" s="16" t="s">
        <v>6618</v>
      </c>
    </row>
    <row r="4039" spans="1:1" ht="29" x14ac:dyDescent="0.35">
      <c r="A4039" s="16" t="s">
        <v>6619</v>
      </c>
    </row>
    <row r="4040" spans="1:1" ht="29" x14ac:dyDescent="0.35">
      <c r="A4040" s="16" t="s">
        <v>6620</v>
      </c>
    </row>
    <row r="4041" spans="1:1" ht="29" x14ac:dyDescent="0.35">
      <c r="A4041" s="16" t="s">
        <v>6621</v>
      </c>
    </row>
    <row r="4042" spans="1:1" ht="29" x14ac:dyDescent="0.35">
      <c r="A4042" s="16" t="s">
        <v>6622</v>
      </c>
    </row>
    <row r="4043" spans="1:1" x14ac:dyDescent="0.35">
      <c r="A4043" s="16" t="s">
        <v>6623</v>
      </c>
    </row>
    <row r="4044" spans="1:1" ht="29" x14ac:dyDescent="0.35">
      <c r="A4044" s="16" t="s">
        <v>6624</v>
      </c>
    </row>
    <row r="4045" spans="1:1" ht="29" x14ac:dyDescent="0.35">
      <c r="A4045" s="16" t="s">
        <v>6625</v>
      </c>
    </row>
    <row r="4046" spans="1:1" ht="29" x14ac:dyDescent="0.35">
      <c r="A4046" s="16" t="s">
        <v>6626</v>
      </c>
    </row>
    <row r="4047" spans="1:1" x14ac:dyDescent="0.35">
      <c r="A4047" s="16" t="s">
        <v>6627</v>
      </c>
    </row>
    <row r="4048" spans="1:1" ht="29" x14ac:dyDescent="0.35">
      <c r="A4048" s="16" t="s">
        <v>6628</v>
      </c>
    </row>
    <row r="4049" spans="1:1" ht="29" x14ac:dyDescent="0.35">
      <c r="A4049" s="16" t="s">
        <v>6629</v>
      </c>
    </row>
    <row r="4050" spans="1:1" ht="29" x14ac:dyDescent="0.35">
      <c r="A4050" s="16" t="s">
        <v>6630</v>
      </c>
    </row>
    <row r="4051" spans="1:1" ht="29" x14ac:dyDescent="0.35">
      <c r="A4051" s="16" t="s">
        <v>6631</v>
      </c>
    </row>
    <row r="4052" spans="1:1" ht="29" x14ac:dyDescent="0.35">
      <c r="A4052" s="16" t="s">
        <v>6632</v>
      </c>
    </row>
    <row r="4053" spans="1:1" ht="29" x14ac:dyDescent="0.35">
      <c r="A4053" s="16" t="s">
        <v>6633</v>
      </c>
    </row>
    <row r="4054" spans="1:1" x14ac:dyDescent="0.35">
      <c r="A4054" s="16" t="s">
        <v>6634</v>
      </c>
    </row>
    <row r="4055" spans="1:1" ht="29" x14ac:dyDescent="0.35">
      <c r="A4055" s="16" t="s">
        <v>6635</v>
      </c>
    </row>
    <row r="4056" spans="1:1" ht="29" x14ac:dyDescent="0.35">
      <c r="A4056" s="16" t="s">
        <v>6636</v>
      </c>
    </row>
    <row r="4057" spans="1:1" ht="29" x14ac:dyDescent="0.35">
      <c r="A4057" s="16" t="s">
        <v>6637</v>
      </c>
    </row>
    <row r="4058" spans="1:1" x14ac:dyDescent="0.35">
      <c r="A4058" s="16" t="s">
        <v>6638</v>
      </c>
    </row>
    <row r="4059" spans="1:1" ht="29" x14ac:dyDescent="0.35">
      <c r="A4059" s="16" t="s">
        <v>6639</v>
      </c>
    </row>
    <row r="4060" spans="1:1" ht="29" x14ac:dyDescent="0.35">
      <c r="A4060" s="16" t="s">
        <v>6640</v>
      </c>
    </row>
    <row r="4061" spans="1:1" ht="29" x14ac:dyDescent="0.35">
      <c r="A4061" s="16" t="s">
        <v>6641</v>
      </c>
    </row>
    <row r="4062" spans="1:1" ht="29" x14ac:dyDescent="0.35">
      <c r="A4062" s="16" t="s">
        <v>6642</v>
      </c>
    </row>
    <row r="4063" spans="1:1" ht="29" x14ac:dyDescent="0.35">
      <c r="A4063" s="16" t="s">
        <v>6643</v>
      </c>
    </row>
    <row r="4064" spans="1:1" ht="29" x14ac:dyDescent="0.35">
      <c r="A4064" s="16" t="s">
        <v>6644</v>
      </c>
    </row>
    <row r="4065" spans="1:1" ht="29" x14ac:dyDescent="0.35">
      <c r="A4065" s="16" t="s">
        <v>6645</v>
      </c>
    </row>
    <row r="4066" spans="1:1" x14ac:dyDescent="0.35">
      <c r="A4066" s="16" t="s">
        <v>6646</v>
      </c>
    </row>
    <row r="4067" spans="1:1" ht="29" x14ac:dyDescent="0.35">
      <c r="A4067" s="16" t="s">
        <v>6647</v>
      </c>
    </row>
    <row r="4068" spans="1:1" ht="29" x14ac:dyDescent="0.35">
      <c r="A4068" s="16" t="s">
        <v>6648</v>
      </c>
    </row>
    <row r="4069" spans="1:1" ht="29" x14ac:dyDescent="0.35">
      <c r="A4069" s="16" t="s">
        <v>6649</v>
      </c>
    </row>
    <row r="4070" spans="1:1" ht="29" x14ac:dyDescent="0.35">
      <c r="A4070" s="16" t="s">
        <v>6650</v>
      </c>
    </row>
    <row r="4071" spans="1:1" ht="29" x14ac:dyDescent="0.35">
      <c r="A4071" s="16" t="s">
        <v>6651</v>
      </c>
    </row>
    <row r="4072" spans="1:1" x14ac:dyDescent="0.35">
      <c r="A4072" s="16" t="s">
        <v>6652</v>
      </c>
    </row>
    <row r="4073" spans="1:1" x14ac:dyDescent="0.35">
      <c r="A4073" s="16" t="s">
        <v>6653</v>
      </c>
    </row>
    <row r="4074" spans="1:1" ht="29" x14ac:dyDescent="0.35">
      <c r="A4074" s="16" t="s">
        <v>6654</v>
      </c>
    </row>
    <row r="4075" spans="1:1" ht="29" x14ac:dyDescent="0.35">
      <c r="A4075" s="16" t="s">
        <v>6655</v>
      </c>
    </row>
    <row r="4076" spans="1:1" ht="29" x14ac:dyDescent="0.35">
      <c r="A4076" s="16" t="s">
        <v>6656</v>
      </c>
    </row>
    <row r="4077" spans="1:1" ht="29" x14ac:dyDescent="0.35">
      <c r="A4077" s="16" t="s">
        <v>6657</v>
      </c>
    </row>
    <row r="4078" spans="1:1" ht="29" x14ac:dyDescent="0.35">
      <c r="A4078" s="16" t="s">
        <v>6658</v>
      </c>
    </row>
    <row r="4079" spans="1:1" x14ac:dyDescent="0.35">
      <c r="A4079" s="16" t="s">
        <v>6659</v>
      </c>
    </row>
    <row r="4080" spans="1:1" ht="29" x14ac:dyDescent="0.35">
      <c r="A4080" s="16" t="s">
        <v>6660</v>
      </c>
    </row>
    <row r="4081" spans="1:1" ht="29" x14ac:dyDescent="0.35">
      <c r="A4081" s="16" t="s">
        <v>6661</v>
      </c>
    </row>
    <row r="4082" spans="1:1" ht="29" x14ac:dyDescent="0.35">
      <c r="A4082" s="16" t="s">
        <v>6662</v>
      </c>
    </row>
    <row r="4083" spans="1:1" ht="29" x14ac:dyDescent="0.35">
      <c r="A4083" s="16" t="s">
        <v>6663</v>
      </c>
    </row>
    <row r="4084" spans="1:1" x14ac:dyDescent="0.35">
      <c r="A4084" s="16" t="s">
        <v>6664</v>
      </c>
    </row>
    <row r="4085" spans="1:1" ht="29" x14ac:dyDescent="0.35">
      <c r="A4085" s="16" t="s">
        <v>6665</v>
      </c>
    </row>
    <row r="4086" spans="1:1" ht="29" x14ac:dyDescent="0.35">
      <c r="A4086" s="16" t="s">
        <v>6666</v>
      </c>
    </row>
    <row r="4087" spans="1:1" x14ac:dyDescent="0.35">
      <c r="A4087" s="16" t="s">
        <v>6667</v>
      </c>
    </row>
    <row r="4088" spans="1:1" x14ac:dyDescent="0.35">
      <c r="A4088" s="16" t="s">
        <v>6668</v>
      </c>
    </row>
    <row r="4089" spans="1:1" ht="29" x14ac:dyDescent="0.35">
      <c r="A4089" s="16" t="s">
        <v>6669</v>
      </c>
    </row>
    <row r="4090" spans="1:1" ht="29" x14ac:dyDescent="0.35">
      <c r="A4090" s="16" t="s">
        <v>6670</v>
      </c>
    </row>
    <row r="4091" spans="1:1" ht="29" x14ac:dyDescent="0.35">
      <c r="A4091" s="16" t="s">
        <v>6671</v>
      </c>
    </row>
    <row r="4092" spans="1:1" ht="29" x14ac:dyDescent="0.35">
      <c r="A4092" s="16" t="s">
        <v>6672</v>
      </c>
    </row>
    <row r="4093" spans="1:1" ht="29" x14ac:dyDescent="0.35">
      <c r="A4093" s="16" t="s">
        <v>6673</v>
      </c>
    </row>
    <row r="4094" spans="1:1" x14ac:dyDescent="0.35">
      <c r="A4094" s="16" t="s">
        <v>6674</v>
      </c>
    </row>
    <row r="4095" spans="1:1" ht="29" x14ac:dyDescent="0.35">
      <c r="A4095" s="16" t="s">
        <v>6675</v>
      </c>
    </row>
    <row r="4096" spans="1:1" ht="29" x14ac:dyDescent="0.35">
      <c r="A4096" s="16" t="s">
        <v>6676</v>
      </c>
    </row>
    <row r="4097" spans="1:1" x14ac:dyDescent="0.35">
      <c r="A4097" s="16" t="s">
        <v>6677</v>
      </c>
    </row>
    <row r="4098" spans="1:1" x14ac:dyDescent="0.35">
      <c r="A4098" s="16" t="s">
        <v>6678</v>
      </c>
    </row>
    <row r="4099" spans="1:1" ht="29" x14ac:dyDescent="0.35">
      <c r="A4099" s="16" t="s">
        <v>6679</v>
      </c>
    </row>
    <row r="4100" spans="1:1" x14ac:dyDescent="0.35">
      <c r="A4100" s="16" t="s">
        <v>6680</v>
      </c>
    </row>
    <row r="4101" spans="1:1" ht="29" x14ac:dyDescent="0.35">
      <c r="A4101" s="16" t="s">
        <v>6681</v>
      </c>
    </row>
    <row r="4102" spans="1:1" ht="29" x14ac:dyDescent="0.35">
      <c r="A4102" s="16" t="s">
        <v>6682</v>
      </c>
    </row>
    <row r="4103" spans="1:1" x14ac:dyDescent="0.35">
      <c r="A4103" s="16" t="s">
        <v>6683</v>
      </c>
    </row>
    <row r="4104" spans="1:1" ht="29" x14ac:dyDescent="0.35">
      <c r="A4104" s="16" t="s">
        <v>6684</v>
      </c>
    </row>
    <row r="4105" spans="1:1" x14ac:dyDescent="0.35">
      <c r="A4105" s="16" t="s">
        <v>6685</v>
      </c>
    </row>
    <row r="4106" spans="1:1" ht="29" x14ac:dyDescent="0.35">
      <c r="A4106" s="16" t="s">
        <v>6686</v>
      </c>
    </row>
    <row r="4107" spans="1:1" ht="29" x14ac:dyDescent="0.35">
      <c r="A4107" s="16" t="s">
        <v>6687</v>
      </c>
    </row>
    <row r="4108" spans="1:1" ht="29" x14ac:dyDescent="0.35">
      <c r="A4108" s="16" t="s">
        <v>6688</v>
      </c>
    </row>
    <row r="4109" spans="1:1" ht="29" x14ac:dyDescent="0.35">
      <c r="A4109" s="16" t="s">
        <v>6689</v>
      </c>
    </row>
    <row r="4110" spans="1:1" ht="29" x14ac:dyDescent="0.35">
      <c r="A4110" s="16" t="s">
        <v>6690</v>
      </c>
    </row>
    <row r="4111" spans="1:1" ht="29" x14ac:dyDescent="0.35">
      <c r="A4111" s="16" t="s">
        <v>6691</v>
      </c>
    </row>
    <row r="4112" spans="1:1" ht="29" x14ac:dyDescent="0.35">
      <c r="A4112" s="16" t="s">
        <v>6692</v>
      </c>
    </row>
    <row r="4113" spans="1:1" x14ac:dyDescent="0.35">
      <c r="A4113" s="16" t="s">
        <v>6693</v>
      </c>
    </row>
    <row r="4114" spans="1:1" ht="29" x14ac:dyDescent="0.35">
      <c r="A4114" s="16" t="s">
        <v>6694</v>
      </c>
    </row>
    <row r="4115" spans="1:1" x14ac:dyDescent="0.35">
      <c r="A4115" s="16" t="s">
        <v>6695</v>
      </c>
    </row>
    <row r="4116" spans="1:1" ht="29" x14ac:dyDescent="0.35">
      <c r="A4116" s="16" t="s">
        <v>6696</v>
      </c>
    </row>
    <row r="4117" spans="1:1" ht="29" x14ac:dyDescent="0.35">
      <c r="A4117" s="16" t="s">
        <v>6697</v>
      </c>
    </row>
    <row r="4118" spans="1:1" ht="29" x14ac:dyDescent="0.35">
      <c r="A4118" s="16" t="s">
        <v>6698</v>
      </c>
    </row>
    <row r="4119" spans="1:1" ht="29" x14ac:dyDescent="0.35">
      <c r="A4119" s="16" t="s">
        <v>6699</v>
      </c>
    </row>
    <row r="4120" spans="1:1" ht="29" x14ac:dyDescent="0.35">
      <c r="A4120" s="16" t="s">
        <v>6700</v>
      </c>
    </row>
    <row r="4121" spans="1:1" ht="29" x14ac:dyDescent="0.35">
      <c r="A4121" s="16" t="s">
        <v>6701</v>
      </c>
    </row>
    <row r="4122" spans="1:1" ht="29" x14ac:dyDescent="0.35">
      <c r="A4122" s="16" t="s">
        <v>6702</v>
      </c>
    </row>
    <row r="4123" spans="1:1" x14ac:dyDescent="0.35">
      <c r="A4123" s="16" t="s">
        <v>6703</v>
      </c>
    </row>
    <row r="4124" spans="1:1" ht="29" x14ac:dyDescent="0.35">
      <c r="A4124" s="16" t="s">
        <v>6704</v>
      </c>
    </row>
    <row r="4125" spans="1:1" ht="29" x14ac:dyDescent="0.35">
      <c r="A4125" s="16" t="s">
        <v>6705</v>
      </c>
    </row>
    <row r="4126" spans="1:1" x14ac:dyDescent="0.35">
      <c r="A4126" s="16" t="s">
        <v>6706</v>
      </c>
    </row>
    <row r="4127" spans="1:1" ht="29" x14ac:dyDescent="0.35">
      <c r="A4127" s="16" t="s">
        <v>6707</v>
      </c>
    </row>
    <row r="4128" spans="1:1" ht="29" x14ac:dyDescent="0.35">
      <c r="A4128" s="16" t="s">
        <v>6708</v>
      </c>
    </row>
    <row r="4129" spans="1:1" x14ac:dyDescent="0.35">
      <c r="A4129" s="16" t="s">
        <v>6709</v>
      </c>
    </row>
    <row r="4130" spans="1:1" ht="29" x14ac:dyDescent="0.35">
      <c r="A4130" s="16" t="s">
        <v>6710</v>
      </c>
    </row>
    <row r="4131" spans="1:1" x14ac:dyDescent="0.35">
      <c r="A4131" s="16" t="s">
        <v>6711</v>
      </c>
    </row>
    <row r="4132" spans="1:1" ht="29" x14ac:dyDescent="0.35">
      <c r="A4132" s="16" t="s">
        <v>6712</v>
      </c>
    </row>
    <row r="4133" spans="1:1" ht="29" x14ac:dyDescent="0.35">
      <c r="A4133" s="16" t="s">
        <v>6713</v>
      </c>
    </row>
    <row r="4134" spans="1:1" ht="29" x14ac:dyDescent="0.35">
      <c r="A4134" s="16" t="s">
        <v>6714</v>
      </c>
    </row>
    <row r="4135" spans="1:1" x14ac:dyDescent="0.35">
      <c r="A4135" s="16" t="s">
        <v>6715</v>
      </c>
    </row>
    <row r="4136" spans="1:1" ht="29" x14ac:dyDescent="0.35">
      <c r="A4136" s="16" t="s">
        <v>6716</v>
      </c>
    </row>
    <row r="4137" spans="1:1" x14ac:dyDescent="0.35">
      <c r="A4137" s="16" t="s">
        <v>6717</v>
      </c>
    </row>
    <row r="4138" spans="1:1" ht="29" x14ac:dyDescent="0.35">
      <c r="A4138" s="16" t="s">
        <v>6718</v>
      </c>
    </row>
    <row r="4139" spans="1:1" x14ac:dyDescent="0.35">
      <c r="A4139" s="16" t="s">
        <v>6719</v>
      </c>
    </row>
    <row r="4140" spans="1:1" ht="29" x14ac:dyDescent="0.35">
      <c r="A4140" s="16" t="s">
        <v>6720</v>
      </c>
    </row>
    <row r="4141" spans="1:1" ht="29" x14ac:dyDescent="0.35">
      <c r="A4141" s="16" t="s">
        <v>6721</v>
      </c>
    </row>
    <row r="4142" spans="1:1" ht="29" x14ac:dyDescent="0.35">
      <c r="A4142" s="16" t="s">
        <v>6722</v>
      </c>
    </row>
    <row r="4143" spans="1:1" x14ac:dyDescent="0.35">
      <c r="A4143" s="16" t="s">
        <v>6723</v>
      </c>
    </row>
    <row r="4144" spans="1:1" x14ac:dyDescent="0.35">
      <c r="A4144" s="16" t="s">
        <v>6724</v>
      </c>
    </row>
    <row r="4145" spans="1:1" ht="43.5" x14ac:dyDescent="0.35">
      <c r="A4145" s="16" t="s">
        <v>6725</v>
      </c>
    </row>
    <row r="4146" spans="1:1" ht="29" x14ac:dyDescent="0.35">
      <c r="A4146" s="16" t="s">
        <v>6726</v>
      </c>
    </row>
    <row r="4147" spans="1:1" ht="29" x14ac:dyDescent="0.35">
      <c r="A4147" s="16" t="s">
        <v>6727</v>
      </c>
    </row>
    <row r="4148" spans="1:1" x14ac:dyDescent="0.35">
      <c r="A4148" s="16" t="s">
        <v>6728</v>
      </c>
    </row>
    <row r="4149" spans="1:1" ht="29" x14ac:dyDescent="0.35">
      <c r="A4149" s="16" t="s">
        <v>6729</v>
      </c>
    </row>
    <row r="4150" spans="1:1" ht="29" x14ac:dyDescent="0.35">
      <c r="A4150" s="16" t="s">
        <v>6730</v>
      </c>
    </row>
    <row r="4151" spans="1:1" x14ac:dyDescent="0.35">
      <c r="A4151" s="16" t="s">
        <v>6731</v>
      </c>
    </row>
    <row r="4152" spans="1:1" x14ac:dyDescent="0.35">
      <c r="A4152" s="16" t="s">
        <v>6732</v>
      </c>
    </row>
    <row r="4153" spans="1:1" ht="29" x14ac:dyDescent="0.35">
      <c r="A4153" s="16" t="s">
        <v>6733</v>
      </c>
    </row>
    <row r="4154" spans="1:1" x14ac:dyDescent="0.35">
      <c r="A4154" s="16" t="s">
        <v>6734</v>
      </c>
    </row>
    <row r="4155" spans="1:1" x14ac:dyDescent="0.35">
      <c r="A4155" s="16" t="s">
        <v>6735</v>
      </c>
    </row>
    <row r="4156" spans="1:1" x14ac:dyDescent="0.35">
      <c r="A4156" s="16" t="s">
        <v>6736</v>
      </c>
    </row>
    <row r="4157" spans="1:1" ht="29" x14ac:dyDescent="0.35">
      <c r="A4157" s="16" t="s">
        <v>6737</v>
      </c>
    </row>
    <row r="4158" spans="1:1" ht="29" x14ac:dyDescent="0.35">
      <c r="A4158" s="16" t="s">
        <v>6738</v>
      </c>
    </row>
    <row r="4159" spans="1:1" ht="29" x14ac:dyDescent="0.35">
      <c r="A4159" s="16" t="s">
        <v>6739</v>
      </c>
    </row>
    <row r="4160" spans="1:1" ht="29" x14ac:dyDescent="0.35">
      <c r="A4160" s="16" t="s">
        <v>6740</v>
      </c>
    </row>
    <row r="4161" spans="1:1" x14ac:dyDescent="0.35">
      <c r="A4161" s="16" t="s">
        <v>6741</v>
      </c>
    </row>
    <row r="4162" spans="1:1" ht="29" x14ac:dyDescent="0.35">
      <c r="A4162" s="16" t="s">
        <v>6742</v>
      </c>
    </row>
    <row r="4163" spans="1:1" x14ac:dyDescent="0.35">
      <c r="A4163" s="16" t="s">
        <v>6743</v>
      </c>
    </row>
    <row r="4164" spans="1:1" ht="43.5" x14ac:dyDescent="0.35">
      <c r="A4164" s="16" t="s">
        <v>6744</v>
      </c>
    </row>
    <row r="4165" spans="1:1" ht="29" x14ac:dyDescent="0.35">
      <c r="A4165" s="16" t="s">
        <v>6745</v>
      </c>
    </row>
    <row r="4166" spans="1:1" ht="43.5" x14ac:dyDescent="0.35">
      <c r="A4166" s="16" t="s">
        <v>6746</v>
      </c>
    </row>
    <row r="4167" spans="1:1" ht="29" x14ac:dyDescent="0.35">
      <c r="A4167" s="16" t="s">
        <v>6747</v>
      </c>
    </row>
    <row r="4168" spans="1:1" ht="29" x14ac:dyDescent="0.35">
      <c r="A4168" s="16" t="s">
        <v>6748</v>
      </c>
    </row>
    <row r="4169" spans="1:1" ht="29" x14ac:dyDescent="0.35">
      <c r="A4169" s="16" t="s">
        <v>6749</v>
      </c>
    </row>
    <row r="4170" spans="1:1" x14ac:dyDescent="0.35">
      <c r="A4170" s="16" t="s">
        <v>6750</v>
      </c>
    </row>
    <row r="4171" spans="1:1" x14ac:dyDescent="0.35">
      <c r="A4171" s="16" t="s">
        <v>6751</v>
      </c>
    </row>
    <row r="4172" spans="1:1" ht="29" x14ac:dyDescent="0.35">
      <c r="A4172" s="16" t="s">
        <v>6752</v>
      </c>
    </row>
    <row r="4173" spans="1:1" ht="29" x14ac:dyDescent="0.35">
      <c r="A4173" s="16" t="s">
        <v>6753</v>
      </c>
    </row>
    <row r="4174" spans="1:1" x14ac:dyDescent="0.35">
      <c r="A4174" s="16" t="s">
        <v>6754</v>
      </c>
    </row>
    <row r="4175" spans="1:1" ht="29" x14ac:dyDescent="0.35">
      <c r="A4175" s="16" t="s">
        <v>6755</v>
      </c>
    </row>
    <row r="4176" spans="1:1" x14ac:dyDescent="0.35">
      <c r="A4176" s="16" t="s">
        <v>6756</v>
      </c>
    </row>
    <row r="4177" spans="1:1" ht="29" x14ac:dyDescent="0.35">
      <c r="A4177" s="16" t="s">
        <v>6757</v>
      </c>
    </row>
    <row r="4178" spans="1:1" ht="29" x14ac:dyDescent="0.35">
      <c r="A4178" s="16" t="s">
        <v>6758</v>
      </c>
    </row>
    <row r="4179" spans="1:1" x14ac:dyDescent="0.35">
      <c r="A4179" s="16" t="s">
        <v>6759</v>
      </c>
    </row>
    <row r="4180" spans="1:1" ht="29" x14ac:dyDescent="0.35">
      <c r="A4180" s="16" t="s">
        <v>6760</v>
      </c>
    </row>
    <row r="4181" spans="1:1" ht="29" x14ac:dyDescent="0.35">
      <c r="A4181" s="16" t="s">
        <v>6761</v>
      </c>
    </row>
    <row r="4182" spans="1:1" ht="29" x14ac:dyDescent="0.35">
      <c r="A4182" s="16" t="s">
        <v>6762</v>
      </c>
    </row>
    <row r="4183" spans="1:1" ht="29" x14ac:dyDescent="0.35">
      <c r="A4183" s="16" t="s">
        <v>6763</v>
      </c>
    </row>
    <row r="4184" spans="1:1" ht="29" x14ac:dyDescent="0.35">
      <c r="A4184" s="16" t="s">
        <v>6764</v>
      </c>
    </row>
    <row r="4185" spans="1:1" ht="29" x14ac:dyDescent="0.35">
      <c r="A4185" s="16" t="s">
        <v>6765</v>
      </c>
    </row>
    <row r="4186" spans="1:1" ht="43.5" x14ac:dyDescent="0.35">
      <c r="A4186" s="16" t="s">
        <v>6766</v>
      </c>
    </row>
    <row r="4187" spans="1:1" ht="29" x14ac:dyDescent="0.35">
      <c r="A4187" s="16" t="s">
        <v>6767</v>
      </c>
    </row>
    <row r="4188" spans="1:1" ht="29" x14ac:dyDescent="0.35">
      <c r="A4188" s="16" t="s">
        <v>6768</v>
      </c>
    </row>
    <row r="4189" spans="1:1" ht="29" x14ac:dyDescent="0.35">
      <c r="A4189" s="16" t="s">
        <v>6769</v>
      </c>
    </row>
    <row r="4190" spans="1:1" ht="29" x14ac:dyDescent="0.35">
      <c r="A4190" s="16" t="s">
        <v>6770</v>
      </c>
    </row>
    <row r="4191" spans="1:1" x14ac:dyDescent="0.35">
      <c r="A4191" s="16" t="s">
        <v>6771</v>
      </c>
    </row>
    <row r="4192" spans="1:1" ht="29" x14ac:dyDescent="0.35">
      <c r="A4192" s="16" t="s">
        <v>6772</v>
      </c>
    </row>
    <row r="4193" spans="1:1" x14ac:dyDescent="0.35">
      <c r="A4193" s="16" t="s">
        <v>6773</v>
      </c>
    </row>
    <row r="4194" spans="1:1" ht="29" x14ac:dyDescent="0.35">
      <c r="A4194" s="16" t="s">
        <v>6774</v>
      </c>
    </row>
    <row r="4195" spans="1:1" ht="29" x14ac:dyDescent="0.35">
      <c r="A4195" s="16" t="s">
        <v>6775</v>
      </c>
    </row>
    <row r="4196" spans="1:1" ht="29" x14ac:dyDescent="0.35">
      <c r="A4196" s="16" t="s">
        <v>6776</v>
      </c>
    </row>
    <row r="4197" spans="1:1" x14ac:dyDescent="0.35">
      <c r="A4197" s="16" t="s">
        <v>6777</v>
      </c>
    </row>
    <row r="4198" spans="1:1" x14ac:dyDescent="0.35">
      <c r="A4198" s="16" t="s">
        <v>6778</v>
      </c>
    </row>
    <row r="4199" spans="1:1" ht="29" x14ac:dyDescent="0.35">
      <c r="A4199" s="16" t="s">
        <v>6779</v>
      </c>
    </row>
    <row r="4200" spans="1:1" x14ac:dyDescent="0.35">
      <c r="A4200" s="16" t="s">
        <v>6780</v>
      </c>
    </row>
    <row r="4201" spans="1:1" x14ac:dyDescent="0.35">
      <c r="A4201" s="16" t="s">
        <v>6781</v>
      </c>
    </row>
    <row r="4202" spans="1:1" ht="29" x14ac:dyDescent="0.35">
      <c r="A4202" s="16" t="s">
        <v>6782</v>
      </c>
    </row>
    <row r="4203" spans="1:1" ht="29" x14ac:dyDescent="0.35">
      <c r="A4203" s="16" t="s">
        <v>6783</v>
      </c>
    </row>
    <row r="4204" spans="1:1" x14ac:dyDescent="0.35">
      <c r="A4204" s="16" t="s">
        <v>6784</v>
      </c>
    </row>
    <row r="4205" spans="1:1" ht="29" x14ac:dyDescent="0.35">
      <c r="A4205" s="16" t="s">
        <v>6785</v>
      </c>
    </row>
    <row r="4206" spans="1:1" x14ac:dyDescent="0.35">
      <c r="A4206" s="16" t="s">
        <v>6786</v>
      </c>
    </row>
    <row r="4207" spans="1:1" x14ac:dyDescent="0.35">
      <c r="A4207" s="16" t="s">
        <v>6787</v>
      </c>
    </row>
    <row r="4208" spans="1:1" ht="29" x14ac:dyDescent="0.35">
      <c r="A4208" s="16" t="s">
        <v>6788</v>
      </c>
    </row>
    <row r="4209" spans="1:1" x14ac:dyDescent="0.35">
      <c r="A4209" s="16" t="s">
        <v>6789</v>
      </c>
    </row>
    <row r="4210" spans="1:1" x14ac:dyDescent="0.35">
      <c r="A4210" s="16" t="s">
        <v>6790</v>
      </c>
    </row>
    <row r="4211" spans="1:1" x14ac:dyDescent="0.35">
      <c r="A4211" s="16" t="s">
        <v>6791</v>
      </c>
    </row>
    <row r="4212" spans="1:1" ht="29" x14ac:dyDescent="0.35">
      <c r="A4212" s="16" t="s">
        <v>6792</v>
      </c>
    </row>
    <row r="4213" spans="1:1" ht="29" x14ac:dyDescent="0.35">
      <c r="A4213" s="16" t="s">
        <v>6793</v>
      </c>
    </row>
    <row r="4214" spans="1:1" ht="29" x14ac:dyDescent="0.35">
      <c r="A4214" s="16" t="s">
        <v>6794</v>
      </c>
    </row>
    <row r="4215" spans="1:1" x14ac:dyDescent="0.35">
      <c r="A4215" s="16" t="s">
        <v>6795</v>
      </c>
    </row>
    <row r="4216" spans="1:1" ht="29" x14ac:dyDescent="0.35">
      <c r="A4216" s="16" t="s">
        <v>6796</v>
      </c>
    </row>
    <row r="4217" spans="1:1" ht="29" x14ac:dyDescent="0.35">
      <c r="A4217" s="16" t="s">
        <v>6797</v>
      </c>
    </row>
    <row r="4218" spans="1:1" ht="29" x14ac:dyDescent="0.35">
      <c r="A4218" s="16" t="s">
        <v>6798</v>
      </c>
    </row>
    <row r="4219" spans="1:1" ht="29" x14ac:dyDescent="0.35">
      <c r="A4219" s="16" t="s">
        <v>6799</v>
      </c>
    </row>
    <row r="4220" spans="1:1" ht="29" x14ac:dyDescent="0.35">
      <c r="A4220" s="16" t="s">
        <v>6800</v>
      </c>
    </row>
    <row r="4221" spans="1:1" ht="29" x14ac:dyDescent="0.35">
      <c r="A4221" s="16" t="s">
        <v>6801</v>
      </c>
    </row>
    <row r="4222" spans="1:1" ht="29" x14ac:dyDescent="0.35">
      <c r="A4222" s="16" t="s">
        <v>6802</v>
      </c>
    </row>
    <row r="4223" spans="1:1" x14ac:dyDescent="0.35">
      <c r="A4223" s="16" t="s">
        <v>6803</v>
      </c>
    </row>
    <row r="4224" spans="1:1" ht="43.5" x14ac:dyDescent="0.35">
      <c r="A4224" s="16" t="s">
        <v>6804</v>
      </c>
    </row>
    <row r="4225" spans="1:1" ht="29" x14ac:dyDescent="0.35">
      <c r="A4225" s="16" t="s">
        <v>6805</v>
      </c>
    </row>
    <row r="4226" spans="1:1" x14ac:dyDescent="0.35">
      <c r="A4226" s="16" t="s">
        <v>6806</v>
      </c>
    </row>
    <row r="4227" spans="1:1" ht="29" x14ac:dyDescent="0.35">
      <c r="A4227" s="16" t="s">
        <v>6807</v>
      </c>
    </row>
    <row r="4228" spans="1:1" ht="29" x14ac:dyDescent="0.35">
      <c r="A4228" s="16" t="s">
        <v>6808</v>
      </c>
    </row>
    <row r="4229" spans="1:1" ht="43.5" x14ac:dyDescent="0.35">
      <c r="A4229" s="16" t="s">
        <v>6809</v>
      </c>
    </row>
    <row r="4230" spans="1:1" ht="29" x14ac:dyDescent="0.35">
      <c r="A4230" s="16" t="s">
        <v>6810</v>
      </c>
    </row>
    <row r="4231" spans="1:1" ht="29" x14ac:dyDescent="0.35">
      <c r="A4231" s="16" t="s">
        <v>6811</v>
      </c>
    </row>
    <row r="4232" spans="1:1" ht="43.5" x14ac:dyDescent="0.35">
      <c r="A4232" s="16" t="s">
        <v>6812</v>
      </c>
    </row>
    <row r="4233" spans="1:1" x14ac:dyDescent="0.35">
      <c r="A4233" s="16" t="s">
        <v>6813</v>
      </c>
    </row>
    <row r="4234" spans="1:1" x14ac:dyDescent="0.35">
      <c r="A4234" s="16" t="s">
        <v>6814</v>
      </c>
    </row>
    <row r="4235" spans="1:1" x14ac:dyDescent="0.35">
      <c r="A4235" s="16" t="s">
        <v>6815</v>
      </c>
    </row>
    <row r="4236" spans="1:1" ht="29" x14ac:dyDescent="0.35">
      <c r="A4236" s="16" t="s">
        <v>6816</v>
      </c>
    </row>
    <row r="4237" spans="1:1" x14ac:dyDescent="0.35">
      <c r="A4237" s="16" t="s">
        <v>6817</v>
      </c>
    </row>
    <row r="4238" spans="1:1" ht="29" x14ac:dyDescent="0.35">
      <c r="A4238" s="16" t="s">
        <v>6818</v>
      </c>
    </row>
    <row r="4239" spans="1:1" x14ac:dyDescent="0.35">
      <c r="A4239" s="16" t="s">
        <v>6819</v>
      </c>
    </row>
    <row r="4240" spans="1:1" ht="29" x14ac:dyDescent="0.35">
      <c r="A4240" s="16" t="s">
        <v>6820</v>
      </c>
    </row>
    <row r="4241" spans="1:1" x14ac:dyDescent="0.35">
      <c r="A4241" s="16" t="s">
        <v>6821</v>
      </c>
    </row>
    <row r="4242" spans="1:1" ht="29" x14ac:dyDescent="0.35">
      <c r="A4242" s="16" t="s">
        <v>6822</v>
      </c>
    </row>
    <row r="4243" spans="1:1" ht="43.5" x14ac:dyDescent="0.35">
      <c r="A4243" s="16" t="s">
        <v>6823</v>
      </c>
    </row>
    <row r="4244" spans="1:1" x14ac:dyDescent="0.35">
      <c r="A4244" s="16" t="s">
        <v>6824</v>
      </c>
    </row>
    <row r="4245" spans="1:1" ht="29" x14ac:dyDescent="0.35">
      <c r="A4245" s="16" t="s">
        <v>6825</v>
      </c>
    </row>
    <row r="4246" spans="1:1" x14ac:dyDescent="0.35">
      <c r="A4246" s="16" t="s">
        <v>6826</v>
      </c>
    </row>
    <row r="4247" spans="1:1" ht="29" x14ac:dyDescent="0.35">
      <c r="A4247" s="16" t="s">
        <v>6827</v>
      </c>
    </row>
    <row r="4248" spans="1:1" ht="29" x14ac:dyDescent="0.35">
      <c r="A4248" s="16" t="s">
        <v>6828</v>
      </c>
    </row>
    <row r="4249" spans="1:1" ht="29" x14ac:dyDescent="0.35">
      <c r="A4249" s="16" t="s">
        <v>6829</v>
      </c>
    </row>
    <row r="4250" spans="1:1" ht="29" x14ac:dyDescent="0.35">
      <c r="A4250" s="16" t="s">
        <v>6830</v>
      </c>
    </row>
    <row r="4251" spans="1:1" ht="29" x14ac:dyDescent="0.35">
      <c r="A4251" s="16" t="s">
        <v>6831</v>
      </c>
    </row>
    <row r="4252" spans="1:1" ht="29" x14ac:dyDescent="0.35">
      <c r="A4252" s="16" t="s">
        <v>6832</v>
      </c>
    </row>
    <row r="4253" spans="1:1" x14ac:dyDescent="0.35">
      <c r="A4253" s="16" t="s">
        <v>6833</v>
      </c>
    </row>
    <row r="4254" spans="1:1" ht="29" x14ac:dyDescent="0.35">
      <c r="A4254" s="16" t="s">
        <v>6834</v>
      </c>
    </row>
    <row r="4255" spans="1:1" x14ac:dyDescent="0.35">
      <c r="A4255" s="16" t="s">
        <v>6835</v>
      </c>
    </row>
    <row r="4256" spans="1:1" ht="29" x14ac:dyDescent="0.35">
      <c r="A4256" s="16" t="s">
        <v>6836</v>
      </c>
    </row>
    <row r="4257" spans="1:1" x14ac:dyDescent="0.35">
      <c r="A4257" s="16" t="s">
        <v>6837</v>
      </c>
    </row>
    <row r="4258" spans="1:1" ht="29" x14ac:dyDescent="0.35">
      <c r="A4258" s="16" t="s">
        <v>6838</v>
      </c>
    </row>
    <row r="4259" spans="1:1" ht="29" x14ac:dyDescent="0.35">
      <c r="A4259" s="16" t="s">
        <v>6839</v>
      </c>
    </row>
    <row r="4260" spans="1:1" x14ac:dyDescent="0.35">
      <c r="A4260" s="16" t="s">
        <v>6840</v>
      </c>
    </row>
    <row r="4261" spans="1:1" ht="29" x14ac:dyDescent="0.35">
      <c r="A4261" s="16" t="s">
        <v>6841</v>
      </c>
    </row>
    <row r="4262" spans="1:1" ht="29" x14ac:dyDescent="0.35">
      <c r="A4262" s="16" t="s">
        <v>6842</v>
      </c>
    </row>
    <row r="4263" spans="1:1" ht="29" x14ac:dyDescent="0.35">
      <c r="A4263" s="16" t="s">
        <v>6843</v>
      </c>
    </row>
    <row r="4264" spans="1:1" ht="29" x14ac:dyDescent="0.35">
      <c r="A4264" s="16" t="s">
        <v>6844</v>
      </c>
    </row>
    <row r="4265" spans="1:1" x14ac:dyDescent="0.35">
      <c r="A4265" s="16" t="s">
        <v>6845</v>
      </c>
    </row>
    <row r="4266" spans="1:1" ht="29" x14ac:dyDescent="0.35">
      <c r="A4266" s="16" t="s">
        <v>6846</v>
      </c>
    </row>
    <row r="4267" spans="1:1" x14ac:dyDescent="0.35">
      <c r="A4267" s="16" t="s">
        <v>6847</v>
      </c>
    </row>
    <row r="4268" spans="1:1" ht="29" x14ac:dyDescent="0.35">
      <c r="A4268" s="16" t="s">
        <v>6848</v>
      </c>
    </row>
    <row r="4269" spans="1:1" ht="29" x14ac:dyDescent="0.35">
      <c r="A4269" s="16" t="s">
        <v>6849</v>
      </c>
    </row>
    <row r="4270" spans="1:1" ht="29" x14ac:dyDescent="0.35">
      <c r="A4270" s="16" t="s">
        <v>6850</v>
      </c>
    </row>
    <row r="4271" spans="1:1" ht="29" x14ac:dyDescent="0.35">
      <c r="A4271" s="16" t="s">
        <v>6851</v>
      </c>
    </row>
    <row r="4272" spans="1:1" ht="29" x14ac:dyDescent="0.35">
      <c r="A4272" s="16" t="s">
        <v>6852</v>
      </c>
    </row>
    <row r="4273" spans="1:1" ht="29" x14ac:dyDescent="0.35">
      <c r="A4273" s="16" t="s">
        <v>6853</v>
      </c>
    </row>
    <row r="4274" spans="1:1" ht="29" x14ac:dyDescent="0.35">
      <c r="A4274" s="16" t="s">
        <v>6854</v>
      </c>
    </row>
    <row r="4275" spans="1:1" x14ac:dyDescent="0.35">
      <c r="A4275" s="16" t="s">
        <v>6855</v>
      </c>
    </row>
    <row r="4276" spans="1:1" x14ac:dyDescent="0.35">
      <c r="A4276" s="16" t="s">
        <v>6856</v>
      </c>
    </row>
    <row r="4277" spans="1:1" x14ac:dyDescent="0.35">
      <c r="A4277" s="16" t="s">
        <v>6857</v>
      </c>
    </row>
    <row r="4278" spans="1:1" ht="29" x14ac:dyDescent="0.35">
      <c r="A4278" s="16" t="s">
        <v>6858</v>
      </c>
    </row>
    <row r="4279" spans="1:1" ht="29" x14ac:dyDescent="0.35">
      <c r="A4279" s="16" t="s">
        <v>6859</v>
      </c>
    </row>
    <row r="4280" spans="1:1" x14ac:dyDescent="0.35">
      <c r="A4280" s="16" t="s">
        <v>6860</v>
      </c>
    </row>
    <row r="4281" spans="1:1" ht="29" x14ac:dyDescent="0.35">
      <c r="A4281" s="16" t="s">
        <v>6861</v>
      </c>
    </row>
    <row r="4282" spans="1:1" x14ac:dyDescent="0.35">
      <c r="A4282" s="16" t="s">
        <v>6862</v>
      </c>
    </row>
    <row r="4283" spans="1:1" x14ac:dyDescent="0.35">
      <c r="A4283" s="16" t="s">
        <v>6863</v>
      </c>
    </row>
    <row r="4284" spans="1:1" ht="29" x14ac:dyDescent="0.35">
      <c r="A4284" s="16" t="s">
        <v>6864</v>
      </c>
    </row>
    <row r="4285" spans="1:1" x14ac:dyDescent="0.35">
      <c r="A4285" s="16" t="s">
        <v>6865</v>
      </c>
    </row>
    <row r="4286" spans="1:1" x14ac:dyDescent="0.35">
      <c r="A4286" s="16" t="s">
        <v>6866</v>
      </c>
    </row>
    <row r="4287" spans="1:1" ht="29" x14ac:dyDescent="0.35">
      <c r="A4287" s="16" t="s">
        <v>6867</v>
      </c>
    </row>
    <row r="4288" spans="1:1" x14ac:dyDescent="0.35">
      <c r="A4288" s="16" t="s">
        <v>6868</v>
      </c>
    </row>
    <row r="4289" spans="1:1" x14ac:dyDescent="0.35">
      <c r="A4289" s="16" t="s">
        <v>6869</v>
      </c>
    </row>
    <row r="4290" spans="1:1" ht="29" x14ac:dyDescent="0.35">
      <c r="A4290" s="16" t="s">
        <v>6870</v>
      </c>
    </row>
    <row r="4291" spans="1:1" ht="29" x14ac:dyDescent="0.35">
      <c r="A4291" s="16" t="s">
        <v>6871</v>
      </c>
    </row>
    <row r="4292" spans="1:1" x14ac:dyDescent="0.35">
      <c r="A4292" s="16" t="s">
        <v>6872</v>
      </c>
    </row>
    <row r="4293" spans="1:1" ht="29" x14ac:dyDescent="0.35">
      <c r="A4293" s="16" t="s">
        <v>6873</v>
      </c>
    </row>
    <row r="4294" spans="1:1" x14ac:dyDescent="0.35">
      <c r="A4294" s="16" t="s">
        <v>6874</v>
      </c>
    </row>
    <row r="4295" spans="1:1" ht="29" x14ac:dyDescent="0.35">
      <c r="A4295" s="16" t="s">
        <v>6875</v>
      </c>
    </row>
    <row r="4296" spans="1:1" x14ac:dyDescent="0.35">
      <c r="A4296" s="16" t="s">
        <v>6876</v>
      </c>
    </row>
    <row r="4297" spans="1:1" ht="29" x14ac:dyDescent="0.35">
      <c r="A4297" s="16" t="s">
        <v>6877</v>
      </c>
    </row>
    <row r="4298" spans="1:1" x14ac:dyDescent="0.35">
      <c r="A4298" s="16" t="s">
        <v>6878</v>
      </c>
    </row>
    <row r="4299" spans="1:1" ht="29" x14ac:dyDescent="0.35">
      <c r="A4299" s="16" t="s">
        <v>6879</v>
      </c>
    </row>
    <row r="4300" spans="1:1" ht="29" x14ac:dyDescent="0.35">
      <c r="A4300" s="16" t="s">
        <v>6880</v>
      </c>
    </row>
    <row r="4301" spans="1:1" x14ac:dyDescent="0.35">
      <c r="A4301" s="16" t="s">
        <v>6881</v>
      </c>
    </row>
    <row r="4302" spans="1:1" x14ac:dyDescent="0.35">
      <c r="A4302" s="16" t="s">
        <v>6882</v>
      </c>
    </row>
    <row r="4303" spans="1:1" x14ac:dyDescent="0.35">
      <c r="A4303" s="16" t="s">
        <v>6883</v>
      </c>
    </row>
    <row r="4304" spans="1:1" ht="29" x14ac:dyDescent="0.35">
      <c r="A4304" s="16" t="s">
        <v>6884</v>
      </c>
    </row>
    <row r="4305" spans="1:1" ht="29" x14ac:dyDescent="0.35">
      <c r="A4305" s="16" t="s">
        <v>6885</v>
      </c>
    </row>
    <row r="4306" spans="1:1" x14ac:dyDescent="0.35">
      <c r="A4306" s="16" t="s">
        <v>6886</v>
      </c>
    </row>
    <row r="4307" spans="1:1" x14ac:dyDescent="0.35">
      <c r="A4307" s="16" t="s">
        <v>6887</v>
      </c>
    </row>
    <row r="4308" spans="1:1" ht="29" x14ac:dyDescent="0.35">
      <c r="A4308" s="16" t="s">
        <v>6888</v>
      </c>
    </row>
    <row r="4309" spans="1:1" x14ac:dyDescent="0.35">
      <c r="A4309" s="16" t="s">
        <v>6889</v>
      </c>
    </row>
    <row r="4310" spans="1:1" x14ac:dyDescent="0.35">
      <c r="A4310" s="16" t="s">
        <v>6890</v>
      </c>
    </row>
    <row r="4311" spans="1:1" ht="29" x14ac:dyDescent="0.35">
      <c r="A4311" s="16" t="s">
        <v>6891</v>
      </c>
    </row>
    <row r="4312" spans="1:1" ht="29" x14ac:dyDescent="0.35">
      <c r="A4312" s="16" t="s">
        <v>6892</v>
      </c>
    </row>
    <row r="4313" spans="1:1" x14ac:dyDescent="0.35">
      <c r="A4313" s="16" t="s">
        <v>6893</v>
      </c>
    </row>
    <row r="4314" spans="1:1" x14ac:dyDescent="0.35">
      <c r="A4314" s="16" t="s">
        <v>6894</v>
      </c>
    </row>
    <row r="4315" spans="1:1" ht="29" x14ac:dyDescent="0.35">
      <c r="A4315" s="16" t="s">
        <v>6895</v>
      </c>
    </row>
    <row r="4316" spans="1:1" ht="29" x14ac:dyDescent="0.35">
      <c r="A4316" s="16" t="s">
        <v>6896</v>
      </c>
    </row>
    <row r="4317" spans="1:1" ht="29" x14ac:dyDescent="0.35">
      <c r="A4317" s="16" t="s">
        <v>6897</v>
      </c>
    </row>
    <row r="4318" spans="1:1" x14ac:dyDescent="0.35">
      <c r="A4318" s="16" t="s">
        <v>6898</v>
      </c>
    </row>
    <row r="4319" spans="1:1" ht="29" x14ac:dyDescent="0.35">
      <c r="A4319" s="16" t="s">
        <v>6899</v>
      </c>
    </row>
    <row r="4320" spans="1:1" ht="29" x14ac:dyDescent="0.35">
      <c r="A4320" s="16" t="s">
        <v>6900</v>
      </c>
    </row>
    <row r="4321" spans="1:1" x14ac:dyDescent="0.35">
      <c r="A4321" s="16" t="s">
        <v>6901</v>
      </c>
    </row>
    <row r="4322" spans="1:1" ht="29" x14ac:dyDescent="0.35">
      <c r="A4322" s="16" t="s">
        <v>6902</v>
      </c>
    </row>
    <row r="4323" spans="1:1" ht="29" x14ac:dyDescent="0.35">
      <c r="A4323" s="16" t="s">
        <v>6903</v>
      </c>
    </row>
    <row r="4324" spans="1:1" ht="29" x14ac:dyDescent="0.35">
      <c r="A4324" s="16" t="s">
        <v>6904</v>
      </c>
    </row>
    <row r="4325" spans="1:1" ht="29" x14ac:dyDescent="0.35">
      <c r="A4325" s="16" t="s">
        <v>6905</v>
      </c>
    </row>
    <row r="4326" spans="1:1" x14ac:dyDescent="0.35">
      <c r="A4326" s="16" t="s">
        <v>6906</v>
      </c>
    </row>
    <row r="4327" spans="1:1" ht="29" x14ac:dyDescent="0.35">
      <c r="A4327" s="16" t="s">
        <v>6907</v>
      </c>
    </row>
    <row r="4328" spans="1:1" x14ac:dyDescent="0.35">
      <c r="A4328" s="16" t="s">
        <v>6908</v>
      </c>
    </row>
    <row r="4329" spans="1:1" ht="29" x14ac:dyDescent="0.35">
      <c r="A4329" s="16" t="s">
        <v>6909</v>
      </c>
    </row>
    <row r="4330" spans="1:1" ht="29" x14ac:dyDescent="0.35">
      <c r="A4330" s="16" t="s">
        <v>6910</v>
      </c>
    </row>
    <row r="4331" spans="1:1" ht="29" x14ac:dyDescent="0.35">
      <c r="A4331" s="16" t="s">
        <v>6911</v>
      </c>
    </row>
    <row r="4332" spans="1:1" ht="29" x14ac:dyDescent="0.35">
      <c r="A4332" s="16" t="s">
        <v>6912</v>
      </c>
    </row>
    <row r="4333" spans="1:1" x14ac:dyDescent="0.35">
      <c r="A4333" s="16" t="s">
        <v>6913</v>
      </c>
    </row>
    <row r="4334" spans="1:1" ht="29" x14ac:dyDescent="0.35">
      <c r="A4334" s="16" t="s">
        <v>6914</v>
      </c>
    </row>
    <row r="4335" spans="1:1" ht="29" x14ac:dyDescent="0.35">
      <c r="A4335" s="16" t="s">
        <v>6915</v>
      </c>
    </row>
    <row r="4336" spans="1:1" ht="29" x14ac:dyDescent="0.35">
      <c r="A4336" s="16" t="s">
        <v>6916</v>
      </c>
    </row>
    <row r="4337" spans="1:1" x14ac:dyDescent="0.35">
      <c r="A4337" s="16" t="s">
        <v>6917</v>
      </c>
    </row>
    <row r="4338" spans="1:1" ht="29" x14ac:dyDescent="0.35">
      <c r="A4338" s="16" t="s">
        <v>6918</v>
      </c>
    </row>
    <row r="4339" spans="1:1" ht="29" x14ac:dyDescent="0.35">
      <c r="A4339" s="16" t="s">
        <v>6919</v>
      </c>
    </row>
    <row r="4340" spans="1:1" x14ac:dyDescent="0.35">
      <c r="A4340" s="16" t="s">
        <v>6920</v>
      </c>
    </row>
    <row r="4341" spans="1:1" ht="29" x14ac:dyDescent="0.35">
      <c r="A4341" s="16" t="s">
        <v>6921</v>
      </c>
    </row>
    <row r="4342" spans="1:1" ht="29" x14ac:dyDescent="0.35">
      <c r="A4342" s="16" t="s">
        <v>6922</v>
      </c>
    </row>
    <row r="4343" spans="1:1" x14ac:dyDescent="0.35">
      <c r="A4343" s="16" t="s">
        <v>6923</v>
      </c>
    </row>
    <row r="4344" spans="1:1" ht="29" x14ac:dyDescent="0.35">
      <c r="A4344" s="16" t="s">
        <v>6924</v>
      </c>
    </row>
    <row r="4345" spans="1:1" x14ac:dyDescent="0.35">
      <c r="A4345" s="16" t="s">
        <v>6925</v>
      </c>
    </row>
    <row r="4346" spans="1:1" ht="29" x14ac:dyDescent="0.35">
      <c r="A4346" s="16" t="s">
        <v>6926</v>
      </c>
    </row>
    <row r="4347" spans="1:1" ht="29" x14ac:dyDescent="0.35">
      <c r="A4347" s="16" t="s">
        <v>6927</v>
      </c>
    </row>
    <row r="4348" spans="1:1" ht="29" x14ac:dyDescent="0.35">
      <c r="A4348" s="16" t="s">
        <v>6928</v>
      </c>
    </row>
    <row r="4349" spans="1:1" x14ac:dyDescent="0.35">
      <c r="A4349" s="16" t="s">
        <v>6929</v>
      </c>
    </row>
    <row r="4350" spans="1:1" ht="29" x14ac:dyDescent="0.35">
      <c r="A4350" s="16" t="s">
        <v>6930</v>
      </c>
    </row>
    <row r="4351" spans="1:1" ht="29" x14ac:dyDescent="0.35">
      <c r="A4351" s="16" t="s">
        <v>6931</v>
      </c>
    </row>
    <row r="4352" spans="1:1" x14ac:dyDescent="0.35">
      <c r="A4352" s="16" t="s">
        <v>6932</v>
      </c>
    </row>
    <row r="4353" spans="1:1" x14ac:dyDescent="0.35">
      <c r="A4353" s="16" t="s">
        <v>6933</v>
      </c>
    </row>
    <row r="4354" spans="1:1" ht="29" x14ac:dyDescent="0.35">
      <c r="A4354" s="16" t="s">
        <v>6934</v>
      </c>
    </row>
    <row r="4355" spans="1:1" ht="29" x14ac:dyDescent="0.35">
      <c r="A4355" s="16" t="s">
        <v>6935</v>
      </c>
    </row>
    <row r="4356" spans="1:1" ht="29" x14ac:dyDescent="0.35">
      <c r="A4356" s="16" t="s">
        <v>6936</v>
      </c>
    </row>
    <row r="4357" spans="1:1" x14ac:dyDescent="0.35">
      <c r="A4357" s="16" t="s">
        <v>6937</v>
      </c>
    </row>
    <row r="4358" spans="1:1" ht="29" x14ac:dyDescent="0.35">
      <c r="A4358" s="16" t="s">
        <v>6938</v>
      </c>
    </row>
    <row r="4359" spans="1:1" ht="29" x14ac:dyDescent="0.35">
      <c r="A4359" s="16" t="s">
        <v>6939</v>
      </c>
    </row>
    <row r="4360" spans="1:1" x14ac:dyDescent="0.35">
      <c r="A4360" s="16" t="s">
        <v>6940</v>
      </c>
    </row>
    <row r="4361" spans="1:1" x14ac:dyDescent="0.35">
      <c r="A4361" s="16" t="s">
        <v>6941</v>
      </c>
    </row>
    <row r="4362" spans="1:1" ht="29" x14ac:dyDescent="0.35">
      <c r="A4362" s="16" t="s">
        <v>6942</v>
      </c>
    </row>
    <row r="4363" spans="1:1" x14ac:dyDescent="0.35">
      <c r="A4363" s="16" t="s">
        <v>6943</v>
      </c>
    </row>
    <row r="4364" spans="1:1" ht="43.5" x14ac:dyDescent="0.35">
      <c r="A4364" s="16" t="s">
        <v>6944</v>
      </c>
    </row>
    <row r="4365" spans="1:1" ht="29" x14ac:dyDescent="0.35">
      <c r="A4365" s="16" t="s">
        <v>6945</v>
      </c>
    </row>
    <row r="4366" spans="1:1" x14ac:dyDescent="0.35">
      <c r="A4366" s="16" t="s">
        <v>6946</v>
      </c>
    </row>
    <row r="4367" spans="1:1" ht="29" x14ac:dyDescent="0.35">
      <c r="A4367" s="16" t="s">
        <v>6947</v>
      </c>
    </row>
    <row r="4368" spans="1:1" x14ac:dyDescent="0.35">
      <c r="A4368" s="16" t="s">
        <v>6948</v>
      </c>
    </row>
    <row r="4369" spans="1:1" x14ac:dyDescent="0.35">
      <c r="A4369" s="16" t="s">
        <v>6949</v>
      </c>
    </row>
    <row r="4370" spans="1:1" x14ac:dyDescent="0.35">
      <c r="A4370" s="16" t="s">
        <v>6950</v>
      </c>
    </row>
    <row r="4371" spans="1:1" ht="29" x14ac:dyDescent="0.35">
      <c r="A4371" s="16" t="s">
        <v>6951</v>
      </c>
    </row>
    <row r="4372" spans="1:1" ht="29" x14ac:dyDescent="0.35">
      <c r="A4372" s="16" t="s">
        <v>6952</v>
      </c>
    </row>
    <row r="4373" spans="1:1" ht="29" x14ac:dyDescent="0.35">
      <c r="A4373" s="16" t="s">
        <v>6953</v>
      </c>
    </row>
    <row r="4374" spans="1:1" x14ac:dyDescent="0.35">
      <c r="A4374" s="16" t="s">
        <v>6954</v>
      </c>
    </row>
    <row r="4375" spans="1:1" x14ac:dyDescent="0.35">
      <c r="A4375" s="16" t="s">
        <v>6955</v>
      </c>
    </row>
    <row r="4376" spans="1:1" ht="29" x14ac:dyDescent="0.35">
      <c r="A4376" s="16" t="s">
        <v>6956</v>
      </c>
    </row>
    <row r="4377" spans="1:1" ht="29" x14ac:dyDescent="0.35">
      <c r="A4377" s="16" t="s">
        <v>6957</v>
      </c>
    </row>
    <row r="4378" spans="1:1" x14ac:dyDescent="0.35">
      <c r="A4378" s="16" t="s">
        <v>6958</v>
      </c>
    </row>
    <row r="4379" spans="1:1" x14ac:dyDescent="0.35">
      <c r="A4379" s="16" t="s">
        <v>6959</v>
      </c>
    </row>
    <row r="4380" spans="1:1" x14ac:dyDescent="0.35">
      <c r="A4380" s="16" t="s">
        <v>6960</v>
      </c>
    </row>
    <row r="4381" spans="1:1" ht="29" x14ac:dyDescent="0.35">
      <c r="A4381" s="16" t="s">
        <v>6961</v>
      </c>
    </row>
    <row r="4382" spans="1:1" x14ac:dyDescent="0.35">
      <c r="A4382" s="16" t="s">
        <v>6962</v>
      </c>
    </row>
    <row r="4383" spans="1:1" ht="29" x14ac:dyDescent="0.35">
      <c r="A4383" s="16" t="s">
        <v>6963</v>
      </c>
    </row>
    <row r="4384" spans="1:1" ht="29" x14ac:dyDescent="0.35">
      <c r="A4384" s="16" t="s">
        <v>6964</v>
      </c>
    </row>
    <row r="4385" spans="1:1" ht="29" x14ac:dyDescent="0.35">
      <c r="A4385" s="16" t="s">
        <v>6965</v>
      </c>
    </row>
    <row r="4386" spans="1:1" x14ac:dyDescent="0.35">
      <c r="A4386" s="16" t="s">
        <v>6966</v>
      </c>
    </row>
    <row r="4387" spans="1:1" ht="29" x14ac:dyDescent="0.35">
      <c r="A4387" s="16" t="s">
        <v>6967</v>
      </c>
    </row>
    <row r="4388" spans="1:1" x14ac:dyDescent="0.35">
      <c r="A4388" s="16" t="s">
        <v>6968</v>
      </c>
    </row>
    <row r="4389" spans="1:1" ht="29" x14ac:dyDescent="0.35">
      <c r="A4389" s="16" t="s">
        <v>6969</v>
      </c>
    </row>
    <row r="4390" spans="1:1" ht="29" x14ac:dyDescent="0.35">
      <c r="A4390" s="16" t="s">
        <v>6970</v>
      </c>
    </row>
    <row r="4391" spans="1:1" x14ac:dyDescent="0.35">
      <c r="A4391" s="16" t="s">
        <v>6971</v>
      </c>
    </row>
    <row r="4392" spans="1:1" ht="29" x14ac:dyDescent="0.35">
      <c r="A4392" s="16" t="s">
        <v>6972</v>
      </c>
    </row>
    <row r="4393" spans="1:1" x14ac:dyDescent="0.35">
      <c r="A4393" s="16" t="s">
        <v>6973</v>
      </c>
    </row>
    <row r="4394" spans="1:1" x14ac:dyDescent="0.35">
      <c r="A4394" s="16" t="s">
        <v>6974</v>
      </c>
    </row>
    <row r="4395" spans="1:1" ht="29" x14ac:dyDescent="0.35">
      <c r="A4395" s="16" t="s">
        <v>6975</v>
      </c>
    </row>
    <row r="4396" spans="1:1" x14ac:dyDescent="0.35">
      <c r="A4396" s="16" t="s">
        <v>6976</v>
      </c>
    </row>
    <row r="4397" spans="1:1" ht="29" x14ac:dyDescent="0.35">
      <c r="A4397" s="16" t="s">
        <v>6977</v>
      </c>
    </row>
    <row r="4398" spans="1:1" x14ac:dyDescent="0.35">
      <c r="A4398" s="16" t="s">
        <v>6978</v>
      </c>
    </row>
    <row r="4399" spans="1:1" ht="29" x14ac:dyDescent="0.35">
      <c r="A4399" s="16" t="s">
        <v>6979</v>
      </c>
    </row>
    <row r="4400" spans="1:1" ht="29" x14ac:dyDescent="0.35">
      <c r="A4400" s="16" t="s">
        <v>6980</v>
      </c>
    </row>
    <row r="4401" spans="1:1" ht="29" x14ac:dyDescent="0.35">
      <c r="A4401" s="16" t="s">
        <v>6981</v>
      </c>
    </row>
    <row r="4402" spans="1:1" ht="29" x14ac:dyDescent="0.35">
      <c r="A4402" s="16" t="s">
        <v>6982</v>
      </c>
    </row>
    <row r="4403" spans="1:1" ht="29" x14ac:dyDescent="0.35">
      <c r="A4403" s="16" t="s">
        <v>6983</v>
      </c>
    </row>
    <row r="4404" spans="1:1" ht="29" x14ac:dyDescent="0.35">
      <c r="A4404" s="16" t="s">
        <v>6984</v>
      </c>
    </row>
    <row r="4405" spans="1:1" ht="29" x14ac:dyDescent="0.35">
      <c r="A4405" s="16" t="s">
        <v>6985</v>
      </c>
    </row>
    <row r="4406" spans="1:1" ht="29" x14ac:dyDescent="0.35">
      <c r="A4406" s="16" t="s">
        <v>6986</v>
      </c>
    </row>
    <row r="4407" spans="1:1" ht="29" x14ac:dyDescent="0.35">
      <c r="A4407" s="16" t="s">
        <v>6987</v>
      </c>
    </row>
    <row r="4408" spans="1:1" ht="29" x14ac:dyDescent="0.35">
      <c r="A4408" s="16" t="s">
        <v>6988</v>
      </c>
    </row>
    <row r="4409" spans="1:1" ht="29" x14ac:dyDescent="0.35">
      <c r="A4409" s="16" t="s">
        <v>6989</v>
      </c>
    </row>
    <row r="4410" spans="1:1" ht="29" x14ac:dyDescent="0.35">
      <c r="A4410" s="16" t="s">
        <v>6990</v>
      </c>
    </row>
    <row r="4411" spans="1:1" ht="29" x14ac:dyDescent="0.35">
      <c r="A4411" s="16" t="s">
        <v>6991</v>
      </c>
    </row>
    <row r="4412" spans="1:1" ht="29" x14ac:dyDescent="0.35">
      <c r="A4412" s="16" t="s">
        <v>6992</v>
      </c>
    </row>
    <row r="4413" spans="1:1" x14ac:dyDescent="0.35">
      <c r="A4413" s="16" t="s">
        <v>6993</v>
      </c>
    </row>
    <row r="4414" spans="1:1" x14ac:dyDescent="0.35">
      <c r="A4414" s="16" t="s">
        <v>6994</v>
      </c>
    </row>
    <row r="4415" spans="1:1" ht="29" x14ac:dyDescent="0.35">
      <c r="A4415" s="16" t="s">
        <v>6995</v>
      </c>
    </row>
    <row r="4416" spans="1:1" x14ac:dyDescent="0.35">
      <c r="A4416" s="16" t="s">
        <v>6996</v>
      </c>
    </row>
    <row r="4417" spans="1:1" ht="29" x14ac:dyDescent="0.35">
      <c r="A4417" s="16" t="s">
        <v>6997</v>
      </c>
    </row>
    <row r="4418" spans="1:1" ht="29" x14ac:dyDescent="0.35">
      <c r="A4418" s="16" t="s">
        <v>6998</v>
      </c>
    </row>
    <row r="4419" spans="1:1" ht="29" x14ac:dyDescent="0.35">
      <c r="A4419" s="16" t="s">
        <v>6999</v>
      </c>
    </row>
    <row r="4420" spans="1:1" ht="29" x14ac:dyDescent="0.35">
      <c r="A4420" s="16" t="s">
        <v>7000</v>
      </c>
    </row>
    <row r="4421" spans="1:1" ht="29" x14ac:dyDescent="0.35">
      <c r="A4421" s="16" t="s">
        <v>7001</v>
      </c>
    </row>
    <row r="4422" spans="1:1" ht="29" x14ac:dyDescent="0.35">
      <c r="A4422" s="16" t="s">
        <v>7002</v>
      </c>
    </row>
    <row r="4423" spans="1:1" x14ac:dyDescent="0.35">
      <c r="A4423" s="16" t="s">
        <v>7003</v>
      </c>
    </row>
    <row r="4424" spans="1:1" x14ac:dyDescent="0.35">
      <c r="A4424" s="16" t="s">
        <v>7004</v>
      </c>
    </row>
    <row r="4425" spans="1:1" ht="29" x14ac:dyDescent="0.35">
      <c r="A4425" s="16" t="s">
        <v>7005</v>
      </c>
    </row>
    <row r="4426" spans="1:1" ht="29" x14ac:dyDescent="0.35">
      <c r="A4426" s="16" t="s">
        <v>7006</v>
      </c>
    </row>
    <row r="4427" spans="1:1" ht="29" x14ac:dyDescent="0.35">
      <c r="A4427" s="16" t="s">
        <v>7007</v>
      </c>
    </row>
    <row r="4428" spans="1:1" ht="29" x14ac:dyDescent="0.35">
      <c r="A4428" s="16" t="s">
        <v>7008</v>
      </c>
    </row>
    <row r="4429" spans="1:1" ht="29" x14ac:dyDescent="0.35">
      <c r="A4429" s="16" t="s">
        <v>7009</v>
      </c>
    </row>
    <row r="4430" spans="1:1" x14ac:dyDescent="0.35">
      <c r="A4430" s="16" t="s">
        <v>7010</v>
      </c>
    </row>
    <row r="4431" spans="1:1" ht="29" x14ac:dyDescent="0.35">
      <c r="A4431" s="16" t="s">
        <v>7011</v>
      </c>
    </row>
    <row r="4432" spans="1:1" ht="29" x14ac:dyDescent="0.35">
      <c r="A4432" s="16" t="s">
        <v>7012</v>
      </c>
    </row>
    <row r="4433" spans="1:1" ht="29" x14ac:dyDescent="0.35">
      <c r="A4433" s="16" t="s">
        <v>7013</v>
      </c>
    </row>
    <row r="4434" spans="1:1" ht="29" x14ac:dyDescent="0.35">
      <c r="A4434" s="16" t="s">
        <v>7014</v>
      </c>
    </row>
    <row r="4435" spans="1:1" ht="29" x14ac:dyDescent="0.35">
      <c r="A4435" s="16" t="s">
        <v>7015</v>
      </c>
    </row>
    <row r="4436" spans="1:1" x14ac:dyDescent="0.35">
      <c r="A4436" s="16" t="s">
        <v>7016</v>
      </c>
    </row>
    <row r="4437" spans="1:1" ht="29" x14ac:dyDescent="0.35">
      <c r="A4437" s="16" t="s">
        <v>7017</v>
      </c>
    </row>
    <row r="4438" spans="1:1" x14ac:dyDescent="0.35">
      <c r="A4438" s="16" t="s">
        <v>7018</v>
      </c>
    </row>
    <row r="4439" spans="1:1" ht="29" x14ac:dyDescent="0.35">
      <c r="A4439" s="16" t="s">
        <v>7019</v>
      </c>
    </row>
    <row r="4440" spans="1:1" ht="29" x14ac:dyDescent="0.35">
      <c r="A4440" s="16" t="s">
        <v>7020</v>
      </c>
    </row>
    <row r="4441" spans="1:1" x14ac:dyDescent="0.35">
      <c r="A4441" s="16" t="s">
        <v>7021</v>
      </c>
    </row>
    <row r="4442" spans="1:1" ht="29" x14ac:dyDescent="0.35">
      <c r="A4442" s="16" t="s">
        <v>7022</v>
      </c>
    </row>
    <row r="4443" spans="1:1" ht="29" x14ac:dyDescent="0.35">
      <c r="A4443" s="16" t="s">
        <v>7023</v>
      </c>
    </row>
    <row r="4444" spans="1:1" ht="29" x14ac:dyDescent="0.35">
      <c r="A4444" s="16" t="s">
        <v>7024</v>
      </c>
    </row>
    <row r="4445" spans="1:1" x14ac:dyDescent="0.35">
      <c r="A4445" s="16" t="s">
        <v>7025</v>
      </c>
    </row>
    <row r="4446" spans="1:1" x14ac:dyDescent="0.35">
      <c r="A4446" s="16" t="s">
        <v>7026</v>
      </c>
    </row>
    <row r="4447" spans="1:1" ht="29" x14ac:dyDescent="0.35">
      <c r="A4447" s="16" t="s">
        <v>7027</v>
      </c>
    </row>
    <row r="4448" spans="1:1" x14ac:dyDescent="0.35">
      <c r="A4448" s="16" t="s">
        <v>7028</v>
      </c>
    </row>
    <row r="4449" spans="1:1" x14ac:dyDescent="0.35">
      <c r="A4449" s="16" t="s">
        <v>7029</v>
      </c>
    </row>
    <row r="4450" spans="1:1" ht="29" x14ac:dyDescent="0.35">
      <c r="A4450" s="16" t="s">
        <v>7030</v>
      </c>
    </row>
    <row r="4451" spans="1:1" x14ac:dyDescent="0.35">
      <c r="A4451" s="16" t="s">
        <v>7031</v>
      </c>
    </row>
    <row r="4452" spans="1:1" ht="43.5" x14ac:dyDescent="0.35">
      <c r="A4452" s="16" t="s">
        <v>7032</v>
      </c>
    </row>
    <row r="4453" spans="1:1" ht="29" x14ac:dyDescent="0.35">
      <c r="A4453" s="16" t="s">
        <v>7033</v>
      </c>
    </row>
    <row r="4454" spans="1:1" ht="29" x14ac:dyDescent="0.35">
      <c r="A4454" s="16" t="s">
        <v>7034</v>
      </c>
    </row>
    <row r="4455" spans="1:1" ht="29" x14ac:dyDescent="0.35">
      <c r="A4455" s="16" t="s">
        <v>7035</v>
      </c>
    </row>
    <row r="4456" spans="1:1" ht="29" x14ac:dyDescent="0.35">
      <c r="A4456" s="16" t="s">
        <v>7036</v>
      </c>
    </row>
    <row r="4457" spans="1:1" ht="43.5" x14ac:dyDescent="0.35">
      <c r="A4457" s="16" t="s">
        <v>7037</v>
      </c>
    </row>
    <row r="4458" spans="1:1" ht="29" x14ac:dyDescent="0.35">
      <c r="A4458" s="16" t="s">
        <v>7038</v>
      </c>
    </row>
    <row r="4459" spans="1:1" x14ac:dyDescent="0.35">
      <c r="A4459" s="16" t="s">
        <v>7039</v>
      </c>
    </row>
    <row r="4460" spans="1:1" x14ac:dyDescent="0.35">
      <c r="A4460" s="16" t="s">
        <v>7040</v>
      </c>
    </row>
    <row r="4461" spans="1:1" ht="29" x14ac:dyDescent="0.35">
      <c r="A4461" s="16" t="s">
        <v>7041</v>
      </c>
    </row>
    <row r="4462" spans="1:1" ht="29" x14ac:dyDescent="0.35">
      <c r="A4462" s="16" t="s">
        <v>7042</v>
      </c>
    </row>
    <row r="4463" spans="1:1" ht="29" x14ac:dyDescent="0.35">
      <c r="A4463" s="16" t="s">
        <v>7043</v>
      </c>
    </row>
    <row r="4464" spans="1:1" x14ac:dyDescent="0.35">
      <c r="A4464" s="16" t="s">
        <v>7044</v>
      </c>
    </row>
    <row r="4465" spans="1:1" ht="29" x14ac:dyDescent="0.35">
      <c r="A4465" s="16" t="s">
        <v>7045</v>
      </c>
    </row>
    <row r="4466" spans="1:1" ht="29" x14ac:dyDescent="0.35">
      <c r="A4466" s="16" t="s">
        <v>7046</v>
      </c>
    </row>
    <row r="4467" spans="1:1" ht="43.5" x14ac:dyDescent="0.35">
      <c r="A4467" s="16" t="s">
        <v>7047</v>
      </c>
    </row>
    <row r="4468" spans="1:1" ht="29" x14ac:dyDescent="0.35">
      <c r="A4468" s="16" t="s">
        <v>7048</v>
      </c>
    </row>
    <row r="4469" spans="1:1" ht="29" x14ac:dyDescent="0.35">
      <c r="A4469" s="16" t="s">
        <v>7049</v>
      </c>
    </row>
    <row r="4470" spans="1:1" x14ac:dyDescent="0.35">
      <c r="A4470" s="16" t="s">
        <v>7050</v>
      </c>
    </row>
    <row r="4471" spans="1:1" x14ac:dyDescent="0.35">
      <c r="A4471" s="16" t="s">
        <v>7051</v>
      </c>
    </row>
    <row r="4472" spans="1:1" ht="29" x14ac:dyDescent="0.35">
      <c r="A4472" s="16" t="s">
        <v>7052</v>
      </c>
    </row>
    <row r="4473" spans="1:1" x14ac:dyDescent="0.35">
      <c r="A4473" s="16" t="s">
        <v>7053</v>
      </c>
    </row>
    <row r="4474" spans="1:1" ht="29" x14ac:dyDescent="0.35">
      <c r="A4474" s="16" t="s">
        <v>7054</v>
      </c>
    </row>
    <row r="4475" spans="1:1" ht="29" x14ac:dyDescent="0.35">
      <c r="A4475" s="16" t="s">
        <v>7055</v>
      </c>
    </row>
    <row r="4476" spans="1:1" ht="29" x14ac:dyDescent="0.35">
      <c r="A4476" s="16" t="s">
        <v>7056</v>
      </c>
    </row>
    <row r="4477" spans="1:1" x14ac:dyDescent="0.35">
      <c r="A4477" s="16" t="s">
        <v>7057</v>
      </c>
    </row>
    <row r="4478" spans="1:1" x14ac:dyDescent="0.35">
      <c r="A4478" s="16" t="s">
        <v>7058</v>
      </c>
    </row>
    <row r="4479" spans="1:1" x14ac:dyDescent="0.35">
      <c r="A4479" s="16" t="s">
        <v>7059</v>
      </c>
    </row>
    <row r="4480" spans="1:1" x14ac:dyDescent="0.35">
      <c r="A4480" s="16" t="s">
        <v>7060</v>
      </c>
    </row>
    <row r="4481" spans="1:1" ht="29" x14ac:dyDescent="0.35">
      <c r="A4481" s="16" t="s">
        <v>7061</v>
      </c>
    </row>
    <row r="4482" spans="1:1" ht="43.5" x14ac:dyDescent="0.35">
      <c r="A4482" s="16" t="s">
        <v>7062</v>
      </c>
    </row>
    <row r="4483" spans="1:1" ht="29" x14ac:dyDescent="0.35">
      <c r="A4483" s="16" t="s">
        <v>7063</v>
      </c>
    </row>
    <row r="4484" spans="1:1" ht="29" x14ac:dyDescent="0.35">
      <c r="A4484" s="16" t="s">
        <v>7064</v>
      </c>
    </row>
    <row r="4485" spans="1:1" x14ac:dyDescent="0.35">
      <c r="A4485" s="16" t="s">
        <v>7065</v>
      </c>
    </row>
    <row r="4486" spans="1:1" ht="29" x14ac:dyDescent="0.35">
      <c r="A4486" s="16" t="s">
        <v>7066</v>
      </c>
    </row>
    <row r="4487" spans="1:1" x14ac:dyDescent="0.35">
      <c r="A4487" s="16" t="s">
        <v>7067</v>
      </c>
    </row>
    <row r="4488" spans="1:1" ht="29" x14ac:dyDescent="0.35">
      <c r="A4488" s="16" t="s">
        <v>7068</v>
      </c>
    </row>
    <row r="4489" spans="1:1" x14ac:dyDescent="0.35">
      <c r="A4489" s="16" t="s">
        <v>7069</v>
      </c>
    </row>
    <row r="4490" spans="1:1" ht="29" x14ac:dyDescent="0.35">
      <c r="A4490" s="16" t="s">
        <v>7070</v>
      </c>
    </row>
    <row r="4491" spans="1:1" ht="43.5" x14ac:dyDescent="0.35">
      <c r="A4491" s="16" t="s">
        <v>7071</v>
      </c>
    </row>
    <row r="4492" spans="1:1" x14ac:dyDescent="0.35">
      <c r="A4492" s="16" t="s">
        <v>7072</v>
      </c>
    </row>
    <row r="4493" spans="1:1" ht="29" x14ac:dyDescent="0.35">
      <c r="A4493" s="16" t="s">
        <v>7073</v>
      </c>
    </row>
    <row r="4494" spans="1:1" x14ac:dyDescent="0.35">
      <c r="A4494" s="16" t="s">
        <v>7074</v>
      </c>
    </row>
    <row r="4495" spans="1:1" x14ac:dyDescent="0.35">
      <c r="A4495" s="16" t="s">
        <v>7075</v>
      </c>
    </row>
    <row r="4496" spans="1:1" ht="29" x14ac:dyDescent="0.35">
      <c r="A4496" s="16" t="s">
        <v>7076</v>
      </c>
    </row>
    <row r="4497" spans="1:1" x14ac:dyDescent="0.35">
      <c r="A4497" s="16" t="s">
        <v>7077</v>
      </c>
    </row>
    <row r="4498" spans="1:1" x14ac:dyDescent="0.35">
      <c r="A4498" s="16" t="s">
        <v>7078</v>
      </c>
    </row>
    <row r="4499" spans="1:1" ht="29" x14ac:dyDescent="0.35">
      <c r="A4499" s="16" t="s">
        <v>7079</v>
      </c>
    </row>
    <row r="4500" spans="1:1" ht="29" x14ac:dyDescent="0.35">
      <c r="A4500" s="16" t="s">
        <v>7080</v>
      </c>
    </row>
    <row r="4501" spans="1:1" ht="29" x14ac:dyDescent="0.35">
      <c r="A4501" s="16" t="s">
        <v>7081</v>
      </c>
    </row>
    <row r="4502" spans="1:1" x14ac:dyDescent="0.35">
      <c r="A4502" s="16" t="s">
        <v>7082</v>
      </c>
    </row>
    <row r="4503" spans="1:1" x14ac:dyDescent="0.35">
      <c r="A4503" s="16" t="s">
        <v>7083</v>
      </c>
    </row>
    <row r="4504" spans="1:1" x14ac:dyDescent="0.35">
      <c r="A4504" s="16" t="s">
        <v>7084</v>
      </c>
    </row>
    <row r="4505" spans="1:1" ht="29" x14ac:dyDescent="0.35">
      <c r="A4505" s="16" t="s">
        <v>7085</v>
      </c>
    </row>
    <row r="4506" spans="1:1" x14ac:dyDescent="0.35">
      <c r="A4506" s="16" t="s">
        <v>7086</v>
      </c>
    </row>
    <row r="4507" spans="1:1" ht="29" x14ac:dyDescent="0.35">
      <c r="A4507" s="16" t="s">
        <v>7087</v>
      </c>
    </row>
    <row r="4508" spans="1:1" x14ac:dyDescent="0.35">
      <c r="A4508" s="16" t="s">
        <v>7088</v>
      </c>
    </row>
    <row r="4509" spans="1:1" ht="29" x14ac:dyDescent="0.35">
      <c r="A4509" s="16" t="s">
        <v>7089</v>
      </c>
    </row>
    <row r="4510" spans="1:1" ht="29" x14ac:dyDescent="0.35">
      <c r="A4510" s="16" t="s">
        <v>7090</v>
      </c>
    </row>
    <row r="4511" spans="1:1" ht="29" x14ac:dyDescent="0.35">
      <c r="A4511" s="16" t="s">
        <v>7091</v>
      </c>
    </row>
    <row r="4512" spans="1:1" ht="29" x14ac:dyDescent="0.35">
      <c r="A4512" s="16" t="s">
        <v>7092</v>
      </c>
    </row>
    <row r="4513" spans="1:1" x14ac:dyDescent="0.35">
      <c r="A4513" s="16" t="s">
        <v>7093</v>
      </c>
    </row>
    <row r="4514" spans="1:1" ht="29" x14ac:dyDescent="0.35">
      <c r="A4514" s="16" t="s">
        <v>7094</v>
      </c>
    </row>
    <row r="4515" spans="1:1" ht="29" x14ac:dyDescent="0.35">
      <c r="A4515" s="16" t="s">
        <v>7095</v>
      </c>
    </row>
    <row r="4516" spans="1:1" ht="29" x14ac:dyDescent="0.35">
      <c r="A4516" s="16" t="s">
        <v>7096</v>
      </c>
    </row>
    <row r="4517" spans="1:1" ht="29" x14ac:dyDescent="0.35">
      <c r="A4517" s="16" t="s">
        <v>7097</v>
      </c>
    </row>
    <row r="4518" spans="1:1" ht="29" x14ac:dyDescent="0.35">
      <c r="A4518" s="16" t="s">
        <v>7098</v>
      </c>
    </row>
    <row r="4519" spans="1:1" ht="29" x14ac:dyDescent="0.35">
      <c r="A4519" s="16" t="s">
        <v>7099</v>
      </c>
    </row>
    <row r="4520" spans="1:1" ht="29" x14ac:dyDescent="0.35">
      <c r="A4520" s="16" t="s">
        <v>7100</v>
      </c>
    </row>
    <row r="4521" spans="1:1" ht="29" x14ac:dyDescent="0.35">
      <c r="A4521" s="16" t="s">
        <v>7101</v>
      </c>
    </row>
    <row r="4522" spans="1:1" x14ac:dyDescent="0.35">
      <c r="A4522" s="16" t="s">
        <v>7102</v>
      </c>
    </row>
    <row r="4523" spans="1:1" x14ac:dyDescent="0.35">
      <c r="A4523" s="16" t="s">
        <v>7103</v>
      </c>
    </row>
    <row r="4524" spans="1:1" ht="29" x14ac:dyDescent="0.35">
      <c r="A4524" s="16" t="s">
        <v>7104</v>
      </c>
    </row>
    <row r="4525" spans="1:1" x14ac:dyDescent="0.35">
      <c r="A4525" s="16" t="s">
        <v>7105</v>
      </c>
    </row>
    <row r="4526" spans="1:1" ht="43.5" x14ac:dyDescent="0.35">
      <c r="A4526" s="16" t="s">
        <v>7106</v>
      </c>
    </row>
    <row r="4527" spans="1:1" ht="29" x14ac:dyDescent="0.35">
      <c r="A4527" s="16" t="s">
        <v>7107</v>
      </c>
    </row>
    <row r="4528" spans="1:1" ht="29" x14ac:dyDescent="0.35">
      <c r="A4528" s="16" t="s">
        <v>7108</v>
      </c>
    </row>
    <row r="4529" spans="1:1" x14ac:dyDescent="0.35">
      <c r="A4529" s="16" t="s">
        <v>7109</v>
      </c>
    </row>
    <row r="4530" spans="1:1" ht="29" x14ac:dyDescent="0.35">
      <c r="A4530" s="16" t="s">
        <v>7110</v>
      </c>
    </row>
    <row r="4531" spans="1:1" x14ac:dyDescent="0.35">
      <c r="A4531" s="16" t="s">
        <v>7111</v>
      </c>
    </row>
    <row r="4532" spans="1:1" x14ac:dyDescent="0.35">
      <c r="A4532" s="16" t="s">
        <v>7112</v>
      </c>
    </row>
    <row r="4533" spans="1:1" ht="29" x14ac:dyDescent="0.35">
      <c r="A4533" s="16" t="s">
        <v>7113</v>
      </c>
    </row>
    <row r="4534" spans="1:1" ht="29" x14ac:dyDescent="0.35">
      <c r="A4534" s="16" t="s">
        <v>7114</v>
      </c>
    </row>
    <row r="4535" spans="1:1" x14ac:dyDescent="0.35">
      <c r="A4535" s="16" t="s">
        <v>7115</v>
      </c>
    </row>
    <row r="4536" spans="1:1" x14ac:dyDescent="0.35">
      <c r="A4536" s="16" t="s">
        <v>7116</v>
      </c>
    </row>
    <row r="4537" spans="1:1" ht="29" x14ac:dyDescent="0.35">
      <c r="A4537" s="16" t="s">
        <v>7117</v>
      </c>
    </row>
    <row r="4538" spans="1:1" ht="29" x14ac:dyDescent="0.35">
      <c r="A4538" s="16" t="s">
        <v>7118</v>
      </c>
    </row>
    <row r="4539" spans="1:1" x14ac:dyDescent="0.35">
      <c r="A4539" s="16" t="s">
        <v>7119</v>
      </c>
    </row>
    <row r="4540" spans="1:1" x14ac:dyDescent="0.35">
      <c r="A4540" s="16" t="s">
        <v>7120</v>
      </c>
    </row>
    <row r="4541" spans="1:1" ht="29" x14ac:dyDescent="0.35">
      <c r="A4541" s="16" t="s">
        <v>7121</v>
      </c>
    </row>
    <row r="4542" spans="1:1" x14ac:dyDescent="0.35">
      <c r="A4542" s="16" t="s">
        <v>7122</v>
      </c>
    </row>
    <row r="4543" spans="1:1" ht="29" x14ac:dyDescent="0.35">
      <c r="A4543" s="16" t="s">
        <v>7123</v>
      </c>
    </row>
    <row r="4544" spans="1:1" ht="29" x14ac:dyDescent="0.35">
      <c r="A4544" s="16" t="s">
        <v>7124</v>
      </c>
    </row>
    <row r="4545" spans="1:1" ht="29" x14ac:dyDescent="0.35">
      <c r="A4545" s="16" t="s">
        <v>7125</v>
      </c>
    </row>
    <row r="4546" spans="1:1" ht="29" x14ac:dyDescent="0.35">
      <c r="A4546" s="16" t="s">
        <v>7126</v>
      </c>
    </row>
    <row r="4547" spans="1:1" ht="29" x14ac:dyDescent="0.35">
      <c r="A4547" s="16" t="s">
        <v>7127</v>
      </c>
    </row>
    <row r="4548" spans="1:1" ht="29" x14ac:dyDescent="0.35">
      <c r="A4548" s="16" t="s">
        <v>7128</v>
      </c>
    </row>
    <row r="4549" spans="1:1" ht="29" x14ac:dyDescent="0.35">
      <c r="A4549" s="16" t="s">
        <v>7129</v>
      </c>
    </row>
    <row r="4550" spans="1:1" ht="29" x14ac:dyDescent="0.35">
      <c r="A4550" s="16" t="s">
        <v>7130</v>
      </c>
    </row>
    <row r="4551" spans="1:1" ht="29" x14ac:dyDescent="0.35">
      <c r="A4551" s="16" t="s">
        <v>7131</v>
      </c>
    </row>
    <row r="4552" spans="1:1" x14ac:dyDescent="0.35">
      <c r="A4552" s="16" t="s">
        <v>7132</v>
      </c>
    </row>
    <row r="4553" spans="1:1" x14ac:dyDescent="0.35">
      <c r="A4553" s="16" t="s">
        <v>7133</v>
      </c>
    </row>
    <row r="4554" spans="1:1" ht="29" x14ac:dyDescent="0.35">
      <c r="A4554" s="16" t="s">
        <v>7134</v>
      </c>
    </row>
    <row r="4555" spans="1:1" ht="29" x14ac:dyDescent="0.35">
      <c r="A4555" s="16" t="s">
        <v>7135</v>
      </c>
    </row>
    <row r="4556" spans="1:1" ht="29" x14ac:dyDescent="0.35">
      <c r="A4556" s="16" t="s">
        <v>7136</v>
      </c>
    </row>
    <row r="4557" spans="1:1" x14ac:dyDescent="0.35">
      <c r="A4557" s="16" t="s">
        <v>7137</v>
      </c>
    </row>
    <row r="4558" spans="1:1" ht="29" x14ac:dyDescent="0.35">
      <c r="A4558" s="16" t="s">
        <v>7138</v>
      </c>
    </row>
    <row r="4559" spans="1:1" ht="29" x14ac:dyDescent="0.35">
      <c r="A4559" s="16" t="s">
        <v>7139</v>
      </c>
    </row>
    <row r="4560" spans="1:1" ht="29" x14ac:dyDescent="0.35">
      <c r="A4560" s="16" t="s">
        <v>7140</v>
      </c>
    </row>
    <row r="4561" spans="1:1" ht="29" x14ac:dyDescent="0.35">
      <c r="A4561" s="16" t="s">
        <v>7141</v>
      </c>
    </row>
    <row r="4562" spans="1:1" x14ac:dyDescent="0.35">
      <c r="A4562" s="16" t="s">
        <v>7142</v>
      </c>
    </row>
    <row r="4563" spans="1:1" ht="29" x14ac:dyDescent="0.35">
      <c r="A4563" s="16" t="s">
        <v>7143</v>
      </c>
    </row>
    <row r="4564" spans="1:1" ht="29" x14ac:dyDescent="0.35">
      <c r="A4564" s="16" t="s">
        <v>7144</v>
      </c>
    </row>
    <row r="4565" spans="1:1" x14ac:dyDescent="0.35">
      <c r="A4565" s="16" t="s">
        <v>7145</v>
      </c>
    </row>
    <row r="4566" spans="1:1" ht="29" x14ac:dyDescent="0.35">
      <c r="A4566" s="16" t="s">
        <v>7146</v>
      </c>
    </row>
    <row r="4567" spans="1:1" ht="29" x14ac:dyDescent="0.35">
      <c r="A4567" s="16" t="s">
        <v>7147</v>
      </c>
    </row>
    <row r="4568" spans="1:1" x14ac:dyDescent="0.35">
      <c r="A4568" s="16" t="s">
        <v>7148</v>
      </c>
    </row>
    <row r="4569" spans="1:1" ht="29" x14ac:dyDescent="0.35">
      <c r="A4569" s="16" t="s">
        <v>7149</v>
      </c>
    </row>
    <row r="4570" spans="1:1" ht="29" x14ac:dyDescent="0.35">
      <c r="A4570" s="16" t="s">
        <v>7150</v>
      </c>
    </row>
    <row r="4571" spans="1:1" x14ac:dyDescent="0.35">
      <c r="A4571" s="16" t="s">
        <v>7151</v>
      </c>
    </row>
    <row r="4572" spans="1:1" ht="29" x14ac:dyDescent="0.35">
      <c r="A4572" s="16" t="s">
        <v>7152</v>
      </c>
    </row>
    <row r="4573" spans="1:1" x14ac:dyDescent="0.35">
      <c r="A4573" s="16" t="s">
        <v>7153</v>
      </c>
    </row>
    <row r="4574" spans="1:1" x14ac:dyDescent="0.35">
      <c r="A4574" s="16" t="s">
        <v>7154</v>
      </c>
    </row>
    <row r="4575" spans="1:1" ht="29" x14ac:dyDescent="0.35">
      <c r="A4575" s="16" t="s">
        <v>7155</v>
      </c>
    </row>
    <row r="4576" spans="1:1" ht="29" x14ac:dyDescent="0.35">
      <c r="A4576" s="16" t="s">
        <v>7156</v>
      </c>
    </row>
    <row r="4577" spans="1:1" ht="29" x14ac:dyDescent="0.35">
      <c r="A4577" s="16" t="s">
        <v>7157</v>
      </c>
    </row>
    <row r="4578" spans="1:1" ht="29" x14ac:dyDescent="0.35">
      <c r="A4578" s="16" t="s">
        <v>7158</v>
      </c>
    </row>
    <row r="4579" spans="1:1" ht="29" x14ac:dyDescent="0.35">
      <c r="A4579" s="16" t="s">
        <v>7159</v>
      </c>
    </row>
    <row r="4580" spans="1:1" x14ac:dyDescent="0.35">
      <c r="A4580" s="16" t="s">
        <v>7160</v>
      </c>
    </row>
    <row r="4581" spans="1:1" ht="29" x14ac:dyDescent="0.35">
      <c r="A4581" s="16" t="s">
        <v>7161</v>
      </c>
    </row>
    <row r="4582" spans="1:1" x14ac:dyDescent="0.35">
      <c r="A4582" s="16" t="s">
        <v>7162</v>
      </c>
    </row>
    <row r="4583" spans="1:1" ht="29" x14ac:dyDescent="0.35">
      <c r="A4583" s="16" t="s">
        <v>7163</v>
      </c>
    </row>
    <row r="4584" spans="1:1" ht="29" x14ac:dyDescent="0.35">
      <c r="A4584" s="16" t="s">
        <v>7164</v>
      </c>
    </row>
    <row r="4585" spans="1:1" ht="29" x14ac:dyDescent="0.35">
      <c r="A4585" s="16" t="s">
        <v>7165</v>
      </c>
    </row>
    <row r="4586" spans="1:1" x14ac:dyDescent="0.35">
      <c r="A4586" s="16" t="s">
        <v>7166</v>
      </c>
    </row>
    <row r="4587" spans="1:1" ht="29" x14ac:dyDescent="0.35">
      <c r="A4587" s="16" t="s">
        <v>7167</v>
      </c>
    </row>
    <row r="4588" spans="1:1" ht="29" x14ac:dyDescent="0.35">
      <c r="A4588" s="16" t="s">
        <v>7168</v>
      </c>
    </row>
    <row r="4589" spans="1:1" ht="29" x14ac:dyDescent="0.35">
      <c r="A4589" s="16" t="s">
        <v>7169</v>
      </c>
    </row>
    <row r="4590" spans="1:1" x14ac:dyDescent="0.35">
      <c r="A4590" s="16" t="s">
        <v>7170</v>
      </c>
    </row>
    <row r="4591" spans="1:1" ht="29" x14ac:dyDescent="0.35">
      <c r="A4591" s="16" t="s">
        <v>7171</v>
      </c>
    </row>
    <row r="4592" spans="1:1" ht="29" x14ac:dyDescent="0.35">
      <c r="A4592" s="16" t="s">
        <v>7172</v>
      </c>
    </row>
    <row r="4593" spans="1:1" ht="29" x14ac:dyDescent="0.35">
      <c r="A4593" s="16" t="s">
        <v>7173</v>
      </c>
    </row>
    <row r="4594" spans="1:1" ht="29" x14ac:dyDescent="0.35">
      <c r="A4594" s="16" t="s">
        <v>7174</v>
      </c>
    </row>
    <row r="4595" spans="1:1" ht="29" x14ac:dyDescent="0.35">
      <c r="A4595" s="16" t="s">
        <v>7175</v>
      </c>
    </row>
    <row r="4596" spans="1:1" ht="29" x14ac:dyDescent="0.35">
      <c r="A4596" s="16" t="s">
        <v>7176</v>
      </c>
    </row>
    <row r="4597" spans="1:1" x14ac:dyDescent="0.35">
      <c r="A4597" s="16" t="s">
        <v>7177</v>
      </c>
    </row>
    <row r="4598" spans="1:1" x14ac:dyDescent="0.35">
      <c r="A4598" s="16" t="s">
        <v>7178</v>
      </c>
    </row>
    <row r="4599" spans="1:1" x14ac:dyDescent="0.35">
      <c r="A4599" s="16" t="s">
        <v>7179</v>
      </c>
    </row>
    <row r="4600" spans="1:1" x14ac:dyDescent="0.35">
      <c r="A4600" s="16" t="s">
        <v>7180</v>
      </c>
    </row>
    <row r="4601" spans="1:1" ht="29" x14ac:dyDescent="0.35">
      <c r="A4601" s="16" t="s">
        <v>7181</v>
      </c>
    </row>
    <row r="4602" spans="1:1" ht="29" x14ac:dyDescent="0.35">
      <c r="A4602" s="16" t="s">
        <v>7182</v>
      </c>
    </row>
    <row r="4603" spans="1:1" x14ac:dyDescent="0.35">
      <c r="A4603" s="16" t="s">
        <v>7183</v>
      </c>
    </row>
    <row r="4604" spans="1:1" ht="29" x14ac:dyDescent="0.35">
      <c r="A4604" s="16" t="s">
        <v>7184</v>
      </c>
    </row>
    <row r="4605" spans="1:1" ht="29" x14ac:dyDescent="0.35">
      <c r="A4605" s="16" t="s">
        <v>7185</v>
      </c>
    </row>
    <row r="4606" spans="1:1" ht="29" x14ac:dyDescent="0.35">
      <c r="A4606" s="16" t="s">
        <v>7186</v>
      </c>
    </row>
    <row r="4607" spans="1:1" ht="29" x14ac:dyDescent="0.35">
      <c r="A4607" s="16" t="s">
        <v>7187</v>
      </c>
    </row>
    <row r="4608" spans="1:1" ht="43.5" x14ac:dyDescent="0.35">
      <c r="A4608" s="16" t="s">
        <v>7188</v>
      </c>
    </row>
    <row r="4609" spans="1:1" ht="29" x14ac:dyDescent="0.35">
      <c r="A4609" s="16" t="s">
        <v>7189</v>
      </c>
    </row>
    <row r="4610" spans="1:1" x14ac:dyDescent="0.35">
      <c r="A4610" s="16" t="s">
        <v>7190</v>
      </c>
    </row>
    <row r="4611" spans="1:1" x14ac:dyDescent="0.35">
      <c r="A4611" s="16" t="s">
        <v>7191</v>
      </c>
    </row>
    <row r="4612" spans="1:1" x14ac:dyDescent="0.35">
      <c r="A4612" s="16" t="s">
        <v>7192</v>
      </c>
    </row>
    <row r="4613" spans="1:1" x14ac:dyDescent="0.35">
      <c r="A4613" s="16" t="s">
        <v>7193</v>
      </c>
    </row>
    <row r="4614" spans="1:1" x14ac:dyDescent="0.35">
      <c r="A4614" s="16" t="s">
        <v>7194</v>
      </c>
    </row>
    <row r="4615" spans="1:1" x14ac:dyDescent="0.35">
      <c r="A4615" s="16" t="s">
        <v>7195</v>
      </c>
    </row>
    <row r="4616" spans="1:1" x14ac:dyDescent="0.35">
      <c r="A4616" s="16" t="s">
        <v>7196</v>
      </c>
    </row>
    <row r="4617" spans="1:1" x14ac:dyDescent="0.35">
      <c r="A4617" s="16" t="s">
        <v>7197</v>
      </c>
    </row>
    <row r="4618" spans="1:1" x14ac:dyDescent="0.35">
      <c r="A4618" s="16" t="s">
        <v>7198</v>
      </c>
    </row>
    <row r="4619" spans="1:1" x14ac:dyDescent="0.35">
      <c r="A4619" s="16" t="s">
        <v>7199</v>
      </c>
    </row>
    <row r="4620" spans="1:1" x14ac:dyDescent="0.35">
      <c r="A4620" s="16" t="s">
        <v>7200</v>
      </c>
    </row>
    <row r="4621" spans="1:1" x14ac:dyDescent="0.35">
      <c r="A4621" s="16" t="s">
        <v>7201</v>
      </c>
    </row>
    <row r="4622" spans="1:1" x14ac:dyDescent="0.35">
      <c r="A4622" s="16" t="s">
        <v>7202</v>
      </c>
    </row>
    <row r="4623" spans="1:1" x14ac:dyDescent="0.35">
      <c r="A4623" s="16" t="s">
        <v>7203</v>
      </c>
    </row>
    <row r="4624" spans="1:1" x14ac:dyDescent="0.35">
      <c r="A4624" s="16" t="s">
        <v>7204</v>
      </c>
    </row>
    <row r="4625" spans="1:1" ht="29" x14ac:dyDescent="0.35">
      <c r="A4625" s="16" t="s">
        <v>7205</v>
      </c>
    </row>
    <row r="4626" spans="1:1" x14ac:dyDescent="0.35">
      <c r="A4626" s="16" t="s">
        <v>7206</v>
      </c>
    </row>
    <row r="4627" spans="1:1" x14ac:dyDescent="0.35">
      <c r="A4627" s="16" t="s">
        <v>7207</v>
      </c>
    </row>
    <row r="4628" spans="1:1" x14ac:dyDescent="0.35">
      <c r="A4628" s="16" t="s">
        <v>7208</v>
      </c>
    </row>
    <row r="4629" spans="1:1" x14ac:dyDescent="0.35">
      <c r="A4629" s="16" t="s">
        <v>7209</v>
      </c>
    </row>
    <row r="4630" spans="1:1" x14ac:dyDescent="0.35">
      <c r="A4630" s="16" t="s">
        <v>7210</v>
      </c>
    </row>
    <row r="4631" spans="1:1" x14ac:dyDescent="0.35">
      <c r="A4631" s="16" t="s">
        <v>7211</v>
      </c>
    </row>
    <row r="4632" spans="1:1" ht="29" x14ac:dyDescent="0.35">
      <c r="A4632" s="16" t="s">
        <v>7212</v>
      </c>
    </row>
    <row r="4633" spans="1:1" x14ac:dyDescent="0.35">
      <c r="A4633" s="16" t="s">
        <v>7213</v>
      </c>
    </row>
    <row r="4634" spans="1:1" x14ac:dyDescent="0.35">
      <c r="A4634" s="16" t="s">
        <v>7214</v>
      </c>
    </row>
    <row r="4635" spans="1:1" x14ac:dyDescent="0.35">
      <c r="A4635" s="16" t="s">
        <v>7215</v>
      </c>
    </row>
    <row r="4636" spans="1:1" x14ac:dyDescent="0.35">
      <c r="A4636" s="16" t="s">
        <v>7216</v>
      </c>
    </row>
    <row r="4637" spans="1:1" x14ac:dyDescent="0.35">
      <c r="A4637" s="16" t="s">
        <v>7217</v>
      </c>
    </row>
    <row r="4638" spans="1:1" x14ac:dyDescent="0.35">
      <c r="A4638" s="16" t="s">
        <v>7218</v>
      </c>
    </row>
    <row r="4639" spans="1:1" x14ac:dyDescent="0.35">
      <c r="A4639" s="16" t="s">
        <v>7219</v>
      </c>
    </row>
    <row r="4640" spans="1:1" ht="29" x14ac:dyDescent="0.35">
      <c r="A4640" s="16" t="s">
        <v>7220</v>
      </c>
    </row>
    <row r="4641" spans="1:1" ht="29" x14ac:dyDescent="0.35">
      <c r="A4641" s="16" t="s">
        <v>7221</v>
      </c>
    </row>
    <row r="4642" spans="1:1" x14ac:dyDescent="0.35">
      <c r="A4642" s="16" t="s">
        <v>7222</v>
      </c>
    </row>
    <row r="4643" spans="1:1" x14ac:dyDescent="0.35">
      <c r="A4643" s="16" t="s">
        <v>7223</v>
      </c>
    </row>
    <row r="4644" spans="1:1" x14ac:dyDescent="0.35">
      <c r="A4644" s="16" t="s">
        <v>7224</v>
      </c>
    </row>
    <row r="4645" spans="1:1" x14ac:dyDescent="0.35">
      <c r="A4645" s="16" t="s">
        <v>7225</v>
      </c>
    </row>
    <row r="4646" spans="1:1" x14ac:dyDescent="0.35">
      <c r="A4646" s="16" t="s">
        <v>7226</v>
      </c>
    </row>
    <row r="4647" spans="1:1" x14ac:dyDescent="0.35">
      <c r="A4647" s="16" t="s">
        <v>7227</v>
      </c>
    </row>
    <row r="4648" spans="1:1" x14ac:dyDescent="0.35">
      <c r="A4648" s="16" t="s">
        <v>7228</v>
      </c>
    </row>
    <row r="4649" spans="1:1" x14ac:dyDescent="0.35">
      <c r="A4649" s="16" t="s">
        <v>7229</v>
      </c>
    </row>
    <row r="4650" spans="1:1" ht="29" x14ac:dyDescent="0.35">
      <c r="A4650" s="16" t="s">
        <v>7230</v>
      </c>
    </row>
    <row r="4651" spans="1:1" ht="29" x14ac:dyDescent="0.35">
      <c r="A4651" s="16" t="s">
        <v>7231</v>
      </c>
    </row>
    <row r="4652" spans="1:1" x14ac:dyDescent="0.35">
      <c r="A4652" s="16" t="s">
        <v>7232</v>
      </c>
    </row>
    <row r="4653" spans="1:1" x14ac:dyDescent="0.35">
      <c r="A4653" s="16" t="s">
        <v>7233</v>
      </c>
    </row>
    <row r="4654" spans="1:1" x14ac:dyDescent="0.35">
      <c r="A4654" s="16" t="s">
        <v>7234</v>
      </c>
    </row>
    <row r="4655" spans="1:1" x14ac:dyDescent="0.35">
      <c r="A4655" s="16" t="s">
        <v>7235</v>
      </c>
    </row>
    <row r="4656" spans="1:1" x14ac:dyDescent="0.35">
      <c r="A4656" s="16" t="s">
        <v>7236</v>
      </c>
    </row>
    <row r="4657" spans="1:1" ht="29" x14ac:dyDescent="0.35">
      <c r="A4657" s="16" t="s">
        <v>7237</v>
      </c>
    </row>
    <row r="4658" spans="1:1" ht="29" x14ac:dyDescent="0.35">
      <c r="A4658" s="16" t="s">
        <v>7238</v>
      </c>
    </row>
    <row r="4659" spans="1:1" ht="29" x14ac:dyDescent="0.35">
      <c r="A4659" s="16" t="s">
        <v>7239</v>
      </c>
    </row>
    <row r="4660" spans="1:1" x14ac:dyDescent="0.35">
      <c r="A4660" s="16" t="s">
        <v>7240</v>
      </c>
    </row>
    <row r="4661" spans="1:1" x14ac:dyDescent="0.35">
      <c r="A4661" s="16" t="s">
        <v>7241</v>
      </c>
    </row>
    <row r="4662" spans="1:1" x14ac:dyDescent="0.35">
      <c r="A4662" s="16" t="s">
        <v>7242</v>
      </c>
    </row>
    <row r="4663" spans="1:1" x14ac:dyDescent="0.35">
      <c r="A4663" s="16" t="s">
        <v>7243</v>
      </c>
    </row>
    <row r="4664" spans="1:1" x14ac:dyDescent="0.35">
      <c r="A4664" s="16" t="s">
        <v>7244</v>
      </c>
    </row>
    <row r="4665" spans="1:1" x14ac:dyDescent="0.35">
      <c r="A4665" s="16" t="s">
        <v>7245</v>
      </c>
    </row>
    <row r="4666" spans="1:1" x14ac:dyDescent="0.35">
      <c r="A4666" s="16" t="s">
        <v>7246</v>
      </c>
    </row>
    <row r="4667" spans="1:1" x14ac:dyDescent="0.35">
      <c r="A4667" s="16" t="s">
        <v>7247</v>
      </c>
    </row>
    <row r="4668" spans="1:1" x14ac:dyDescent="0.35">
      <c r="A4668" s="16" t="s">
        <v>7248</v>
      </c>
    </row>
    <row r="4669" spans="1:1" x14ac:dyDescent="0.35">
      <c r="A4669" s="16" t="s">
        <v>7249</v>
      </c>
    </row>
    <row r="4670" spans="1:1" x14ac:dyDescent="0.35">
      <c r="A4670" s="16" t="s">
        <v>7250</v>
      </c>
    </row>
    <row r="4671" spans="1:1" x14ac:dyDescent="0.35">
      <c r="A4671" s="16" t="s">
        <v>7251</v>
      </c>
    </row>
    <row r="4672" spans="1:1" x14ac:dyDescent="0.35">
      <c r="A4672" s="16" t="s">
        <v>7252</v>
      </c>
    </row>
    <row r="4673" spans="1:1" x14ac:dyDescent="0.35">
      <c r="A4673" s="16" t="s">
        <v>7253</v>
      </c>
    </row>
    <row r="4674" spans="1:1" x14ac:dyDescent="0.35">
      <c r="A4674" s="16" t="s">
        <v>7254</v>
      </c>
    </row>
    <row r="4675" spans="1:1" x14ac:dyDescent="0.35">
      <c r="A4675" s="16" t="s">
        <v>7255</v>
      </c>
    </row>
    <row r="4676" spans="1:1" x14ac:dyDescent="0.35">
      <c r="A4676" s="16" t="s">
        <v>7256</v>
      </c>
    </row>
    <row r="4677" spans="1:1" x14ac:dyDescent="0.35">
      <c r="A4677" s="16" t="s">
        <v>7257</v>
      </c>
    </row>
    <row r="4678" spans="1:1" x14ac:dyDescent="0.35">
      <c r="A4678" s="16" t="s">
        <v>7258</v>
      </c>
    </row>
    <row r="4679" spans="1:1" x14ac:dyDescent="0.35">
      <c r="A4679" s="16" t="s">
        <v>7259</v>
      </c>
    </row>
    <row r="4680" spans="1:1" x14ac:dyDescent="0.35">
      <c r="A4680" s="16" t="s">
        <v>7260</v>
      </c>
    </row>
    <row r="4681" spans="1:1" x14ac:dyDescent="0.35">
      <c r="A4681" s="16" t="s">
        <v>7261</v>
      </c>
    </row>
    <row r="4682" spans="1:1" x14ac:dyDescent="0.35">
      <c r="A4682" s="16" t="s">
        <v>7262</v>
      </c>
    </row>
    <row r="4683" spans="1:1" x14ac:dyDescent="0.35">
      <c r="A4683" s="16" t="s">
        <v>7263</v>
      </c>
    </row>
    <row r="4684" spans="1:1" x14ac:dyDescent="0.35">
      <c r="A4684" s="16" t="s">
        <v>7264</v>
      </c>
    </row>
    <row r="4685" spans="1:1" x14ac:dyDescent="0.35">
      <c r="A4685" s="16" t="s">
        <v>7265</v>
      </c>
    </row>
    <row r="4686" spans="1:1" x14ac:dyDescent="0.35">
      <c r="A4686" s="16" t="s">
        <v>7266</v>
      </c>
    </row>
    <row r="4687" spans="1:1" x14ac:dyDescent="0.35">
      <c r="A4687" s="16" t="s">
        <v>7267</v>
      </c>
    </row>
    <row r="4688" spans="1:1" ht="29" x14ac:dyDescent="0.35">
      <c r="A4688" s="16" t="s">
        <v>7268</v>
      </c>
    </row>
    <row r="4689" spans="1:1" x14ac:dyDescent="0.35">
      <c r="A4689" s="16" t="s">
        <v>7269</v>
      </c>
    </row>
    <row r="4690" spans="1:1" x14ac:dyDescent="0.35">
      <c r="A4690" s="16" t="s">
        <v>7270</v>
      </c>
    </row>
    <row r="4691" spans="1:1" x14ac:dyDescent="0.35">
      <c r="A4691" s="16" t="s">
        <v>7271</v>
      </c>
    </row>
    <row r="4692" spans="1:1" x14ac:dyDescent="0.35">
      <c r="A4692" s="16" t="s">
        <v>7272</v>
      </c>
    </row>
    <row r="4693" spans="1:1" x14ac:dyDescent="0.35">
      <c r="A4693" s="16" t="s">
        <v>7273</v>
      </c>
    </row>
    <row r="4694" spans="1:1" x14ac:dyDescent="0.35">
      <c r="A4694" s="16" t="s">
        <v>7274</v>
      </c>
    </row>
    <row r="4695" spans="1:1" x14ac:dyDescent="0.35">
      <c r="A4695" s="16" t="s">
        <v>7275</v>
      </c>
    </row>
    <row r="4696" spans="1:1" x14ac:dyDescent="0.35">
      <c r="A4696" s="16" t="s">
        <v>7276</v>
      </c>
    </row>
    <row r="4697" spans="1:1" x14ac:dyDescent="0.35">
      <c r="A4697" s="16" t="s">
        <v>7277</v>
      </c>
    </row>
    <row r="4698" spans="1:1" x14ac:dyDescent="0.35">
      <c r="A4698" s="16" t="s">
        <v>7278</v>
      </c>
    </row>
    <row r="4699" spans="1:1" x14ac:dyDescent="0.35">
      <c r="A4699" s="16" t="s">
        <v>7279</v>
      </c>
    </row>
    <row r="4700" spans="1:1" x14ac:dyDescent="0.35">
      <c r="A4700" s="16" t="s">
        <v>7280</v>
      </c>
    </row>
    <row r="4701" spans="1:1" x14ac:dyDescent="0.35">
      <c r="A4701" s="16" t="s">
        <v>7281</v>
      </c>
    </row>
    <row r="4702" spans="1:1" x14ac:dyDescent="0.35">
      <c r="A4702" s="16" t="s">
        <v>7282</v>
      </c>
    </row>
    <row r="4703" spans="1:1" x14ac:dyDescent="0.35">
      <c r="A4703" s="16" t="s">
        <v>7283</v>
      </c>
    </row>
    <row r="4704" spans="1:1" x14ac:dyDescent="0.35">
      <c r="A4704" s="16" t="s">
        <v>7284</v>
      </c>
    </row>
    <row r="4705" spans="1:1" x14ac:dyDescent="0.35">
      <c r="A4705" s="16" t="s">
        <v>7285</v>
      </c>
    </row>
    <row r="4706" spans="1:1" x14ac:dyDescent="0.35">
      <c r="A4706" s="16" t="s">
        <v>7286</v>
      </c>
    </row>
    <row r="4707" spans="1:1" x14ac:dyDescent="0.35">
      <c r="A4707" s="16" t="s">
        <v>7287</v>
      </c>
    </row>
    <row r="4708" spans="1:1" ht="29" x14ac:dyDescent="0.35">
      <c r="A4708" s="16" t="s">
        <v>7288</v>
      </c>
    </row>
    <row r="4709" spans="1:1" x14ac:dyDescent="0.35">
      <c r="A4709" s="16" t="s">
        <v>7289</v>
      </c>
    </row>
    <row r="4710" spans="1:1" ht="29" x14ac:dyDescent="0.35">
      <c r="A4710" s="16" t="s">
        <v>7290</v>
      </c>
    </row>
    <row r="4711" spans="1:1" x14ac:dyDescent="0.35">
      <c r="A4711" s="16" t="s">
        <v>7291</v>
      </c>
    </row>
    <row r="4712" spans="1:1" x14ac:dyDescent="0.35">
      <c r="A4712" s="16" t="s">
        <v>7292</v>
      </c>
    </row>
    <row r="4713" spans="1:1" x14ac:dyDescent="0.35">
      <c r="A4713" s="16" t="s">
        <v>7293</v>
      </c>
    </row>
    <row r="4714" spans="1:1" x14ac:dyDescent="0.35">
      <c r="A4714" s="16" t="s">
        <v>7294</v>
      </c>
    </row>
    <row r="4715" spans="1:1" x14ac:dyDescent="0.35">
      <c r="A4715" s="16" t="s">
        <v>7295</v>
      </c>
    </row>
    <row r="4716" spans="1:1" x14ac:dyDescent="0.35">
      <c r="A4716" s="16" t="s">
        <v>7296</v>
      </c>
    </row>
    <row r="4717" spans="1:1" x14ac:dyDescent="0.35">
      <c r="A4717" s="16" t="s">
        <v>7297</v>
      </c>
    </row>
    <row r="4718" spans="1:1" x14ac:dyDescent="0.35">
      <c r="A4718" s="16" t="s">
        <v>7298</v>
      </c>
    </row>
    <row r="4719" spans="1:1" x14ac:dyDescent="0.35">
      <c r="A4719" s="16" t="s">
        <v>7299</v>
      </c>
    </row>
    <row r="4720" spans="1:1" x14ac:dyDescent="0.35">
      <c r="A4720" s="16" t="s">
        <v>7300</v>
      </c>
    </row>
    <row r="4721" spans="1:1" x14ac:dyDescent="0.35">
      <c r="A4721" s="16" t="s">
        <v>7301</v>
      </c>
    </row>
    <row r="4722" spans="1:1" x14ac:dyDescent="0.35">
      <c r="A4722" s="16" t="s">
        <v>7302</v>
      </c>
    </row>
    <row r="4723" spans="1:1" ht="29" x14ac:dyDescent="0.35">
      <c r="A4723" s="16" t="s">
        <v>7303</v>
      </c>
    </row>
    <row r="4724" spans="1:1" x14ac:dyDescent="0.35">
      <c r="A4724" s="16" t="s">
        <v>7304</v>
      </c>
    </row>
    <row r="4725" spans="1:1" ht="29" x14ac:dyDescent="0.35">
      <c r="A4725" s="16" t="s">
        <v>7305</v>
      </c>
    </row>
    <row r="4726" spans="1:1" x14ac:dyDescent="0.35">
      <c r="A4726" s="16" t="s">
        <v>7306</v>
      </c>
    </row>
    <row r="4727" spans="1:1" x14ac:dyDescent="0.35">
      <c r="A4727" s="16" t="s">
        <v>7307</v>
      </c>
    </row>
    <row r="4728" spans="1:1" x14ac:dyDescent="0.35">
      <c r="A4728" s="16" t="s">
        <v>7308</v>
      </c>
    </row>
    <row r="4729" spans="1:1" ht="29" x14ac:dyDescent="0.35">
      <c r="A4729" s="16" t="s">
        <v>7309</v>
      </c>
    </row>
    <row r="4730" spans="1:1" ht="29" x14ac:dyDescent="0.35">
      <c r="A4730" s="16" t="s">
        <v>7310</v>
      </c>
    </row>
    <row r="4731" spans="1:1" x14ac:dyDescent="0.35">
      <c r="A4731" s="16" t="s">
        <v>7311</v>
      </c>
    </row>
    <row r="4732" spans="1:1" ht="29" x14ac:dyDescent="0.35">
      <c r="A4732" s="16" t="s">
        <v>7312</v>
      </c>
    </row>
    <row r="4733" spans="1:1" ht="29" x14ac:dyDescent="0.35">
      <c r="A4733" s="16" t="s">
        <v>7313</v>
      </c>
    </row>
    <row r="4734" spans="1:1" x14ac:dyDescent="0.35">
      <c r="A4734" s="16" t="s">
        <v>7314</v>
      </c>
    </row>
    <row r="4735" spans="1:1" x14ac:dyDescent="0.35">
      <c r="A4735" s="16" t="s">
        <v>7315</v>
      </c>
    </row>
    <row r="4736" spans="1:1" x14ac:dyDescent="0.35">
      <c r="A4736" s="16" t="s">
        <v>7316</v>
      </c>
    </row>
    <row r="4737" spans="1:1" x14ac:dyDescent="0.35">
      <c r="A4737" s="16" t="s">
        <v>7317</v>
      </c>
    </row>
    <row r="4738" spans="1:1" x14ac:dyDescent="0.35">
      <c r="A4738" s="16" t="s">
        <v>7318</v>
      </c>
    </row>
    <row r="4739" spans="1:1" x14ac:dyDescent="0.35">
      <c r="A4739" s="16" t="s">
        <v>7319</v>
      </c>
    </row>
    <row r="4740" spans="1:1" x14ac:dyDescent="0.35">
      <c r="A4740" s="16" t="s">
        <v>7320</v>
      </c>
    </row>
    <row r="4741" spans="1:1" x14ac:dyDescent="0.35">
      <c r="A4741" s="16" t="s">
        <v>7321</v>
      </c>
    </row>
    <row r="4742" spans="1:1" x14ac:dyDescent="0.35">
      <c r="A4742" s="16" t="s">
        <v>7322</v>
      </c>
    </row>
    <row r="4743" spans="1:1" x14ac:dyDescent="0.35">
      <c r="A4743" s="16" t="s">
        <v>7323</v>
      </c>
    </row>
    <row r="4744" spans="1:1" x14ac:dyDescent="0.35">
      <c r="A4744" s="16" t="s">
        <v>7324</v>
      </c>
    </row>
    <row r="4745" spans="1:1" x14ac:dyDescent="0.35">
      <c r="A4745" s="16" t="s">
        <v>7325</v>
      </c>
    </row>
    <row r="4746" spans="1:1" x14ac:dyDescent="0.35">
      <c r="A4746" s="16" t="s">
        <v>7326</v>
      </c>
    </row>
    <row r="4747" spans="1:1" x14ac:dyDescent="0.35">
      <c r="A4747" s="16" t="s">
        <v>7327</v>
      </c>
    </row>
    <row r="4748" spans="1:1" ht="29" x14ac:dyDescent="0.35">
      <c r="A4748" s="16" t="s">
        <v>7328</v>
      </c>
    </row>
    <row r="4749" spans="1:1" x14ac:dyDescent="0.35">
      <c r="A4749" s="16" t="s">
        <v>7329</v>
      </c>
    </row>
    <row r="4750" spans="1:1" ht="29" x14ac:dyDescent="0.35">
      <c r="A4750" s="16" t="s">
        <v>7330</v>
      </c>
    </row>
    <row r="4751" spans="1:1" x14ac:dyDescent="0.35">
      <c r="A4751" s="16" t="s">
        <v>7331</v>
      </c>
    </row>
    <row r="4752" spans="1:1" x14ac:dyDescent="0.35">
      <c r="A4752" s="16" t="s">
        <v>7332</v>
      </c>
    </row>
    <row r="4753" spans="1:1" x14ac:dyDescent="0.35">
      <c r="A4753" s="16" t="s">
        <v>7333</v>
      </c>
    </row>
    <row r="4754" spans="1:1" ht="29" x14ac:dyDescent="0.35">
      <c r="A4754" s="16" t="s">
        <v>7334</v>
      </c>
    </row>
    <row r="4755" spans="1:1" x14ac:dyDescent="0.35">
      <c r="A4755" s="16" t="s">
        <v>7335</v>
      </c>
    </row>
    <row r="4756" spans="1:1" x14ac:dyDescent="0.35">
      <c r="A4756" s="16" t="s">
        <v>7336</v>
      </c>
    </row>
    <row r="4757" spans="1:1" x14ac:dyDescent="0.35">
      <c r="A4757" s="16" t="s">
        <v>7337</v>
      </c>
    </row>
    <row r="4758" spans="1:1" x14ac:dyDescent="0.35">
      <c r="A4758" s="16" t="s">
        <v>7338</v>
      </c>
    </row>
    <row r="4759" spans="1:1" x14ac:dyDescent="0.35">
      <c r="A4759" s="16" t="s">
        <v>7339</v>
      </c>
    </row>
    <row r="4760" spans="1:1" x14ac:dyDescent="0.35">
      <c r="A4760" s="16" t="s">
        <v>7340</v>
      </c>
    </row>
    <row r="4761" spans="1:1" x14ac:dyDescent="0.35">
      <c r="A4761" s="16" t="s">
        <v>7341</v>
      </c>
    </row>
    <row r="4762" spans="1:1" x14ac:dyDescent="0.35">
      <c r="A4762" s="16" t="s">
        <v>7342</v>
      </c>
    </row>
    <row r="4763" spans="1:1" x14ac:dyDescent="0.35">
      <c r="A4763" s="16" t="s">
        <v>7343</v>
      </c>
    </row>
    <row r="4764" spans="1:1" x14ac:dyDescent="0.35">
      <c r="A4764" s="16" t="s">
        <v>7344</v>
      </c>
    </row>
    <row r="4765" spans="1:1" x14ac:dyDescent="0.35">
      <c r="A4765" s="16" t="s">
        <v>7345</v>
      </c>
    </row>
    <row r="4766" spans="1:1" x14ac:dyDescent="0.35">
      <c r="A4766" s="16" t="s">
        <v>7346</v>
      </c>
    </row>
    <row r="4767" spans="1:1" x14ac:dyDescent="0.35">
      <c r="A4767" s="16" t="s">
        <v>7347</v>
      </c>
    </row>
    <row r="4768" spans="1:1" x14ac:dyDescent="0.35">
      <c r="A4768" s="16" t="s">
        <v>7348</v>
      </c>
    </row>
    <row r="4769" spans="1:1" x14ac:dyDescent="0.35">
      <c r="A4769" s="16" t="s">
        <v>7349</v>
      </c>
    </row>
    <row r="4770" spans="1:1" x14ac:dyDescent="0.35">
      <c r="A4770" s="16" t="s">
        <v>7350</v>
      </c>
    </row>
    <row r="4771" spans="1:1" x14ac:dyDescent="0.35">
      <c r="A4771" s="16" t="s">
        <v>7351</v>
      </c>
    </row>
    <row r="4772" spans="1:1" x14ac:dyDescent="0.35">
      <c r="A4772" s="16" t="s">
        <v>7352</v>
      </c>
    </row>
    <row r="4773" spans="1:1" x14ac:dyDescent="0.35">
      <c r="A4773" s="16" t="s">
        <v>7353</v>
      </c>
    </row>
    <row r="4774" spans="1:1" x14ac:dyDescent="0.35">
      <c r="A4774" s="16" t="s">
        <v>7354</v>
      </c>
    </row>
    <row r="4775" spans="1:1" x14ac:dyDescent="0.35">
      <c r="A4775" s="16" t="s">
        <v>7355</v>
      </c>
    </row>
    <row r="4776" spans="1:1" x14ac:dyDescent="0.35">
      <c r="A4776" s="16" t="s">
        <v>7356</v>
      </c>
    </row>
    <row r="4777" spans="1:1" x14ac:dyDescent="0.35">
      <c r="A4777" s="16" t="s">
        <v>7357</v>
      </c>
    </row>
    <row r="4778" spans="1:1" x14ac:dyDescent="0.35">
      <c r="A4778" s="16" t="s">
        <v>7358</v>
      </c>
    </row>
    <row r="4779" spans="1:1" x14ac:dyDescent="0.35">
      <c r="A4779" s="16" t="s">
        <v>7359</v>
      </c>
    </row>
    <row r="4780" spans="1:1" x14ac:dyDescent="0.35">
      <c r="A4780" s="16" t="s">
        <v>7360</v>
      </c>
    </row>
    <row r="4781" spans="1:1" x14ac:dyDescent="0.35">
      <c r="A4781" s="16" t="s">
        <v>7361</v>
      </c>
    </row>
    <row r="4782" spans="1:1" x14ac:dyDescent="0.35">
      <c r="A4782" s="16" t="s">
        <v>7362</v>
      </c>
    </row>
    <row r="4783" spans="1:1" x14ac:dyDescent="0.35">
      <c r="A4783" s="16" t="s">
        <v>7363</v>
      </c>
    </row>
    <row r="4784" spans="1:1" ht="29" x14ac:dyDescent="0.35">
      <c r="A4784" s="16" t="s">
        <v>7364</v>
      </c>
    </row>
    <row r="4785" spans="1:1" ht="29" x14ac:dyDescent="0.35">
      <c r="A4785" s="16" t="s">
        <v>7365</v>
      </c>
    </row>
    <row r="4786" spans="1:1" x14ac:dyDescent="0.35">
      <c r="A4786" s="16" t="s">
        <v>7366</v>
      </c>
    </row>
    <row r="4787" spans="1:1" x14ac:dyDescent="0.35">
      <c r="A4787" s="16" t="s">
        <v>7367</v>
      </c>
    </row>
    <row r="4788" spans="1:1" x14ac:dyDescent="0.35">
      <c r="A4788" s="16" t="s">
        <v>7368</v>
      </c>
    </row>
    <row r="4789" spans="1:1" x14ac:dyDescent="0.35">
      <c r="A4789" s="16" t="s">
        <v>7369</v>
      </c>
    </row>
    <row r="4790" spans="1:1" x14ac:dyDescent="0.35">
      <c r="A4790" s="16" t="s">
        <v>7370</v>
      </c>
    </row>
    <row r="4791" spans="1:1" x14ac:dyDescent="0.35">
      <c r="A4791" s="16" t="s">
        <v>7371</v>
      </c>
    </row>
    <row r="4792" spans="1:1" x14ac:dyDescent="0.35">
      <c r="A4792" s="16" t="s">
        <v>7372</v>
      </c>
    </row>
    <row r="4793" spans="1:1" x14ac:dyDescent="0.35">
      <c r="A4793" s="16" t="s">
        <v>7373</v>
      </c>
    </row>
    <row r="4794" spans="1:1" ht="29" x14ac:dyDescent="0.35">
      <c r="A4794" s="16" t="s">
        <v>7374</v>
      </c>
    </row>
    <row r="4795" spans="1:1" x14ac:dyDescent="0.35">
      <c r="A4795" s="16" t="s">
        <v>7375</v>
      </c>
    </row>
    <row r="4796" spans="1:1" x14ac:dyDescent="0.35">
      <c r="A4796" s="16" t="s">
        <v>7376</v>
      </c>
    </row>
    <row r="4797" spans="1:1" x14ac:dyDescent="0.35">
      <c r="A4797" s="16" t="s">
        <v>7377</v>
      </c>
    </row>
    <row r="4798" spans="1:1" x14ac:dyDescent="0.35">
      <c r="A4798" s="16" t="s">
        <v>7378</v>
      </c>
    </row>
    <row r="4799" spans="1:1" x14ac:dyDescent="0.35">
      <c r="A4799" s="16" t="s">
        <v>7379</v>
      </c>
    </row>
    <row r="4800" spans="1:1" x14ac:dyDescent="0.35">
      <c r="A4800" s="16" t="s">
        <v>7380</v>
      </c>
    </row>
    <row r="4801" spans="1:1" x14ac:dyDescent="0.35">
      <c r="A4801" s="16" t="s">
        <v>7381</v>
      </c>
    </row>
    <row r="4802" spans="1:1" x14ac:dyDescent="0.35">
      <c r="A4802" s="16" t="s">
        <v>7382</v>
      </c>
    </row>
    <row r="4803" spans="1:1" x14ac:dyDescent="0.35">
      <c r="A4803" s="16" t="s">
        <v>7383</v>
      </c>
    </row>
    <row r="4804" spans="1:1" ht="29" x14ac:dyDescent="0.35">
      <c r="A4804" s="16" t="s">
        <v>7384</v>
      </c>
    </row>
    <row r="4805" spans="1:1" x14ac:dyDescent="0.35">
      <c r="A4805" s="16" t="s">
        <v>7385</v>
      </c>
    </row>
    <row r="4806" spans="1:1" x14ac:dyDescent="0.35">
      <c r="A4806" s="16" t="s">
        <v>7386</v>
      </c>
    </row>
    <row r="4807" spans="1:1" x14ac:dyDescent="0.35">
      <c r="A4807" s="16" t="s">
        <v>7387</v>
      </c>
    </row>
    <row r="4808" spans="1:1" x14ac:dyDescent="0.35">
      <c r="A4808" s="16" t="s">
        <v>7388</v>
      </c>
    </row>
    <row r="4809" spans="1:1" ht="29" x14ac:dyDescent="0.35">
      <c r="A4809" s="16" t="s">
        <v>7389</v>
      </c>
    </row>
    <row r="4810" spans="1:1" x14ac:dyDescent="0.35">
      <c r="A4810" s="16" t="s">
        <v>7390</v>
      </c>
    </row>
    <row r="4811" spans="1:1" x14ac:dyDescent="0.35">
      <c r="A4811" s="16" t="s">
        <v>7391</v>
      </c>
    </row>
    <row r="4812" spans="1:1" x14ac:dyDescent="0.35">
      <c r="A4812" s="16" t="s">
        <v>7392</v>
      </c>
    </row>
    <row r="4813" spans="1:1" x14ac:dyDescent="0.35">
      <c r="A4813" s="16" t="s">
        <v>7393</v>
      </c>
    </row>
    <row r="4814" spans="1:1" ht="29" x14ac:dyDescent="0.35">
      <c r="A4814" s="16" t="s">
        <v>7394</v>
      </c>
    </row>
    <row r="4815" spans="1:1" x14ac:dyDescent="0.35">
      <c r="A4815" s="16" t="s">
        <v>7395</v>
      </c>
    </row>
    <row r="4816" spans="1:1" x14ac:dyDescent="0.35">
      <c r="A4816" s="16" t="s">
        <v>7396</v>
      </c>
    </row>
    <row r="4817" spans="1:1" x14ac:dyDescent="0.35">
      <c r="A4817" s="16" t="s">
        <v>7397</v>
      </c>
    </row>
    <row r="4818" spans="1:1" x14ac:dyDescent="0.35">
      <c r="A4818" s="16" t="s">
        <v>7398</v>
      </c>
    </row>
    <row r="4819" spans="1:1" x14ac:dyDescent="0.35">
      <c r="A4819" s="16" t="s">
        <v>7399</v>
      </c>
    </row>
    <row r="4820" spans="1:1" x14ac:dyDescent="0.35">
      <c r="A4820" s="16" t="s">
        <v>7400</v>
      </c>
    </row>
    <row r="4821" spans="1:1" x14ac:dyDescent="0.35">
      <c r="A4821" s="16" t="s">
        <v>7401</v>
      </c>
    </row>
    <row r="4822" spans="1:1" x14ac:dyDescent="0.35">
      <c r="A4822" s="16" t="s">
        <v>7402</v>
      </c>
    </row>
    <row r="4823" spans="1:1" x14ac:dyDescent="0.35">
      <c r="A4823" s="16" t="s">
        <v>7403</v>
      </c>
    </row>
    <row r="4824" spans="1:1" ht="29" x14ac:dyDescent="0.35">
      <c r="A4824" s="16" t="s">
        <v>7404</v>
      </c>
    </row>
    <row r="4825" spans="1:1" ht="29" x14ac:dyDescent="0.35">
      <c r="A4825" s="16" t="s">
        <v>7405</v>
      </c>
    </row>
    <row r="4826" spans="1:1" ht="29" x14ac:dyDescent="0.35">
      <c r="A4826" s="16" t="s">
        <v>7406</v>
      </c>
    </row>
    <row r="4827" spans="1:1" x14ac:dyDescent="0.35">
      <c r="A4827" s="16" t="s">
        <v>7407</v>
      </c>
    </row>
    <row r="4828" spans="1:1" ht="29" x14ac:dyDescent="0.35">
      <c r="A4828" s="16" t="s">
        <v>7408</v>
      </c>
    </row>
    <row r="4829" spans="1:1" x14ac:dyDescent="0.35">
      <c r="A4829" s="16" t="s">
        <v>7409</v>
      </c>
    </row>
    <row r="4830" spans="1:1" x14ac:dyDescent="0.35">
      <c r="A4830" s="16" t="s">
        <v>7410</v>
      </c>
    </row>
    <row r="4831" spans="1:1" x14ac:dyDescent="0.35">
      <c r="A4831" s="16" t="s">
        <v>7411</v>
      </c>
    </row>
    <row r="4832" spans="1:1" x14ac:dyDescent="0.35">
      <c r="A4832" s="16" t="s">
        <v>7412</v>
      </c>
    </row>
    <row r="4833" spans="1:1" x14ac:dyDescent="0.35">
      <c r="A4833" s="16" t="s">
        <v>7413</v>
      </c>
    </row>
    <row r="4834" spans="1:1" x14ac:dyDescent="0.35">
      <c r="A4834" s="16" t="s">
        <v>7414</v>
      </c>
    </row>
    <row r="4835" spans="1:1" x14ac:dyDescent="0.35">
      <c r="A4835" s="16" t="s">
        <v>7415</v>
      </c>
    </row>
    <row r="4836" spans="1:1" x14ac:dyDescent="0.35">
      <c r="A4836" s="16" t="s">
        <v>7416</v>
      </c>
    </row>
    <row r="4837" spans="1:1" x14ac:dyDescent="0.35">
      <c r="A4837" s="16" t="s">
        <v>7417</v>
      </c>
    </row>
    <row r="4838" spans="1:1" x14ac:dyDescent="0.35">
      <c r="A4838" s="16" t="s">
        <v>7418</v>
      </c>
    </row>
    <row r="4839" spans="1:1" x14ac:dyDescent="0.35">
      <c r="A4839" s="16" t="s">
        <v>7419</v>
      </c>
    </row>
    <row r="4840" spans="1:1" x14ac:dyDescent="0.35">
      <c r="A4840" s="16" t="s">
        <v>7420</v>
      </c>
    </row>
    <row r="4841" spans="1:1" x14ac:dyDescent="0.35">
      <c r="A4841" s="16" t="s">
        <v>7421</v>
      </c>
    </row>
    <row r="4842" spans="1:1" x14ac:dyDescent="0.35">
      <c r="A4842" s="16" t="s">
        <v>7422</v>
      </c>
    </row>
    <row r="4843" spans="1:1" x14ac:dyDescent="0.35">
      <c r="A4843" s="16" t="s">
        <v>7423</v>
      </c>
    </row>
    <row r="4844" spans="1:1" x14ac:dyDescent="0.35">
      <c r="A4844" s="16" t="s">
        <v>7424</v>
      </c>
    </row>
    <row r="4845" spans="1:1" x14ac:dyDescent="0.35">
      <c r="A4845" s="16" t="s">
        <v>7425</v>
      </c>
    </row>
    <row r="4846" spans="1:1" x14ac:dyDescent="0.35">
      <c r="A4846" s="16" t="s">
        <v>7426</v>
      </c>
    </row>
    <row r="4847" spans="1:1" ht="29" x14ac:dyDescent="0.35">
      <c r="A4847" s="16" t="s">
        <v>7427</v>
      </c>
    </row>
    <row r="4848" spans="1:1" x14ac:dyDescent="0.35">
      <c r="A4848" s="16" t="s">
        <v>7428</v>
      </c>
    </row>
    <row r="4849" spans="1:1" x14ac:dyDescent="0.35">
      <c r="A4849" s="16" t="s">
        <v>7429</v>
      </c>
    </row>
    <row r="4850" spans="1:1" x14ac:dyDescent="0.35">
      <c r="A4850" s="16" t="s">
        <v>7430</v>
      </c>
    </row>
    <row r="4851" spans="1:1" x14ac:dyDescent="0.35">
      <c r="A4851" s="16" t="s">
        <v>7431</v>
      </c>
    </row>
    <row r="4852" spans="1:1" x14ac:dyDescent="0.35">
      <c r="A4852" s="16" t="s">
        <v>7432</v>
      </c>
    </row>
    <row r="4853" spans="1:1" x14ac:dyDescent="0.35">
      <c r="A4853" s="16" t="s">
        <v>7433</v>
      </c>
    </row>
    <row r="4854" spans="1:1" x14ac:dyDescent="0.35">
      <c r="A4854" s="16" t="s">
        <v>7434</v>
      </c>
    </row>
    <row r="4855" spans="1:1" x14ac:dyDescent="0.35">
      <c r="A4855" s="16" t="s">
        <v>7435</v>
      </c>
    </row>
    <row r="4856" spans="1:1" x14ac:dyDescent="0.35">
      <c r="A4856" s="16" t="s">
        <v>7436</v>
      </c>
    </row>
    <row r="4857" spans="1:1" x14ac:dyDescent="0.35">
      <c r="A4857" s="16" t="s">
        <v>7437</v>
      </c>
    </row>
    <row r="4858" spans="1:1" x14ac:dyDescent="0.35">
      <c r="A4858" s="16" t="s">
        <v>7438</v>
      </c>
    </row>
    <row r="4859" spans="1:1" x14ac:dyDescent="0.35">
      <c r="A4859" s="16" t="s">
        <v>7439</v>
      </c>
    </row>
    <row r="4860" spans="1:1" x14ac:dyDescent="0.35">
      <c r="A4860" s="16" t="s">
        <v>7440</v>
      </c>
    </row>
    <row r="4861" spans="1:1" x14ac:dyDescent="0.35">
      <c r="A4861" s="16" t="s">
        <v>7441</v>
      </c>
    </row>
    <row r="4862" spans="1:1" x14ac:dyDescent="0.35">
      <c r="A4862" s="16" t="s">
        <v>7442</v>
      </c>
    </row>
    <row r="4863" spans="1:1" x14ac:dyDescent="0.35">
      <c r="A4863" s="16" t="s">
        <v>7443</v>
      </c>
    </row>
    <row r="4864" spans="1:1" x14ac:dyDescent="0.35">
      <c r="A4864" s="16" t="s">
        <v>7444</v>
      </c>
    </row>
    <row r="4865" spans="1:1" x14ac:dyDescent="0.35">
      <c r="A4865" s="16" t="s">
        <v>7445</v>
      </c>
    </row>
    <row r="4866" spans="1:1" x14ac:dyDescent="0.35">
      <c r="A4866" s="16" t="s">
        <v>7446</v>
      </c>
    </row>
    <row r="4867" spans="1:1" x14ac:dyDescent="0.35">
      <c r="A4867" s="16" t="s">
        <v>7447</v>
      </c>
    </row>
    <row r="4868" spans="1:1" x14ac:dyDescent="0.35">
      <c r="A4868" s="16" t="s">
        <v>7448</v>
      </c>
    </row>
    <row r="4869" spans="1:1" x14ac:dyDescent="0.35">
      <c r="A4869" s="16" t="s">
        <v>7449</v>
      </c>
    </row>
    <row r="4870" spans="1:1" ht="29" x14ac:dyDescent="0.35">
      <c r="A4870" s="16" t="s">
        <v>7450</v>
      </c>
    </row>
    <row r="4871" spans="1:1" x14ac:dyDescent="0.35">
      <c r="A4871" s="16" t="s">
        <v>7451</v>
      </c>
    </row>
    <row r="4872" spans="1:1" x14ac:dyDescent="0.35">
      <c r="A4872" s="16" t="s">
        <v>7452</v>
      </c>
    </row>
    <row r="4873" spans="1:1" x14ac:dyDescent="0.35">
      <c r="A4873" s="16" t="s">
        <v>7453</v>
      </c>
    </row>
    <row r="4874" spans="1:1" x14ac:dyDescent="0.35">
      <c r="A4874" s="16" t="s">
        <v>7454</v>
      </c>
    </row>
    <row r="4875" spans="1:1" x14ac:dyDescent="0.35">
      <c r="A4875" s="16" t="s">
        <v>7455</v>
      </c>
    </row>
    <row r="4876" spans="1:1" x14ac:dyDescent="0.35">
      <c r="A4876" s="16" t="s">
        <v>7456</v>
      </c>
    </row>
    <row r="4877" spans="1:1" x14ac:dyDescent="0.35">
      <c r="A4877" s="16" t="s">
        <v>7457</v>
      </c>
    </row>
    <row r="4878" spans="1:1" x14ac:dyDescent="0.35">
      <c r="A4878" s="16" t="s">
        <v>7458</v>
      </c>
    </row>
    <row r="4879" spans="1:1" x14ac:dyDescent="0.35">
      <c r="A4879" s="16" t="s">
        <v>7459</v>
      </c>
    </row>
    <row r="4880" spans="1:1" x14ac:dyDescent="0.35">
      <c r="A4880" s="16" t="s">
        <v>7460</v>
      </c>
    </row>
    <row r="4881" spans="1:1" x14ac:dyDescent="0.35">
      <c r="A4881" s="16" t="s">
        <v>7461</v>
      </c>
    </row>
    <row r="4882" spans="1:1" x14ac:dyDescent="0.35">
      <c r="A4882" s="16" t="s">
        <v>7462</v>
      </c>
    </row>
    <row r="4883" spans="1:1" x14ac:dyDescent="0.35">
      <c r="A4883" s="16" t="s">
        <v>7463</v>
      </c>
    </row>
    <row r="4884" spans="1:1" x14ac:dyDescent="0.35">
      <c r="A4884" s="16" t="s">
        <v>7464</v>
      </c>
    </row>
    <row r="4885" spans="1:1" x14ac:dyDescent="0.35">
      <c r="A4885" s="16" t="s">
        <v>7465</v>
      </c>
    </row>
    <row r="4886" spans="1:1" x14ac:dyDescent="0.35">
      <c r="A4886" s="16" t="s">
        <v>7466</v>
      </c>
    </row>
    <row r="4887" spans="1:1" x14ac:dyDescent="0.35">
      <c r="A4887" s="16" t="s">
        <v>7467</v>
      </c>
    </row>
    <row r="4888" spans="1:1" x14ac:dyDescent="0.35">
      <c r="A4888" s="16" t="s">
        <v>7468</v>
      </c>
    </row>
    <row r="4889" spans="1:1" x14ac:dyDescent="0.35">
      <c r="A4889" s="16" t="s">
        <v>7469</v>
      </c>
    </row>
    <row r="4890" spans="1:1" x14ac:dyDescent="0.35">
      <c r="A4890" s="16" t="s">
        <v>7470</v>
      </c>
    </row>
    <row r="4891" spans="1:1" x14ac:dyDescent="0.35">
      <c r="A4891" s="16" t="s">
        <v>7471</v>
      </c>
    </row>
    <row r="4892" spans="1:1" x14ac:dyDescent="0.35">
      <c r="A4892" s="16" t="s">
        <v>7472</v>
      </c>
    </row>
    <row r="4893" spans="1:1" x14ac:dyDescent="0.35">
      <c r="A4893" s="16" t="s">
        <v>7473</v>
      </c>
    </row>
    <row r="4894" spans="1:1" ht="29" x14ac:dyDescent="0.35">
      <c r="A4894" s="16" t="s">
        <v>7474</v>
      </c>
    </row>
    <row r="4895" spans="1:1" x14ac:dyDescent="0.35">
      <c r="A4895" s="16" t="s">
        <v>7475</v>
      </c>
    </row>
    <row r="4896" spans="1:1" x14ac:dyDescent="0.35">
      <c r="A4896" s="16" t="s">
        <v>7476</v>
      </c>
    </row>
    <row r="4897" spans="1:1" x14ac:dyDescent="0.35">
      <c r="A4897" s="16" t="s">
        <v>7477</v>
      </c>
    </row>
    <row r="4898" spans="1:1" x14ac:dyDescent="0.35">
      <c r="A4898" s="16" t="s">
        <v>7478</v>
      </c>
    </row>
    <row r="4899" spans="1:1" x14ac:dyDescent="0.35">
      <c r="A4899" s="16" t="s">
        <v>7479</v>
      </c>
    </row>
    <row r="4900" spans="1:1" x14ac:dyDescent="0.35">
      <c r="A4900" s="16" t="s">
        <v>7480</v>
      </c>
    </row>
    <row r="4901" spans="1:1" x14ac:dyDescent="0.35">
      <c r="A4901" s="16" t="s">
        <v>7481</v>
      </c>
    </row>
    <row r="4902" spans="1:1" x14ac:dyDescent="0.35">
      <c r="A4902" s="16" t="s">
        <v>7482</v>
      </c>
    </row>
    <row r="4903" spans="1:1" x14ac:dyDescent="0.35">
      <c r="A4903" s="16" t="s">
        <v>7483</v>
      </c>
    </row>
    <row r="4904" spans="1:1" x14ac:dyDescent="0.35">
      <c r="A4904" s="16" t="s">
        <v>7484</v>
      </c>
    </row>
    <row r="4905" spans="1:1" x14ac:dyDescent="0.35">
      <c r="A4905" s="16" t="s">
        <v>7485</v>
      </c>
    </row>
    <row r="4906" spans="1:1" x14ac:dyDescent="0.35">
      <c r="A4906" s="16" t="s">
        <v>7486</v>
      </c>
    </row>
    <row r="4907" spans="1:1" x14ac:dyDescent="0.35">
      <c r="A4907" s="16" t="s">
        <v>7487</v>
      </c>
    </row>
    <row r="4908" spans="1:1" x14ac:dyDescent="0.35">
      <c r="A4908" s="16" t="s">
        <v>7488</v>
      </c>
    </row>
    <row r="4909" spans="1:1" x14ac:dyDescent="0.35">
      <c r="A4909" s="16" t="s">
        <v>7489</v>
      </c>
    </row>
    <row r="4910" spans="1:1" x14ac:dyDescent="0.35">
      <c r="A4910" s="16" t="s">
        <v>7490</v>
      </c>
    </row>
    <row r="4911" spans="1:1" x14ac:dyDescent="0.35">
      <c r="A4911" s="16" t="s">
        <v>7491</v>
      </c>
    </row>
    <row r="4912" spans="1:1" x14ac:dyDescent="0.35">
      <c r="A4912" s="16" t="s">
        <v>7492</v>
      </c>
    </row>
    <row r="4913" spans="1:1" x14ac:dyDescent="0.35">
      <c r="A4913" s="16" t="s">
        <v>7493</v>
      </c>
    </row>
    <row r="4914" spans="1:1" x14ac:dyDescent="0.35">
      <c r="A4914" s="16" t="s">
        <v>7494</v>
      </c>
    </row>
    <row r="4915" spans="1:1" x14ac:dyDescent="0.35">
      <c r="A4915" s="16" t="s">
        <v>7495</v>
      </c>
    </row>
    <row r="4916" spans="1:1" x14ac:dyDescent="0.35">
      <c r="A4916" s="16" t="s">
        <v>7496</v>
      </c>
    </row>
    <row r="4917" spans="1:1" x14ac:dyDescent="0.35">
      <c r="A4917" s="16" t="s">
        <v>7497</v>
      </c>
    </row>
    <row r="4918" spans="1:1" x14ac:dyDescent="0.35">
      <c r="A4918" s="16" t="s">
        <v>7498</v>
      </c>
    </row>
    <row r="4919" spans="1:1" x14ac:dyDescent="0.35">
      <c r="A4919" s="16" t="s">
        <v>7499</v>
      </c>
    </row>
    <row r="4920" spans="1:1" x14ac:dyDescent="0.35">
      <c r="A4920" s="16" t="s">
        <v>7500</v>
      </c>
    </row>
    <row r="4921" spans="1:1" x14ac:dyDescent="0.35">
      <c r="A4921" s="16" t="s">
        <v>7501</v>
      </c>
    </row>
    <row r="4922" spans="1:1" x14ac:dyDescent="0.35">
      <c r="A4922" s="16" t="s">
        <v>7502</v>
      </c>
    </row>
    <row r="4923" spans="1:1" x14ac:dyDescent="0.35">
      <c r="A4923" s="16" t="s">
        <v>7503</v>
      </c>
    </row>
    <row r="4924" spans="1:1" ht="29" x14ac:dyDescent="0.35">
      <c r="A4924" s="16" t="s">
        <v>7504</v>
      </c>
    </row>
    <row r="4925" spans="1:1" x14ac:dyDescent="0.35">
      <c r="A4925" s="16" t="s">
        <v>7505</v>
      </c>
    </row>
    <row r="4926" spans="1:1" x14ac:dyDescent="0.35">
      <c r="A4926" s="16" t="s">
        <v>7506</v>
      </c>
    </row>
    <row r="4927" spans="1:1" ht="29" x14ac:dyDescent="0.35">
      <c r="A4927" s="16" t="s">
        <v>7507</v>
      </c>
    </row>
    <row r="4928" spans="1:1" x14ac:dyDescent="0.35">
      <c r="A4928" s="16" t="s">
        <v>7508</v>
      </c>
    </row>
    <row r="4929" spans="1:1" x14ac:dyDescent="0.35">
      <c r="A4929" s="16" t="s">
        <v>7509</v>
      </c>
    </row>
    <row r="4930" spans="1:1" x14ac:dyDescent="0.35">
      <c r="A4930" s="16" t="s">
        <v>7510</v>
      </c>
    </row>
    <row r="4931" spans="1:1" x14ac:dyDescent="0.35">
      <c r="A4931" s="16" t="s">
        <v>7511</v>
      </c>
    </row>
    <row r="4932" spans="1:1" x14ac:dyDescent="0.35">
      <c r="A4932" s="16" t="s">
        <v>7512</v>
      </c>
    </row>
    <row r="4933" spans="1:1" x14ac:dyDescent="0.35">
      <c r="A4933" s="16" t="s">
        <v>7513</v>
      </c>
    </row>
    <row r="4934" spans="1:1" x14ac:dyDescent="0.35">
      <c r="A4934" s="16" t="s">
        <v>7514</v>
      </c>
    </row>
    <row r="4935" spans="1:1" x14ac:dyDescent="0.35">
      <c r="A4935" s="16" t="s">
        <v>7515</v>
      </c>
    </row>
    <row r="4936" spans="1:1" x14ac:dyDescent="0.35">
      <c r="A4936" s="16" t="s">
        <v>7516</v>
      </c>
    </row>
    <row r="4937" spans="1:1" x14ac:dyDescent="0.35">
      <c r="A4937" s="16" t="s">
        <v>7517</v>
      </c>
    </row>
    <row r="4938" spans="1:1" x14ac:dyDescent="0.35">
      <c r="A4938" s="16" t="s">
        <v>7518</v>
      </c>
    </row>
    <row r="4939" spans="1:1" x14ac:dyDescent="0.35">
      <c r="A4939" s="16" t="s">
        <v>7519</v>
      </c>
    </row>
    <row r="4940" spans="1:1" x14ac:dyDescent="0.35">
      <c r="A4940" s="16" t="s">
        <v>7520</v>
      </c>
    </row>
    <row r="4941" spans="1:1" x14ac:dyDescent="0.35">
      <c r="A4941" s="16" t="s">
        <v>7521</v>
      </c>
    </row>
    <row r="4942" spans="1:1" x14ac:dyDescent="0.35">
      <c r="A4942" s="16" t="s">
        <v>7522</v>
      </c>
    </row>
    <row r="4943" spans="1:1" x14ac:dyDescent="0.35">
      <c r="A4943" s="16" t="s">
        <v>7523</v>
      </c>
    </row>
    <row r="4944" spans="1:1" x14ac:dyDescent="0.35">
      <c r="A4944" s="16" t="s">
        <v>7524</v>
      </c>
    </row>
    <row r="4945" spans="1:1" x14ac:dyDescent="0.35">
      <c r="A4945" s="16" t="s">
        <v>7525</v>
      </c>
    </row>
    <row r="4946" spans="1:1" x14ac:dyDescent="0.35">
      <c r="A4946" s="16" t="s">
        <v>7526</v>
      </c>
    </row>
    <row r="4947" spans="1:1" x14ac:dyDescent="0.35">
      <c r="A4947" s="16" t="s">
        <v>7527</v>
      </c>
    </row>
    <row r="4948" spans="1:1" x14ac:dyDescent="0.35">
      <c r="A4948" s="16" t="s">
        <v>7528</v>
      </c>
    </row>
    <row r="4949" spans="1:1" x14ac:dyDescent="0.35">
      <c r="A4949" s="16" t="s">
        <v>7529</v>
      </c>
    </row>
    <row r="4950" spans="1:1" x14ac:dyDescent="0.35">
      <c r="A4950" s="16" t="s">
        <v>7530</v>
      </c>
    </row>
    <row r="4951" spans="1:1" x14ac:dyDescent="0.35">
      <c r="A4951" s="16" t="s">
        <v>7531</v>
      </c>
    </row>
    <row r="4952" spans="1:1" x14ac:dyDescent="0.35">
      <c r="A4952" s="16" t="s">
        <v>7532</v>
      </c>
    </row>
    <row r="4953" spans="1:1" x14ac:dyDescent="0.35">
      <c r="A4953" s="16" t="s">
        <v>7533</v>
      </c>
    </row>
    <row r="4954" spans="1:1" x14ac:dyDescent="0.35">
      <c r="A4954" s="16" t="s">
        <v>7534</v>
      </c>
    </row>
    <row r="4955" spans="1:1" x14ac:dyDescent="0.35">
      <c r="A4955" s="16" t="s">
        <v>7535</v>
      </c>
    </row>
    <row r="4956" spans="1:1" x14ac:dyDescent="0.35">
      <c r="A4956" s="16" t="s">
        <v>7536</v>
      </c>
    </row>
    <row r="4957" spans="1:1" x14ac:dyDescent="0.35">
      <c r="A4957" s="16" t="s">
        <v>7537</v>
      </c>
    </row>
    <row r="4958" spans="1:1" ht="29" x14ac:dyDescent="0.35">
      <c r="A4958" s="16" t="s">
        <v>7538</v>
      </c>
    </row>
    <row r="4959" spans="1:1" x14ac:dyDescent="0.35">
      <c r="A4959" s="16" t="s">
        <v>7539</v>
      </c>
    </row>
    <row r="4960" spans="1:1" x14ac:dyDescent="0.35">
      <c r="A4960" s="16" t="s">
        <v>7540</v>
      </c>
    </row>
    <row r="4961" spans="1:1" ht="29" x14ac:dyDescent="0.35">
      <c r="A4961" s="16" t="s">
        <v>7541</v>
      </c>
    </row>
    <row r="4962" spans="1:1" x14ac:dyDescent="0.35">
      <c r="A4962" s="16" t="s">
        <v>7542</v>
      </c>
    </row>
    <row r="4963" spans="1:1" ht="29" x14ac:dyDescent="0.35">
      <c r="A4963" s="16" t="s">
        <v>7543</v>
      </c>
    </row>
    <row r="4964" spans="1:1" x14ac:dyDescent="0.35">
      <c r="A4964" s="16" t="s">
        <v>7544</v>
      </c>
    </row>
    <row r="4965" spans="1:1" x14ac:dyDescent="0.35">
      <c r="A4965" s="16" t="s">
        <v>7545</v>
      </c>
    </row>
    <row r="4966" spans="1:1" x14ac:dyDescent="0.35">
      <c r="A4966" s="16" t="s">
        <v>7546</v>
      </c>
    </row>
    <row r="4967" spans="1:1" x14ac:dyDescent="0.35">
      <c r="A4967" s="16" t="s">
        <v>7547</v>
      </c>
    </row>
    <row r="4968" spans="1:1" x14ac:dyDescent="0.35">
      <c r="A4968" s="16" t="s">
        <v>7548</v>
      </c>
    </row>
    <row r="4969" spans="1:1" x14ac:dyDescent="0.35">
      <c r="A4969" s="16" t="s">
        <v>7549</v>
      </c>
    </row>
    <row r="4970" spans="1:1" x14ac:dyDescent="0.35">
      <c r="A4970" s="16" t="s">
        <v>7550</v>
      </c>
    </row>
    <row r="4971" spans="1:1" x14ac:dyDescent="0.35">
      <c r="A4971" s="16" t="s">
        <v>7551</v>
      </c>
    </row>
    <row r="4972" spans="1:1" x14ac:dyDescent="0.35">
      <c r="A4972" s="16" t="s">
        <v>7552</v>
      </c>
    </row>
    <row r="4973" spans="1:1" x14ac:dyDescent="0.35">
      <c r="A4973" s="16" t="s">
        <v>7553</v>
      </c>
    </row>
    <row r="4974" spans="1:1" x14ac:dyDescent="0.35">
      <c r="A4974" s="16" t="s">
        <v>7554</v>
      </c>
    </row>
    <row r="4975" spans="1:1" x14ac:dyDescent="0.35">
      <c r="A4975" s="16" t="s">
        <v>7555</v>
      </c>
    </row>
    <row r="4976" spans="1:1" x14ac:dyDescent="0.35">
      <c r="A4976" s="16" t="s">
        <v>7556</v>
      </c>
    </row>
    <row r="4977" spans="1:1" x14ac:dyDescent="0.35">
      <c r="A4977" s="16" t="s">
        <v>7557</v>
      </c>
    </row>
    <row r="4978" spans="1:1" x14ac:dyDescent="0.35">
      <c r="A4978" s="16" t="s">
        <v>7558</v>
      </c>
    </row>
    <row r="4979" spans="1:1" x14ac:dyDescent="0.35">
      <c r="A4979" s="16" t="s">
        <v>7559</v>
      </c>
    </row>
    <row r="4980" spans="1:1" x14ac:dyDescent="0.35">
      <c r="A4980" s="16" t="s">
        <v>7560</v>
      </c>
    </row>
    <row r="4981" spans="1:1" x14ac:dyDescent="0.35">
      <c r="A4981" s="16" t="s">
        <v>7561</v>
      </c>
    </row>
    <row r="4982" spans="1:1" x14ac:dyDescent="0.35">
      <c r="A4982" s="16" t="s">
        <v>7562</v>
      </c>
    </row>
    <row r="4983" spans="1:1" x14ac:dyDescent="0.35">
      <c r="A4983" s="16" t="s">
        <v>7563</v>
      </c>
    </row>
    <row r="4984" spans="1:1" x14ac:dyDescent="0.35">
      <c r="A4984" s="16" t="s">
        <v>7564</v>
      </c>
    </row>
    <row r="4985" spans="1:1" x14ac:dyDescent="0.35">
      <c r="A4985" s="16" t="s">
        <v>7565</v>
      </c>
    </row>
    <row r="4986" spans="1:1" x14ac:dyDescent="0.35">
      <c r="A4986" s="16" t="s">
        <v>7566</v>
      </c>
    </row>
    <row r="4987" spans="1:1" x14ac:dyDescent="0.35">
      <c r="A4987" s="16" t="s">
        <v>7567</v>
      </c>
    </row>
    <row r="4988" spans="1:1" x14ac:dyDescent="0.35">
      <c r="A4988" s="16" t="s">
        <v>7568</v>
      </c>
    </row>
    <row r="4989" spans="1:1" x14ac:dyDescent="0.35">
      <c r="A4989" s="16" t="s">
        <v>7569</v>
      </c>
    </row>
    <row r="4990" spans="1:1" x14ac:dyDescent="0.35">
      <c r="A4990" s="16" t="s">
        <v>7570</v>
      </c>
    </row>
    <row r="4991" spans="1:1" x14ac:dyDescent="0.35">
      <c r="A4991" s="16" t="s">
        <v>7571</v>
      </c>
    </row>
    <row r="4992" spans="1:1" x14ac:dyDescent="0.35">
      <c r="A4992" s="16" t="s">
        <v>7572</v>
      </c>
    </row>
    <row r="4993" spans="1:1" x14ac:dyDescent="0.35">
      <c r="A4993" s="16" t="s">
        <v>7573</v>
      </c>
    </row>
    <row r="4994" spans="1:1" x14ac:dyDescent="0.35">
      <c r="A4994" s="16" t="s">
        <v>7574</v>
      </c>
    </row>
    <row r="4995" spans="1:1" ht="29" x14ac:dyDescent="0.35">
      <c r="A4995" s="16" t="s">
        <v>7575</v>
      </c>
    </row>
    <row r="4996" spans="1:1" x14ac:dyDescent="0.35">
      <c r="A4996" s="16" t="s">
        <v>7576</v>
      </c>
    </row>
    <row r="4997" spans="1:1" x14ac:dyDescent="0.35">
      <c r="A4997" s="16" t="s">
        <v>7577</v>
      </c>
    </row>
    <row r="4998" spans="1:1" ht="29" x14ac:dyDescent="0.35">
      <c r="A4998" s="16" t="s">
        <v>7578</v>
      </c>
    </row>
    <row r="4999" spans="1:1" x14ac:dyDescent="0.35">
      <c r="A4999" s="16" t="s">
        <v>7579</v>
      </c>
    </row>
    <row r="5000" spans="1:1" x14ac:dyDescent="0.35">
      <c r="A5000" s="16" t="s">
        <v>7580</v>
      </c>
    </row>
    <row r="5001" spans="1:1" ht="29" x14ac:dyDescent="0.35">
      <c r="A5001" s="16" t="s">
        <v>7581</v>
      </c>
    </row>
    <row r="5002" spans="1:1" x14ac:dyDescent="0.35">
      <c r="A5002" s="16" t="s">
        <v>7582</v>
      </c>
    </row>
    <row r="5003" spans="1:1" x14ac:dyDescent="0.35">
      <c r="A5003" s="16" t="s">
        <v>7583</v>
      </c>
    </row>
    <row r="5004" spans="1:1" x14ac:dyDescent="0.35">
      <c r="A5004" s="16" t="s">
        <v>7584</v>
      </c>
    </row>
    <row r="5005" spans="1:1" x14ac:dyDescent="0.35">
      <c r="A5005" s="16" t="s">
        <v>7585</v>
      </c>
    </row>
    <row r="5006" spans="1:1" ht="29" x14ac:dyDescent="0.35">
      <c r="A5006" s="16" t="s">
        <v>7586</v>
      </c>
    </row>
    <row r="5007" spans="1:1" ht="29" x14ac:dyDescent="0.35">
      <c r="A5007" s="16" t="s">
        <v>7587</v>
      </c>
    </row>
    <row r="5008" spans="1:1" x14ac:dyDescent="0.35">
      <c r="A5008" s="16" t="s">
        <v>7588</v>
      </c>
    </row>
    <row r="5009" spans="1:1" x14ac:dyDescent="0.35">
      <c r="A5009" s="16" t="s">
        <v>7589</v>
      </c>
    </row>
    <row r="5010" spans="1:1" x14ac:dyDescent="0.35">
      <c r="A5010" s="16" t="s">
        <v>7590</v>
      </c>
    </row>
    <row r="5011" spans="1:1" x14ac:dyDescent="0.35">
      <c r="A5011" s="16" t="s">
        <v>7591</v>
      </c>
    </row>
    <row r="5012" spans="1:1" ht="29" x14ac:dyDescent="0.35">
      <c r="A5012" s="16" t="s">
        <v>7592</v>
      </c>
    </row>
    <row r="5013" spans="1:1" ht="29" x14ac:dyDescent="0.35">
      <c r="A5013" s="16" t="s">
        <v>7593</v>
      </c>
    </row>
    <row r="5014" spans="1:1" x14ac:dyDescent="0.35">
      <c r="A5014" s="16" t="s">
        <v>7594</v>
      </c>
    </row>
    <row r="5015" spans="1:1" x14ac:dyDescent="0.35">
      <c r="A5015" s="16" t="s">
        <v>7595</v>
      </c>
    </row>
    <row r="5016" spans="1:1" x14ac:dyDescent="0.35">
      <c r="A5016" s="16" t="s">
        <v>7596</v>
      </c>
    </row>
    <row r="5017" spans="1:1" x14ac:dyDescent="0.35">
      <c r="A5017" s="16" t="s">
        <v>7597</v>
      </c>
    </row>
    <row r="5018" spans="1:1" x14ac:dyDescent="0.35">
      <c r="A5018" s="16" t="s">
        <v>7598</v>
      </c>
    </row>
    <row r="5019" spans="1:1" x14ac:dyDescent="0.35">
      <c r="A5019" s="16" t="s">
        <v>7599</v>
      </c>
    </row>
    <row r="5020" spans="1:1" x14ac:dyDescent="0.35">
      <c r="A5020" s="16" t="s">
        <v>7600</v>
      </c>
    </row>
    <row r="5021" spans="1:1" x14ac:dyDescent="0.35">
      <c r="A5021" s="16" t="s">
        <v>7601</v>
      </c>
    </row>
    <row r="5022" spans="1:1" x14ac:dyDescent="0.35">
      <c r="A5022" s="16" t="s">
        <v>7602</v>
      </c>
    </row>
    <row r="5023" spans="1:1" x14ac:dyDescent="0.35">
      <c r="A5023" s="16" t="s">
        <v>7603</v>
      </c>
    </row>
    <row r="5024" spans="1:1" ht="29" x14ac:dyDescent="0.35">
      <c r="A5024" s="16" t="s">
        <v>7604</v>
      </c>
    </row>
    <row r="5025" spans="1:1" x14ac:dyDescent="0.35">
      <c r="A5025" s="16" t="s">
        <v>7605</v>
      </c>
    </row>
    <row r="5026" spans="1:1" ht="29" x14ac:dyDescent="0.35">
      <c r="A5026" s="16" t="s">
        <v>7606</v>
      </c>
    </row>
    <row r="5027" spans="1:1" x14ac:dyDescent="0.35">
      <c r="A5027" s="16" t="s">
        <v>7607</v>
      </c>
    </row>
    <row r="5028" spans="1:1" x14ac:dyDescent="0.35">
      <c r="A5028" s="16" t="s">
        <v>7608</v>
      </c>
    </row>
    <row r="5029" spans="1:1" x14ac:dyDescent="0.35">
      <c r="A5029" s="16" t="s">
        <v>7609</v>
      </c>
    </row>
    <row r="5030" spans="1:1" x14ac:dyDescent="0.35">
      <c r="A5030" s="16" t="s">
        <v>7610</v>
      </c>
    </row>
    <row r="5031" spans="1:1" x14ac:dyDescent="0.35">
      <c r="A5031" s="16" t="s">
        <v>7611</v>
      </c>
    </row>
    <row r="5032" spans="1:1" x14ac:dyDescent="0.35">
      <c r="A5032" s="16" t="s">
        <v>7612</v>
      </c>
    </row>
    <row r="5033" spans="1:1" x14ac:dyDescent="0.35">
      <c r="A5033" s="16" t="s">
        <v>7613</v>
      </c>
    </row>
    <row r="5034" spans="1:1" x14ac:dyDescent="0.35">
      <c r="A5034" s="16" t="s">
        <v>7614</v>
      </c>
    </row>
    <row r="5035" spans="1:1" x14ac:dyDescent="0.35">
      <c r="A5035" s="16" t="s">
        <v>7615</v>
      </c>
    </row>
    <row r="5036" spans="1:1" x14ac:dyDescent="0.35">
      <c r="A5036" s="16" t="s">
        <v>7616</v>
      </c>
    </row>
    <row r="5037" spans="1:1" x14ac:dyDescent="0.35">
      <c r="A5037" s="16" t="s">
        <v>7617</v>
      </c>
    </row>
    <row r="5038" spans="1:1" x14ac:dyDescent="0.35">
      <c r="A5038" s="16" t="s">
        <v>7618</v>
      </c>
    </row>
    <row r="5039" spans="1:1" x14ac:dyDescent="0.35">
      <c r="A5039" s="16" t="s">
        <v>7619</v>
      </c>
    </row>
    <row r="5040" spans="1:1" x14ac:dyDescent="0.35">
      <c r="A5040" s="16" t="s">
        <v>7620</v>
      </c>
    </row>
    <row r="5041" spans="1:1" x14ac:dyDescent="0.35">
      <c r="A5041" s="16" t="s">
        <v>7621</v>
      </c>
    </row>
    <row r="5042" spans="1:1" x14ac:dyDescent="0.35">
      <c r="A5042" s="16" t="s">
        <v>7622</v>
      </c>
    </row>
    <row r="5043" spans="1:1" x14ac:dyDescent="0.35">
      <c r="A5043" s="16" t="s">
        <v>7623</v>
      </c>
    </row>
    <row r="5044" spans="1:1" x14ac:dyDescent="0.35">
      <c r="A5044" s="16" t="s">
        <v>7624</v>
      </c>
    </row>
    <row r="5045" spans="1:1" x14ac:dyDescent="0.35">
      <c r="A5045" s="16" t="s">
        <v>7625</v>
      </c>
    </row>
    <row r="5046" spans="1:1" x14ac:dyDescent="0.35">
      <c r="A5046" s="16" t="s">
        <v>7626</v>
      </c>
    </row>
    <row r="5047" spans="1:1" x14ac:dyDescent="0.35">
      <c r="A5047" s="16" t="s">
        <v>7627</v>
      </c>
    </row>
    <row r="5048" spans="1:1" x14ac:dyDescent="0.35">
      <c r="A5048" s="16" t="s">
        <v>7628</v>
      </c>
    </row>
    <row r="5049" spans="1:1" x14ac:dyDescent="0.35">
      <c r="A5049" s="16" t="s">
        <v>7629</v>
      </c>
    </row>
    <row r="5050" spans="1:1" x14ac:dyDescent="0.35">
      <c r="A5050" s="16" t="s">
        <v>7630</v>
      </c>
    </row>
    <row r="5051" spans="1:1" x14ac:dyDescent="0.35">
      <c r="A5051" s="16" t="s">
        <v>7631</v>
      </c>
    </row>
    <row r="5052" spans="1:1" x14ac:dyDescent="0.35">
      <c r="A5052" s="16" t="s">
        <v>7632</v>
      </c>
    </row>
    <row r="5053" spans="1:1" x14ac:dyDescent="0.35">
      <c r="A5053" s="16" t="s">
        <v>7633</v>
      </c>
    </row>
    <row r="5054" spans="1:1" x14ac:dyDescent="0.35">
      <c r="A5054" s="16" t="s">
        <v>7634</v>
      </c>
    </row>
    <row r="5055" spans="1:1" x14ac:dyDescent="0.35">
      <c r="A5055" s="16" t="s">
        <v>7635</v>
      </c>
    </row>
    <row r="5056" spans="1:1" x14ac:dyDescent="0.35">
      <c r="A5056" s="16" t="s">
        <v>7636</v>
      </c>
    </row>
    <row r="5057" spans="1:1" x14ac:dyDescent="0.35">
      <c r="A5057" s="16" t="s">
        <v>7637</v>
      </c>
    </row>
    <row r="5058" spans="1:1" x14ac:dyDescent="0.35">
      <c r="A5058" s="16" t="s">
        <v>7638</v>
      </c>
    </row>
    <row r="5059" spans="1:1" x14ac:dyDescent="0.35">
      <c r="A5059" s="16" t="s">
        <v>7639</v>
      </c>
    </row>
    <row r="5060" spans="1:1" x14ac:dyDescent="0.35">
      <c r="A5060" s="16" t="s">
        <v>7640</v>
      </c>
    </row>
    <row r="5061" spans="1:1" x14ac:dyDescent="0.35">
      <c r="A5061" s="16" t="s">
        <v>7641</v>
      </c>
    </row>
    <row r="5062" spans="1:1" x14ac:dyDescent="0.35">
      <c r="A5062" s="16" t="s">
        <v>7642</v>
      </c>
    </row>
    <row r="5063" spans="1:1" x14ac:dyDescent="0.35">
      <c r="A5063" s="16" t="s">
        <v>7643</v>
      </c>
    </row>
    <row r="5064" spans="1:1" x14ac:dyDescent="0.35">
      <c r="A5064" s="16" t="s">
        <v>7644</v>
      </c>
    </row>
    <row r="5065" spans="1:1" x14ac:dyDescent="0.35">
      <c r="A5065" s="16" t="s">
        <v>7645</v>
      </c>
    </row>
    <row r="5066" spans="1:1" x14ac:dyDescent="0.35">
      <c r="A5066" s="16" t="s">
        <v>7646</v>
      </c>
    </row>
    <row r="5067" spans="1:1" ht="29" x14ac:dyDescent="0.35">
      <c r="A5067" s="16" t="s">
        <v>7647</v>
      </c>
    </row>
    <row r="5068" spans="1:1" x14ac:dyDescent="0.35">
      <c r="A5068" s="16" t="s">
        <v>7648</v>
      </c>
    </row>
    <row r="5069" spans="1:1" x14ac:dyDescent="0.35">
      <c r="A5069" s="16" t="s">
        <v>7649</v>
      </c>
    </row>
    <row r="5070" spans="1:1" x14ac:dyDescent="0.35">
      <c r="A5070" s="16" t="s">
        <v>7650</v>
      </c>
    </row>
    <row r="5071" spans="1:1" x14ac:dyDescent="0.35">
      <c r="A5071" s="16" t="s">
        <v>7651</v>
      </c>
    </row>
    <row r="5072" spans="1:1" x14ac:dyDescent="0.35">
      <c r="A5072" s="16" t="s">
        <v>7652</v>
      </c>
    </row>
    <row r="5073" spans="1:1" x14ac:dyDescent="0.35">
      <c r="A5073" s="16" t="s">
        <v>7653</v>
      </c>
    </row>
    <row r="5074" spans="1:1" ht="29" x14ac:dyDescent="0.35">
      <c r="A5074" s="16" t="s">
        <v>7654</v>
      </c>
    </row>
    <row r="5075" spans="1:1" x14ac:dyDescent="0.35">
      <c r="A5075" s="16" t="s">
        <v>7655</v>
      </c>
    </row>
    <row r="5076" spans="1:1" x14ac:dyDescent="0.35">
      <c r="A5076" s="16" t="s">
        <v>7656</v>
      </c>
    </row>
    <row r="5077" spans="1:1" x14ac:dyDescent="0.35">
      <c r="A5077" s="16" t="s">
        <v>7657</v>
      </c>
    </row>
    <row r="5078" spans="1:1" x14ac:dyDescent="0.35">
      <c r="A5078" s="16" t="s">
        <v>7658</v>
      </c>
    </row>
    <row r="5079" spans="1:1" x14ac:dyDescent="0.35">
      <c r="A5079" s="16" t="s">
        <v>7659</v>
      </c>
    </row>
    <row r="5080" spans="1:1" x14ac:dyDescent="0.35">
      <c r="A5080" s="16" t="s">
        <v>7660</v>
      </c>
    </row>
    <row r="5081" spans="1:1" x14ac:dyDescent="0.35">
      <c r="A5081" s="16" t="s">
        <v>7661</v>
      </c>
    </row>
    <row r="5082" spans="1:1" x14ac:dyDescent="0.35">
      <c r="A5082" s="16" t="s">
        <v>7662</v>
      </c>
    </row>
    <row r="5083" spans="1:1" x14ac:dyDescent="0.35">
      <c r="A5083" s="16" t="s">
        <v>7663</v>
      </c>
    </row>
    <row r="5084" spans="1:1" x14ac:dyDescent="0.35">
      <c r="A5084" s="16" t="s">
        <v>7664</v>
      </c>
    </row>
    <row r="5085" spans="1:1" ht="29" x14ac:dyDescent="0.35">
      <c r="A5085" s="16" t="s">
        <v>7665</v>
      </c>
    </row>
    <row r="5086" spans="1:1" x14ac:dyDescent="0.35">
      <c r="A5086" s="16" t="s">
        <v>7666</v>
      </c>
    </row>
    <row r="5087" spans="1:1" x14ac:dyDescent="0.35">
      <c r="A5087" s="16" t="s">
        <v>7667</v>
      </c>
    </row>
    <row r="5088" spans="1:1" x14ac:dyDescent="0.35">
      <c r="A5088" s="16" t="s">
        <v>7668</v>
      </c>
    </row>
    <row r="5089" spans="1:1" x14ac:dyDescent="0.35">
      <c r="A5089" s="16" t="s">
        <v>7669</v>
      </c>
    </row>
    <row r="5090" spans="1:1" x14ac:dyDescent="0.35">
      <c r="A5090" s="16" t="s">
        <v>7670</v>
      </c>
    </row>
    <row r="5091" spans="1:1" x14ac:dyDescent="0.35">
      <c r="A5091" s="16" t="s">
        <v>7671</v>
      </c>
    </row>
    <row r="5092" spans="1:1" x14ac:dyDescent="0.35">
      <c r="A5092" s="16" t="s">
        <v>7672</v>
      </c>
    </row>
    <row r="5093" spans="1:1" x14ac:dyDescent="0.35">
      <c r="A5093" s="16" t="s">
        <v>7673</v>
      </c>
    </row>
    <row r="5094" spans="1:1" x14ac:dyDescent="0.35">
      <c r="A5094" s="16" t="s">
        <v>7674</v>
      </c>
    </row>
    <row r="5095" spans="1:1" x14ac:dyDescent="0.35">
      <c r="A5095" s="16" t="s">
        <v>7675</v>
      </c>
    </row>
    <row r="5096" spans="1:1" x14ac:dyDescent="0.35">
      <c r="A5096" s="16" t="s">
        <v>7676</v>
      </c>
    </row>
    <row r="5097" spans="1:1" ht="29" x14ac:dyDescent="0.35">
      <c r="A5097" s="16" t="s">
        <v>7677</v>
      </c>
    </row>
    <row r="5098" spans="1:1" x14ac:dyDescent="0.35">
      <c r="A5098" s="16" t="s">
        <v>7678</v>
      </c>
    </row>
    <row r="5099" spans="1:1" x14ac:dyDescent="0.35">
      <c r="A5099" s="16" t="s">
        <v>7679</v>
      </c>
    </row>
    <row r="5100" spans="1:1" x14ac:dyDescent="0.35">
      <c r="A5100" s="16" t="s">
        <v>7680</v>
      </c>
    </row>
    <row r="5101" spans="1:1" x14ac:dyDescent="0.35">
      <c r="A5101" s="16" t="s">
        <v>7681</v>
      </c>
    </row>
    <row r="5102" spans="1:1" x14ac:dyDescent="0.35">
      <c r="A5102" s="16" t="s">
        <v>7682</v>
      </c>
    </row>
    <row r="5103" spans="1:1" ht="29" x14ac:dyDescent="0.35">
      <c r="A5103" s="16" t="s">
        <v>7683</v>
      </c>
    </row>
    <row r="5104" spans="1:1" x14ac:dyDescent="0.35">
      <c r="A5104" s="16" t="s">
        <v>7684</v>
      </c>
    </row>
    <row r="5105" spans="1:1" x14ac:dyDescent="0.35">
      <c r="A5105" s="16" t="s">
        <v>7685</v>
      </c>
    </row>
    <row r="5106" spans="1:1" x14ac:dyDescent="0.35">
      <c r="A5106" s="16" t="s">
        <v>7686</v>
      </c>
    </row>
    <row r="5107" spans="1:1" x14ac:dyDescent="0.35">
      <c r="A5107" s="16" t="s">
        <v>7687</v>
      </c>
    </row>
    <row r="5108" spans="1:1" x14ac:dyDescent="0.35">
      <c r="A5108" s="16" t="s">
        <v>7688</v>
      </c>
    </row>
    <row r="5109" spans="1:1" x14ac:dyDescent="0.35">
      <c r="A5109" s="16" t="s">
        <v>7689</v>
      </c>
    </row>
    <row r="5110" spans="1:1" x14ac:dyDescent="0.35">
      <c r="A5110" s="16" t="s">
        <v>7690</v>
      </c>
    </row>
    <row r="5111" spans="1:1" x14ac:dyDescent="0.35">
      <c r="A5111" s="16" t="s">
        <v>7691</v>
      </c>
    </row>
    <row r="5112" spans="1:1" x14ac:dyDescent="0.35">
      <c r="A5112" s="16" t="s">
        <v>7692</v>
      </c>
    </row>
    <row r="5113" spans="1:1" x14ac:dyDescent="0.35">
      <c r="A5113" s="16" t="s">
        <v>7693</v>
      </c>
    </row>
    <row r="5114" spans="1:1" x14ac:dyDescent="0.35">
      <c r="A5114" s="16" t="s">
        <v>7694</v>
      </c>
    </row>
    <row r="5115" spans="1:1" ht="29" x14ac:dyDescent="0.35">
      <c r="A5115" s="16" t="s">
        <v>7695</v>
      </c>
    </row>
    <row r="5116" spans="1:1" x14ac:dyDescent="0.35">
      <c r="A5116" s="16" t="s">
        <v>7696</v>
      </c>
    </row>
    <row r="5117" spans="1:1" x14ac:dyDescent="0.35">
      <c r="A5117" s="16" t="s">
        <v>7697</v>
      </c>
    </row>
    <row r="5118" spans="1:1" ht="29" x14ac:dyDescent="0.35">
      <c r="A5118" s="16" t="s">
        <v>7698</v>
      </c>
    </row>
    <row r="5119" spans="1:1" x14ac:dyDescent="0.35">
      <c r="A5119" s="16" t="s">
        <v>7699</v>
      </c>
    </row>
    <row r="5120" spans="1:1" x14ac:dyDescent="0.35">
      <c r="A5120" s="16" t="s">
        <v>7700</v>
      </c>
    </row>
    <row r="5121" spans="1:1" ht="29" x14ac:dyDescent="0.35">
      <c r="A5121" s="16" t="s">
        <v>7701</v>
      </c>
    </row>
    <row r="5122" spans="1:1" x14ac:dyDescent="0.35">
      <c r="A5122" s="16" t="s">
        <v>7702</v>
      </c>
    </row>
    <row r="5123" spans="1:1" x14ac:dyDescent="0.35">
      <c r="A5123" s="16" t="s">
        <v>7703</v>
      </c>
    </row>
    <row r="5124" spans="1:1" x14ac:dyDescent="0.35">
      <c r="A5124" s="16" t="s">
        <v>7704</v>
      </c>
    </row>
    <row r="5125" spans="1:1" x14ac:dyDescent="0.35">
      <c r="A5125" s="16" t="s">
        <v>7705</v>
      </c>
    </row>
    <row r="5126" spans="1:1" x14ac:dyDescent="0.35">
      <c r="A5126" s="16" t="s">
        <v>7706</v>
      </c>
    </row>
    <row r="5127" spans="1:1" x14ac:dyDescent="0.35">
      <c r="A5127" s="16" t="s">
        <v>7707</v>
      </c>
    </row>
    <row r="5128" spans="1:1" x14ac:dyDescent="0.35">
      <c r="A5128" s="16" t="s">
        <v>7708</v>
      </c>
    </row>
    <row r="5129" spans="1:1" x14ac:dyDescent="0.35">
      <c r="A5129" s="16" t="s">
        <v>7709</v>
      </c>
    </row>
    <row r="5130" spans="1:1" x14ac:dyDescent="0.35">
      <c r="A5130" s="16" t="s">
        <v>7710</v>
      </c>
    </row>
    <row r="5131" spans="1:1" x14ac:dyDescent="0.35">
      <c r="A5131" s="16" t="s">
        <v>7711</v>
      </c>
    </row>
    <row r="5132" spans="1:1" x14ac:dyDescent="0.35">
      <c r="A5132" s="16" t="s">
        <v>7712</v>
      </c>
    </row>
    <row r="5133" spans="1:1" x14ac:dyDescent="0.35">
      <c r="A5133" s="16" t="s">
        <v>7713</v>
      </c>
    </row>
    <row r="5134" spans="1:1" x14ac:dyDescent="0.35">
      <c r="A5134" s="16" t="s">
        <v>7714</v>
      </c>
    </row>
    <row r="5135" spans="1:1" x14ac:dyDescent="0.35">
      <c r="A5135" s="16" t="s">
        <v>7715</v>
      </c>
    </row>
    <row r="5136" spans="1:1" x14ac:dyDescent="0.35">
      <c r="A5136" s="16" t="s">
        <v>7716</v>
      </c>
    </row>
    <row r="5137" spans="1:1" x14ac:dyDescent="0.35">
      <c r="A5137" s="16" t="s">
        <v>7717</v>
      </c>
    </row>
    <row r="5138" spans="1:1" x14ac:dyDescent="0.35">
      <c r="A5138" s="16" t="s">
        <v>7718</v>
      </c>
    </row>
    <row r="5139" spans="1:1" x14ac:dyDescent="0.35">
      <c r="A5139" s="16" t="s">
        <v>7719</v>
      </c>
    </row>
    <row r="5140" spans="1:1" x14ac:dyDescent="0.35">
      <c r="A5140" s="16" t="s">
        <v>7720</v>
      </c>
    </row>
    <row r="5141" spans="1:1" ht="29" x14ac:dyDescent="0.35">
      <c r="A5141" s="16" t="s">
        <v>7721</v>
      </c>
    </row>
    <row r="5142" spans="1:1" x14ac:dyDescent="0.35">
      <c r="A5142" s="16" t="s">
        <v>7722</v>
      </c>
    </row>
    <row r="5143" spans="1:1" x14ac:dyDescent="0.35">
      <c r="A5143" s="16" t="s">
        <v>7723</v>
      </c>
    </row>
    <row r="5144" spans="1:1" x14ac:dyDescent="0.35">
      <c r="A5144" s="16" t="s">
        <v>7724</v>
      </c>
    </row>
  </sheetData>
  <mergeCells count="1">
    <mergeCell ref="A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9"/>
  <sheetViews>
    <sheetView workbookViewId="0">
      <selection sqref="A1:S1"/>
    </sheetView>
  </sheetViews>
  <sheetFormatPr defaultRowHeight="14.5" x14ac:dyDescent="0.35"/>
  <cols>
    <col min="2" max="2" width="10.453125" customWidth="1"/>
    <col min="3" max="3" width="23" bestFit="1" customWidth="1"/>
  </cols>
  <sheetData>
    <row r="1" spans="1:19" x14ac:dyDescent="0.35">
      <c r="A1" s="84" t="s">
        <v>7729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x14ac:dyDescent="0.35">
      <c r="B3" s="65" t="s">
        <v>7727</v>
      </c>
      <c r="C3" s="65" t="s">
        <v>7728</v>
      </c>
    </row>
    <row r="4" spans="1:19" x14ac:dyDescent="0.35">
      <c r="B4" s="69">
        <v>12210080</v>
      </c>
      <c r="C4" s="26"/>
    </row>
    <row r="5" spans="1:19" x14ac:dyDescent="0.35">
      <c r="B5" s="69">
        <v>12210085</v>
      </c>
      <c r="C5" s="26"/>
    </row>
    <row r="6" spans="1:19" x14ac:dyDescent="0.35">
      <c r="B6" s="69">
        <v>12210095</v>
      </c>
      <c r="C6" s="26"/>
    </row>
    <row r="7" spans="1:19" x14ac:dyDescent="0.35">
      <c r="B7" s="69">
        <v>12210128</v>
      </c>
      <c r="C7" s="26"/>
    </row>
    <row r="8" spans="1:19" x14ac:dyDescent="0.35">
      <c r="B8" s="69">
        <v>12210132</v>
      </c>
      <c r="C8" s="26"/>
    </row>
    <row r="9" spans="1:19" x14ac:dyDescent="0.35">
      <c r="B9" s="69">
        <v>12210136</v>
      </c>
      <c r="C9" s="26"/>
    </row>
    <row r="10" spans="1:19" x14ac:dyDescent="0.35">
      <c r="B10" s="69">
        <v>12210141</v>
      </c>
      <c r="C10" s="26"/>
    </row>
    <row r="11" spans="1:19" x14ac:dyDescent="0.35">
      <c r="B11" s="69">
        <v>13210002</v>
      </c>
      <c r="C11" s="26"/>
    </row>
    <row r="12" spans="1:19" x14ac:dyDescent="0.35">
      <c r="B12" s="69">
        <v>13210003</v>
      </c>
      <c r="C12" s="26"/>
    </row>
    <row r="13" spans="1:19" x14ac:dyDescent="0.35">
      <c r="B13" s="69">
        <v>14210008</v>
      </c>
      <c r="C13" s="26"/>
    </row>
    <row r="14" spans="1:19" x14ac:dyDescent="0.35">
      <c r="B14" s="69">
        <v>14210009</v>
      </c>
      <c r="C14" s="26"/>
    </row>
    <row r="15" spans="1:19" x14ac:dyDescent="0.35">
      <c r="B15" s="69">
        <v>14210012</v>
      </c>
      <c r="C15" s="26"/>
    </row>
    <row r="16" spans="1:19" x14ac:dyDescent="0.35">
      <c r="B16" s="69">
        <v>14210014</v>
      </c>
      <c r="C16" s="26"/>
    </row>
    <row r="17" spans="2:3" x14ac:dyDescent="0.35">
      <c r="B17" s="69">
        <v>14210016</v>
      </c>
      <c r="C17" s="26"/>
    </row>
    <row r="18" spans="2:3" x14ac:dyDescent="0.35">
      <c r="B18" s="69">
        <v>14210121</v>
      </c>
      <c r="C18" s="26"/>
    </row>
    <row r="19" spans="2:3" x14ac:dyDescent="0.35">
      <c r="B19" s="69">
        <v>14210140</v>
      </c>
      <c r="C19" s="26"/>
    </row>
  </sheetData>
  <mergeCells count="1">
    <mergeCell ref="A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"/>
  <sheetViews>
    <sheetView workbookViewId="0">
      <selection sqref="A1:S1"/>
    </sheetView>
  </sheetViews>
  <sheetFormatPr defaultRowHeight="14.5" x14ac:dyDescent="0.35"/>
  <cols>
    <col min="4" max="4" width="14.1796875" bestFit="1" customWidth="1"/>
  </cols>
  <sheetData>
    <row r="1" spans="1:19" x14ac:dyDescent="0.35">
      <c r="A1" s="84" t="s">
        <v>7732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6" spans="1:19" ht="21" x14ac:dyDescent="0.5">
      <c r="C6" s="76" t="s">
        <v>7730</v>
      </c>
      <c r="D6" s="76" t="s">
        <v>7731</v>
      </c>
    </row>
    <row r="7" spans="1:19" ht="18.5" x14ac:dyDescent="0.45">
      <c r="C7" s="77">
        <v>2009</v>
      </c>
      <c r="D7" s="77">
        <v>116792</v>
      </c>
    </row>
    <row r="8" spans="1:19" ht="18.5" x14ac:dyDescent="0.45">
      <c r="C8" s="77">
        <v>2010</v>
      </c>
      <c r="D8" s="77">
        <v>130411</v>
      </c>
    </row>
    <row r="9" spans="1:19" ht="18.5" x14ac:dyDescent="0.45">
      <c r="C9" s="77">
        <v>2011</v>
      </c>
      <c r="D9" s="77">
        <v>127321</v>
      </c>
    </row>
    <row r="10" spans="1:19" ht="18.5" x14ac:dyDescent="0.45">
      <c r="C10" s="77">
        <v>2012</v>
      </c>
      <c r="D10" s="77">
        <v>135671</v>
      </c>
    </row>
  </sheetData>
  <mergeCells count="1">
    <mergeCell ref="A1:S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709"/>
  <sheetViews>
    <sheetView workbookViewId="0">
      <pane ySplit="1" topLeftCell="A2" activePane="bottomLeft" state="frozen"/>
      <selection pane="bottomLeft" activeCell="A2" sqref="A2:R20"/>
    </sheetView>
  </sheetViews>
  <sheetFormatPr defaultRowHeight="14.5" x14ac:dyDescent="0.35"/>
  <cols>
    <col min="2" max="2" width="23.54296875" customWidth="1"/>
  </cols>
  <sheetData>
    <row r="1" spans="1:19" x14ac:dyDescent="0.35">
      <c r="A1" s="84" t="s">
        <v>7733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x14ac:dyDescent="0.35">
      <c r="A2" s="71" t="s">
        <v>517</v>
      </c>
      <c r="B2" s="71" t="s">
        <v>518</v>
      </c>
      <c r="C2" s="71" t="s">
        <v>519</v>
      </c>
      <c r="D2" s="71" t="s">
        <v>520</v>
      </c>
      <c r="E2" s="71" t="s">
        <v>521</v>
      </c>
      <c r="F2" s="71" t="s">
        <v>522</v>
      </c>
      <c r="G2" s="71" t="s">
        <v>3</v>
      </c>
      <c r="H2" s="71" t="s">
        <v>5</v>
      </c>
      <c r="I2" s="71" t="s">
        <v>7</v>
      </c>
      <c r="J2" s="71" t="s">
        <v>9</v>
      </c>
      <c r="K2" s="71" t="s">
        <v>10</v>
      </c>
      <c r="L2" s="71" t="s">
        <v>12</v>
      </c>
      <c r="M2" s="71" t="s">
        <v>13</v>
      </c>
      <c r="N2" s="71" t="s">
        <v>14</v>
      </c>
      <c r="O2" s="71" t="s">
        <v>15</v>
      </c>
      <c r="P2" s="71" t="s">
        <v>16</v>
      </c>
      <c r="Q2" s="71" t="s">
        <v>17</v>
      </c>
      <c r="R2" s="71" t="s">
        <v>130</v>
      </c>
    </row>
    <row r="3" spans="1:19" x14ac:dyDescent="0.35">
      <c r="A3" s="69">
        <v>11210001</v>
      </c>
      <c r="B3" s="69" t="s">
        <v>523</v>
      </c>
      <c r="C3" s="69" t="s">
        <v>524</v>
      </c>
      <c r="D3" s="69">
        <v>9665495080</v>
      </c>
      <c r="E3" s="69" t="s">
        <v>525</v>
      </c>
      <c r="F3" s="69" t="s">
        <v>526</v>
      </c>
      <c r="G3" s="26">
        <v>11</v>
      </c>
      <c r="H3" s="26"/>
      <c r="I3" s="26">
        <v>26</v>
      </c>
      <c r="J3" s="26">
        <v>33</v>
      </c>
      <c r="K3" s="26">
        <v>8</v>
      </c>
      <c r="L3" s="26">
        <v>6</v>
      </c>
      <c r="M3" s="26">
        <v>7</v>
      </c>
      <c r="N3" s="26">
        <v>5</v>
      </c>
      <c r="O3" s="26">
        <v>4</v>
      </c>
      <c r="P3" s="26">
        <v>6</v>
      </c>
      <c r="Q3" s="70">
        <v>3</v>
      </c>
      <c r="R3" s="26">
        <v>109</v>
      </c>
    </row>
    <row r="4" spans="1:19" x14ac:dyDescent="0.35">
      <c r="A4" s="69">
        <v>11210003</v>
      </c>
      <c r="B4" s="69" t="s">
        <v>527</v>
      </c>
      <c r="C4" s="69" t="s">
        <v>528</v>
      </c>
      <c r="D4" s="69">
        <v>9822464931</v>
      </c>
      <c r="E4" s="69" t="s">
        <v>529</v>
      </c>
      <c r="F4" s="69" t="s">
        <v>526</v>
      </c>
      <c r="G4" s="26">
        <v>19</v>
      </c>
      <c r="H4" s="26">
        <v>5</v>
      </c>
      <c r="I4" s="26">
        <v>31</v>
      </c>
      <c r="J4" s="26">
        <v>49</v>
      </c>
      <c r="K4" s="26">
        <v>10</v>
      </c>
      <c r="L4" s="26">
        <v>24</v>
      </c>
      <c r="M4" s="26">
        <v>11</v>
      </c>
      <c r="N4" s="26">
        <v>13</v>
      </c>
      <c r="O4" s="26">
        <v>4</v>
      </c>
      <c r="P4" s="26">
        <v>5</v>
      </c>
      <c r="Q4" s="70">
        <v>2</v>
      </c>
      <c r="R4" s="26">
        <v>173</v>
      </c>
    </row>
    <row r="5" spans="1:19" x14ac:dyDescent="0.35">
      <c r="A5" s="69">
        <v>11210035</v>
      </c>
      <c r="B5" s="69" t="s">
        <v>530</v>
      </c>
      <c r="C5" s="69" t="s">
        <v>531</v>
      </c>
      <c r="D5" s="69">
        <v>9371166415</v>
      </c>
      <c r="E5" s="69" t="s">
        <v>532</v>
      </c>
      <c r="F5" s="69" t="s">
        <v>526</v>
      </c>
      <c r="G5" s="26">
        <v>23</v>
      </c>
      <c r="H5" s="26"/>
      <c r="I5" s="26">
        <v>61</v>
      </c>
      <c r="J5" s="26">
        <v>26</v>
      </c>
      <c r="K5" s="26" t="s">
        <v>533</v>
      </c>
      <c r="L5" s="26">
        <v>22</v>
      </c>
      <c r="M5" s="26">
        <v>12</v>
      </c>
      <c r="N5" s="26">
        <v>16</v>
      </c>
      <c r="O5" s="26"/>
      <c r="P5" s="26">
        <v>23</v>
      </c>
      <c r="Q5" s="70">
        <v>0</v>
      </c>
      <c r="R5" s="26">
        <v>183</v>
      </c>
    </row>
    <row r="6" spans="1:19" x14ac:dyDescent="0.35">
      <c r="A6" s="69">
        <v>11210036</v>
      </c>
      <c r="B6" s="69" t="s">
        <v>534</v>
      </c>
      <c r="C6" s="69" t="s">
        <v>535</v>
      </c>
      <c r="D6" s="69">
        <v>9420075516</v>
      </c>
      <c r="E6" s="69" t="s">
        <v>536</v>
      </c>
      <c r="F6" s="69" t="s">
        <v>526</v>
      </c>
      <c r="G6" s="26">
        <v>46</v>
      </c>
      <c r="H6" s="26">
        <v>4</v>
      </c>
      <c r="I6" s="26">
        <v>75</v>
      </c>
      <c r="J6" s="26">
        <v>41</v>
      </c>
      <c r="K6" s="26"/>
      <c r="L6" s="26">
        <v>13</v>
      </c>
      <c r="M6" s="26">
        <v>8</v>
      </c>
      <c r="N6" s="26">
        <v>1</v>
      </c>
      <c r="O6" s="26">
        <v>8</v>
      </c>
      <c r="P6" s="26">
        <v>6</v>
      </c>
      <c r="Q6" s="70">
        <v>3</v>
      </c>
      <c r="R6" s="26">
        <v>205</v>
      </c>
    </row>
    <row r="7" spans="1:19" x14ac:dyDescent="0.35">
      <c r="A7" s="69">
        <v>11210136</v>
      </c>
      <c r="B7" s="69" t="s">
        <v>537</v>
      </c>
      <c r="C7" s="69" t="s">
        <v>538</v>
      </c>
      <c r="D7" s="69">
        <v>7588403162</v>
      </c>
      <c r="E7" s="69" t="s">
        <v>539</v>
      </c>
      <c r="F7" s="69" t="s">
        <v>526</v>
      </c>
      <c r="G7" s="26">
        <v>39</v>
      </c>
      <c r="H7" s="26">
        <v>15</v>
      </c>
      <c r="I7" s="26">
        <v>105</v>
      </c>
      <c r="J7" s="26">
        <v>46</v>
      </c>
      <c r="K7" s="26">
        <v>18</v>
      </c>
      <c r="L7" s="26">
        <v>15</v>
      </c>
      <c r="M7" s="26">
        <v>36</v>
      </c>
      <c r="N7" s="26">
        <v>11</v>
      </c>
      <c r="O7" s="26">
        <v>12</v>
      </c>
      <c r="P7" s="26">
        <v>13</v>
      </c>
      <c r="Q7" s="70">
        <v>10</v>
      </c>
      <c r="R7" s="26">
        <v>320</v>
      </c>
    </row>
    <row r="8" spans="1:19" x14ac:dyDescent="0.35">
      <c r="A8" s="69">
        <v>11210183</v>
      </c>
      <c r="B8" s="69" t="s">
        <v>540</v>
      </c>
      <c r="C8" s="69" t="s">
        <v>541</v>
      </c>
      <c r="D8" s="69">
        <v>9422267336</v>
      </c>
      <c r="E8" s="69" t="s">
        <v>542</v>
      </c>
      <c r="F8" s="69" t="s">
        <v>526</v>
      </c>
      <c r="G8" s="26">
        <v>19</v>
      </c>
      <c r="H8" s="26">
        <v>9</v>
      </c>
      <c r="I8" s="26">
        <v>55</v>
      </c>
      <c r="J8" s="26">
        <v>111</v>
      </c>
      <c r="K8" s="26">
        <v>24</v>
      </c>
      <c r="L8" s="26"/>
      <c r="M8" s="26">
        <v>17</v>
      </c>
      <c r="N8" s="26">
        <v>6</v>
      </c>
      <c r="O8" s="26">
        <v>6</v>
      </c>
      <c r="P8" s="26">
        <v>8</v>
      </c>
      <c r="Q8" s="70">
        <v>4</v>
      </c>
      <c r="R8" s="26">
        <v>259</v>
      </c>
    </row>
    <row r="9" spans="1:19" x14ac:dyDescent="0.35">
      <c r="A9" s="69">
        <v>12210001</v>
      </c>
      <c r="B9" s="69" t="s">
        <v>543</v>
      </c>
      <c r="C9" s="69" t="s">
        <v>544</v>
      </c>
      <c r="D9" s="69">
        <v>9422409298</v>
      </c>
      <c r="E9" s="69" t="s">
        <v>545</v>
      </c>
      <c r="F9" s="69" t="s">
        <v>217</v>
      </c>
      <c r="G9" s="26">
        <v>11</v>
      </c>
      <c r="H9" s="26">
        <v>2</v>
      </c>
      <c r="I9" s="26">
        <v>12</v>
      </c>
      <c r="J9" s="26">
        <v>32</v>
      </c>
      <c r="K9" s="26">
        <v>32</v>
      </c>
      <c r="L9" s="26">
        <v>46</v>
      </c>
      <c r="M9" s="26">
        <v>14</v>
      </c>
      <c r="N9" s="26">
        <v>8</v>
      </c>
      <c r="O9" s="26">
        <v>3</v>
      </c>
      <c r="P9" s="26">
        <v>6</v>
      </c>
      <c r="Q9" s="70">
        <v>0</v>
      </c>
      <c r="R9" s="26">
        <v>166</v>
      </c>
    </row>
    <row r="10" spans="1:19" x14ac:dyDescent="0.35">
      <c r="A10" s="69">
        <v>12210002</v>
      </c>
      <c r="B10" s="69" t="s">
        <v>546</v>
      </c>
      <c r="C10" s="69" t="s">
        <v>547</v>
      </c>
      <c r="D10" s="69">
        <v>9422959722</v>
      </c>
      <c r="E10" s="69" t="s">
        <v>548</v>
      </c>
      <c r="F10" s="69" t="s">
        <v>217</v>
      </c>
      <c r="G10" s="26">
        <v>22</v>
      </c>
      <c r="H10" s="26">
        <v>15</v>
      </c>
      <c r="I10" s="26">
        <v>54</v>
      </c>
      <c r="J10" s="26">
        <v>68</v>
      </c>
      <c r="K10" s="26">
        <v>27</v>
      </c>
      <c r="L10" s="26">
        <v>18</v>
      </c>
      <c r="M10" s="26">
        <v>21</v>
      </c>
      <c r="N10" s="26">
        <v>24</v>
      </c>
      <c r="O10" s="26">
        <v>20</v>
      </c>
      <c r="P10" s="26">
        <v>10</v>
      </c>
      <c r="Q10" s="70">
        <v>2</v>
      </c>
      <c r="R10" s="26">
        <v>281</v>
      </c>
    </row>
    <row r="11" spans="1:19" x14ac:dyDescent="0.35">
      <c r="A11" s="69">
        <v>12210003</v>
      </c>
      <c r="B11" s="69" t="s">
        <v>549</v>
      </c>
      <c r="C11" s="69" t="s">
        <v>550</v>
      </c>
      <c r="D11" s="69">
        <v>9422861908</v>
      </c>
      <c r="E11" s="69" t="s">
        <v>551</v>
      </c>
      <c r="F11" s="69" t="s">
        <v>217</v>
      </c>
      <c r="G11" s="26">
        <v>11</v>
      </c>
      <c r="H11" s="26">
        <v>9</v>
      </c>
      <c r="I11" s="26">
        <v>7</v>
      </c>
      <c r="J11" s="26">
        <v>99</v>
      </c>
      <c r="K11" s="26">
        <v>31</v>
      </c>
      <c r="L11" s="26">
        <v>17</v>
      </c>
      <c r="M11" s="26">
        <v>20</v>
      </c>
      <c r="N11" s="26">
        <v>14</v>
      </c>
      <c r="O11" s="26">
        <v>14</v>
      </c>
      <c r="P11" s="26">
        <v>11</v>
      </c>
      <c r="Q11" s="70">
        <v>3</v>
      </c>
      <c r="R11" s="26">
        <v>236</v>
      </c>
    </row>
    <row r="12" spans="1:19" x14ac:dyDescent="0.35">
      <c r="A12" s="69">
        <v>12210050</v>
      </c>
      <c r="B12" s="69" t="s">
        <v>552</v>
      </c>
      <c r="C12" s="69" t="s">
        <v>553</v>
      </c>
      <c r="D12" s="69">
        <v>9921661807</v>
      </c>
      <c r="E12" s="69" t="s">
        <v>554</v>
      </c>
      <c r="F12" s="69" t="s">
        <v>217</v>
      </c>
      <c r="G12" s="26">
        <v>42</v>
      </c>
      <c r="H12" s="26"/>
      <c r="I12" s="26">
        <v>34</v>
      </c>
      <c r="J12" s="26">
        <v>36</v>
      </c>
      <c r="K12" s="26">
        <v>21</v>
      </c>
      <c r="L12" s="26"/>
      <c r="M12" s="26">
        <v>25</v>
      </c>
      <c r="N12" s="26">
        <v>40</v>
      </c>
      <c r="O12" s="26">
        <v>8</v>
      </c>
      <c r="P12" s="26">
        <v>28</v>
      </c>
      <c r="Q12" s="70">
        <v>11</v>
      </c>
      <c r="R12" s="26">
        <v>245</v>
      </c>
    </row>
    <row r="13" spans="1:19" x14ac:dyDescent="0.35">
      <c r="A13" s="69">
        <v>12210061</v>
      </c>
      <c r="B13" s="69" t="s">
        <v>555</v>
      </c>
      <c r="C13" s="69" t="s">
        <v>556</v>
      </c>
      <c r="D13" s="69">
        <v>9423448050</v>
      </c>
      <c r="E13" s="69" t="s">
        <v>557</v>
      </c>
      <c r="F13" s="69" t="s">
        <v>217</v>
      </c>
      <c r="G13" s="26">
        <v>59</v>
      </c>
      <c r="H13" s="26">
        <v>54</v>
      </c>
      <c r="I13" s="26">
        <v>51</v>
      </c>
      <c r="J13" s="26">
        <v>296</v>
      </c>
      <c r="K13" s="26">
        <v>151</v>
      </c>
      <c r="L13" s="26">
        <v>50</v>
      </c>
      <c r="M13" s="26">
        <v>66</v>
      </c>
      <c r="N13" s="26">
        <v>0</v>
      </c>
      <c r="O13" s="26">
        <v>89</v>
      </c>
      <c r="P13" s="26">
        <v>58</v>
      </c>
      <c r="Q13" s="70">
        <v>38</v>
      </c>
      <c r="R13" s="26">
        <v>912</v>
      </c>
    </row>
    <row r="14" spans="1:19" x14ac:dyDescent="0.35">
      <c r="A14" s="69">
        <v>12210079</v>
      </c>
      <c r="B14" s="69" t="s">
        <v>558</v>
      </c>
      <c r="C14" s="69" t="s">
        <v>559</v>
      </c>
      <c r="D14" s="69">
        <v>9423259862</v>
      </c>
      <c r="E14" s="69" t="s">
        <v>560</v>
      </c>
      <c r="F14" s="69" t="s">
        <v>217</v>
      </c>
      <c r="G14" s="26"/>
      <c r="H14" s="26">
        <v>8</v>
      </c>
      <c r="I14" s="26"/>
      <c r="J14" s="26">
        <v>166</v>
      </c>
      <c r="K14" s="26">
        <v>19</v>
      </c>
      <c r="L14" s="26"/>
      <c r="M14" s="26"/>
      <c r="N14" s="26">
        <v>58</v>
      </c>
      <c r="O14" s="26">
        <v>0</v>
      </c>
      <c r="P14" s="26">
        <v>4</v>
      </c>
      <c r="Q14" s="70">
        <v>16</v>
      </c>
      <c r="R14" s="26">
        <v>271</v>
      </c>
    </row>
    <row r="15" spans="1:19" x14ac:dyDescent="0.35">
      <c r="A15" s="69">
        <v>12210080</v>
      </c>
      <c r="B15" s="69" t="s">
        <v>552</v>
      </c>
      <c r="C15" s="69" t="s">
        <v>561</v>
      </c>
      <c r="D15" s="69">
        <v>9921661807</v>
      </c>
      <c r="E15" s="69" t="s">
        <v>554</v>
      </c>
      <c r="F15" s="69" t="s">
        <v>217</v>
      </c>
      <c r="G15" s="26">
        <v>49</v>
      </c>
      <c r="H15" s="26"/>
      <c r="I15" s="26">
        <v>10</v>
      </c>
      <c r="J15" s="26">
        <v>24</v>
      </c>
      <c r="K15" s="26">
        <v>36</v>
      </c>
      <c r="L15" s="26"/>
      <c r="M15" s="26">
        <v>18</v>
      </c>
      <c r="N15" s="26">
        <v>37</v>
      </c>
      <c r="O15" s="26">
        <v>20</v>
      </c>
      <c r="P15" s="26">
        <v>23</v>
      </c>
      <c r="Q15" s="70">
        <v>12</v>
      </c>
      <c r="R15" s="26">
        <v>229</v>
      </c>
    </row>
    <row r="16" spans="1:19" x14ac:dyDescent="0.35">
      <c r="A16" s="69">
        <v>12210085</v>
      </c>
      <c r="B16" s="69" t="s">
        <v>562</v>
      </c>
      <c r="C16" s="69" t="s">
        <v>563</v>
      </c>
      <c r="D16" s="69">
        <v>9765804295</v>
      </c>
      <c r="E16" s="69" t="s">
        <v>564</v>
      </c>
      <c r="F16" s="69" t="s">
        <v>217</v>
      </c>
      <c r="G16" s="26">
        <v>65</v>
      </c>
      <c r="H16" s="26"/>
      <c r="I16" s="26">
        <v>5</v>
      </c>
      <c r="J16" s="26">
        <v>65</v>
      </c>
      <c r="K16" s="26">
        <v>19</v>
      </c>
      <c r="L16" s="26">
        <v>9</v>
      </c>
      <c r="M16" s="26">
        <v>10</v>
      </c>
      <c r="N16" s="26">
        <v>13</v>
      </c>
      <c r="O16" s="26">
        <v>9</v>
      </c>
      <c r="P16" s="26">
        <v>5</v>
      </c>
      <c r="Q16" s="70">
        <v>6</v>
      </c>
      <c r="R16" s="26">
        <v>206</v>
      </c>
    </row>
    <row r="17" spans="1:18" x14ac:dyDescent="0.35">
      <c r="A17" s="69">
        <v>12210095</v>
      </c>
      <c r="B17" s="69" t="s">
        <v>565</v>
      </c>
      <c r="C17" s="69" t="s">
        <v>566</v>
      </c>
      <c r="D17" s="69">
        <v>9881193513</v>
      </c>
      <c r="E17" s="69" t="s">
        <v>567</v>
      </c>
      <c r="F17" s="69" t="s">
        <v>217</v>
      </c>
      <c r="G17" s="26"/>
      <c r="H17" s="26">
        <v>6</v>
      </c>
      <c r="I17" s="26"/>
      <c r="J17" s="26">
        <v>4</v>
      </c>
      <c r="K17" s="26"/>
      <c r="L17" s="26"/>
      <c r="M17" s="26">
        <v>11</v>
      </c>
      <c r="N17" s="26">
        <v>0</v>
      </c>
      <c r="O17" s="26"/>
      <c r="P17" s="26">
        <v>0</v>
      </c>
      <c r="Q17" s="70">
        <v>0</v>
      </c>
      <c r="R17" s="26">
        <v>21</v>
      </c>
    </row>
    <row r="18" spans="1:18" x14ac:dyDescent="0.35">
      <c r="A18" s="69">
        <v>12210128</v>
      </c>
      <c r="B18" s="69" t="s">
        <v>568</v>
      </c>
      <c r="C18" s="69" t="s">
        <v>569</v>
      </c>
      <c r="D18" s="69">
        <v>9175366261</v>
      </c>
      <c r="E18" s="69" t="s">
        <v>570</v>
      </c>
      <c r="F18" s="69" t="s">
        <v>217</v>
      </c>
      <c r="G18" s="26"/>
      <c r="H18" s="26"/>
      <c r="I18" s="26">
        <v>5</v>
      </c>
      <c r="J18" s="26">
        <v>40</v>
      </c>
      <c r="K18" s="26">
        <v>12</v>
      </c>
      <c r="L18" s="26"/>
      <c r="M18" s="26">
        <v>3</v>
      </c>
      <c r="N18" s="26"/>
      <c r="O18" s="26">
        <v>15</v>
      </c>
      <c r="P18" s="26">
        <v>11</v>
      </c>
      <c r="Q18" s="70">
        <v>0</v>
      </c>
      <c r="R18" s="26">
        <v>86</v>
      </c>
    </row>
    <row r="19" spans="1:18" x14ac:dyDescent="0.35">
      <c r="A19" s="69">
        <v>12210132</v>
      </c>
      <c r="B19" s="69" t="s">
        <v>571</v>
      </c>
      <c r="C19" s="69" t="s">
        <v>572</v>
      </c>
      <c r="D19" s="69">
        <v>9860985640</v>
      </c>
      <c r="E19" s="69" t="s">
        <v>573</v>
      </c>
      <c r="F19" s="69" t="s">
        <v>217</v>
      </c>
      <c r="G19" s="26"/>
      <c r="H19" s="26"/>
      <c r="I19" s="26"/>
      <c r="J19" s="26"/>
      <c r="K19" s="26"/>
      <c r="L19" s="26"/>
      <c r="M19" s="26"/>
      <c r="N19" s="26"/>
      <c r="O19" s="26"/>
      <c r="P19" s="26">
        <v>0</v>
      </c>
      <c r="Q19" s="70">
        <v>0</v>
      </c>
      <c r="R19" s="26">
        <v>0</v>
      </c>
    </row>
    <row r="20" spans="1:18" x14ac:dyDescent="0.35">
      <c r="A20" s="69">
        <v>12210136</v>
      </c>
      <c r="B20" s="69" t="s">
        <v>574</v>
      </c>
      <c r="C20" s="69" t="s">
        <v>575</v>
      </c>
      <c r="D20" s="69">
        <v>9850243654</v>
      </c>
      <c r="E20" s="69" t="s">
        <v>570</v>
      </c>
      <c r="F20" s="69" t="s">
        <v>217</v>
      </c>
      <c r="G20" s="26">
        <v>6</v>
      </c>
      <c r="H20" s="26">
        <v>5</v>
      </c>
      <c r="I20" s="26">
        <v>9</v>
      </c>
      <c r="J20" s="26">
        <v>8</v>
      </c>
      <c r="K20" s="26">
        <v>6</v>
      </c>
      <c r="L20" s="26">
        <v>5</v>
      </c>
      <c r="M20" s="26">
        <v>6</v>
      </c>
      <c r="N20" s="26">
        <v>3</v>
      </c>
      <c r="O20" s="26">
        <v>4</v>
      </c>
      <c r="P20" s="26">
        <v>3</v>
      </c>
      <c r="Q20" s="70">
        <v>2</v>
      </c>
      <c r="R20" s="26">
        <v>57</v>
      </c>
    </row>
    <row r="21" spans="1:18" x14ac:dyDescent="0.35">
      <c r="A21" s="69">
        <v>12210141</v>
      </c>
      <c r="B21" s="69" t="s">
        <v>576</v>
      </c>
      <c r="C21" s="69" t="s">
        <v>577</v>
      </c>
      <c r="D21" s="69">
        <v>9850065137</v>
      </c>
      <c r="E21" s="69" t="s">
        <v>578</v>
      </c>
      <c r="F21" s="69" t="s">
        <v>217</v>
      </c>
      <c r="G21" s="26">
        <v>9</v>
      </c>
      <c r="H21" s="26"/>
      <c r="I21" s="26">
        <v>25</v>
      </c>
      <c r="J21" s="26">
        <v>37</v>
      </c>
      <c r="K21" s="26">
        <v>17</v>
      </c>
      <c r="L21" s="26"/>
      <c r="M21" s="26">
        <v>19</v>
      </c>
      <c r="N21" s="26"/>
      <c r="O21" s="26">
        <v>16</v>
      </c>
      <c r="P21" s="26">
        <v>4</v>
      </c>
      <c r="Q21" s="70">
        <v>0</v>
      </c>
      <c r="R21" s="26">
        <v>127</v>
      </c>
    </row>
    <row r="22" spans="1:18" x14ac:dyDescent="0.35">
      <c r="A22" s="69">
        <v>13210002</v>
      </c>
      <c r="B22" s="69" t="s">
        <v>579</v>
      </c>
      <c r="C22" s="69" t="s">
        <v>580</v>
      </c>
      <c r="D22" s="69">
        <v>9860326229</v>
      </c>
      <c r="E22" s="69" t="s">
        <v>581</v>
      </c>
      <c r="F22" s="69" t="s">
        <v>582</v>
      </c>
      <c r="G22" s="26">
        <v>12</v>
      </c>
      <c r="H22" s="26">
        <v>3</v>
      </c>
      <c r="I22" s="26">
        <v>19</v>
      </c>
      <c r="J22" s="26">
        <v>17</v>
      </c>
      <c r="K22" s="26">
        <v>9</v>
      </c>
      <c r="L22" s="26"/>
      <c r="M22" s="26">
        <v>10</v>
      </c>
      <c r="N22" s="26"/>
      <c r="O22" s="26">
        <v>4</v>
      </c>
      <c r="P22" s="26">
        <v>0</v>
      </c>
      <c r="Q22" s="70">
        <v>5</v>
      </c>
      <c r="R22" s="26">
        <v>79</v>
      </c>
    </row>
    <row r="23" spans="1:18" x14ac:dyDescent="0.35">
      <c r="A23" s="69">
        <v>13210003</v>
      </c>
      <c r="B23" s="69" t="s">
        <v>583</v>
      </c>
      <c r="C23" s="69" t="s">
        <v>584</v>
      </c>
      <c r="D23" s="69">
        <v>9970753479</v>
      </c>
      <c r="E23" s="69" t="s">
        <v>585</v>
      </c>
      <c r="F23" s="69" t="s">
        <v>582</v>
      </c>
      <c r="G23" s="26">
        <v>15</v>
      </c>
      <c r="H23" s="26">
        <v>9</v>
      </c>
      <c r="I23" s="26"/>
      <c r="J23" s="26">
        <v>114</v>
      </c>
      <c r="K23" s="26">
        <v>9</v>
      </c>
      <c r="L23" s="26">
        <v>7</v>
      </c>
      <c r="M23" s="26">
        <v>8</v>
      </c>
      <c r="N23" s="26">
        <v>13</v>
      </c>
      <c r="O23" s="26">
        <v>18</v>
      </c>
      <c r="P23" s="26">
        <v>35</v>
      </c>
      <c r="Q23" s="70">
        <v>4</v>
      </c>
      <c r="R23" s="26">
        <v>232</v>
      </c>
    </row>
    <row r="24" spans="1:18" x14ac:dyDescent="0.35">
      <c r="A24" s="69">
        <v>14210008</v>
      </c>
      <c r="B24" s="69" t="s">
        <v>586</v>
      </c>
      <c r="C24" s="69" t="s">
        <v>587</v>
      </c>
      <c r="D24" s="69">
        <v>9373013830</v>
      </c>
      <c r="E24" s="69" t="s">
        <v>588</v>
      </c>
      <c r="F24" s="69" t="s">
        <v>589</v>
      </c>
      <c r="G24" s="26"/>
      <c r="H24" s="26">
        <v>28</v>
      </c>
      <c r="I24" s="26">
        <v>1</v>
      </c>
      <c r="J24" s="26">
        <v>59</v>
      </c>
      <c r="K24" s="26">
        <v>21</v>
      </c>
      <c r="L24" s="26">
        <v>51</v>
      </c>
      <c r="M24" s="26">
        <v>21</v>
      </c>
      <c r="N24" s="26">
        <v>14</v>
      </c>
      <c r="O24" s="26">
        <v>13</v>
      </c>
      <c r="P24" s="26">
        <v>14</v>
      </c>
      <c r="Q24" s="70">
        <v>6</v>
      </c>
      <c r="R24" s="26">
        <v>228</v>
      </c>
    </row>
    <row r="25" spans="1:18" x14ac:dyDescent="0.35">
      <c r="A25" s="69">
        <v>14210009</v>
      </c>
      <c r="B25" s="69" t="s">
        <v>590</v>
      </c>
      <c r="C25" s="69" t="s">
        <v>591</v>
      </c>
      <c r="D25" s="69">
        <v>9822716146</v>
      </c>
      <c r="E25" s="69" t="s">
        <v>592</v>
      </c>
      <c r="F25" s="69" t="s">
        <v>589</v>
      </c>
      <c r="G25" s="26">
        <v>60</v>
      </c>
      <c r="H25" s="26">
        <v>30</v>
      </c>
      <c r="I25" s="26">
        <v>50</v>
      </c>
      <c r="J25" s="26">
        <v>175</v>
      </c>
      <c r="K25" s="26">
        <v>62</v>
      </c>
      <c r="L25" s="26"/>
      <c r="M25" s="26">
        <v>56</v>
      </c>
      <c r="N25" s="26">
        <v>22</v>
      </c>
      <c r="O25" s="26"/>
      <c r="P25" s="26">
        <v>58</v>
      </c>
      <c r="Q25" s="70">
        <v>8</v>
      </c>
      <c r="R25" s="26">
        <v>521</v>
      </c>
    </row>
    <row r="26" spans="1:18" x14ac:dyDescent="0.35">
      <c r="A26" s="69">
        <v>14210012</v>
      </c>
      <c r="B26" s="69" t="s">
        <v>593</v>
      </c>
      <c r="C26" s="69" t="s">
        <v>594</v>
      </c>
      <c r="D26" s="69">
        <v>9370270056</v>
      </c>
      <c r="E26" s="69" t="s">
        <v>595</v>
      </c>
      <c r="F26" s="69" t="s">
        <v>589</v>
      </c>
      <c r="G26" s="26">
        <v>37</v>
      </c>
      <c r="H26" s="26">
        <v>30</v>
      </c>
      <c r="I26" s="26">
        <v>61</v>
      </c>
      <c r="J26" s="26">
        <v>62</v>
      </c>
      <c r="K26" s="26">
        <v>51</v>
      </c>
      <c r="L26" s="26">
        <v>19</v>
      </c>
      <c r="M26" s="26">
        <v>20</v>
      </c>
      <c r="N26" s="26">
        <v>21</v>
      </c>
      <c r="O26" s="26">
        <v>18</v>
      </c>
      <c r="P26" s="26">
        <v>25</v>
      </c>
      <c r="Q26" s="70">
        <v>11</v>
      </c>
      <c r="R26" s="26">
        <v>355</v>
      </c>
    </row>
    <row r="27" spans="1:18" x14ac:dyDescent="0.35">
      <c r="A27" s="69">
        <v>14210014</v>
      </c>
      <c r="B27" s="69" t="s">
        <v>596</v>
      </c>
      <c r="C27" s="69" t="s">
        <v>597</v>
      </c>
      <c r="D27" s="69">
        <v>9422547517</v>
      </c>
      <c r="E27" s="69" t="s">
        <v>598</v>
      </c>
      <c r="F27" s="69" t="s">
        <v>589</v>
      </c>
      <c r="G27" s="26">
        <v>23</v>
      </c>
      <c r="H27" s="26">
        <v>9</v>
      </c>
      <c r="I27" s="26">
        <v>50</v>
      </c>
      <c r="J27" s="26"/>
      <c r="K27" s="26">
        <v>109</v>
      </c>
      <c r="L27" s="26">
        <v>17</v>
      </c>
      <c r="M27" s="26">
        <v>47</v>
      </c>
      <c r="N27" s="26">
        <v>13</v>
      </c>
      <c r="O27" s="26"/>
      <c r="P27" s="26">
        <v>30</v>
      </c>
      <c r="Q27" s="70">
        <v>11</v>
      </c>
      <c r="R27" s="26">
        <v>309</v>
      </c>
    </row>
    <row r="28" spans="1:18" x14ac:dyDescent="0.35">
      <c r="A28" s="69">
        <v>14210016</v>
      </c>
      <c r="B28" s="69" t="s">
        <v>599</v>
      </c>
      <c r="C28" s="69" t="s">
        <v>600</v>
      </c>
      <c r="D28" s="69">
        <v>9371157558</v>
      </c>
      <c r="E28" s="69" t="s">
        <v>601</v>
      </c>
      <c r="F28" s="69" t="s">
        <v>589</v>
      </c>
      <c r="G28" s="26">
        <v>5</v>
      </c>
      <c r="H28" s="26"/>
      <c r="I28" s="26"/>
      <c r="J28" s="26">
        <v>12</v>
      </c>
      <c r="K28" s="26"/>
      <c r="L28" s="26">
        <v>18</v>
      </c>
      <c r="M28" s="26">
        <v>0</v>
      </c>
      <c r="N28" s="26">
        <v>3</v>
      </c>
      <c r="O28" s="26">
        <v>0</v>
      </c>
      <c r="P28" s="26">
        <v>8</v>
      </c>
      <c r="Q28" s="70">
        <v>0</v>
      </c>
      <c r="R28" s="26">
        <v>46</v>
      </c>
    </row>
    <row r="29" spans="1:18" x14ac:dyDescent="0.35">
      <c r="A29" s="69">
        <v>14210121</v>
      </c>
      <c r="B29" s="69" t="s">
        <v>602</v>
      </c>
      <c r="C29" s="69" t="s">
        <v>603</v>
      </c>
      <c r="D29" s="69">
        <v>9766848716</v>
      </c>
      <c r="E29" s="69" t="s">
        <v>604</v>
      </c>
      <c r="F29" s="69" t="s">
        <v>589</v>
      </c>
      <c r="G29" s="26">
        <v>43</v>
      </c>
      <c r="H29" s="26"/>
      <c r="I29" s="26">
        <v>68</v>
      </c>
      <c r="J29" s="26">
        <v>145</v>
      </c>
      <c r="K29" s="26">
        <v>26</v>
      </c>
      <c r="L29" s="26">
        <v>45</v>
      </c>
      <c r="M29" s="26">
        <v>41</v>
      </c>
      <c r="N29" s="26">
        <v>43</v>
      </c>
      <c r="O29" s="26">
        <v>25</v>
      </c>
      <c r="P29" s="26">
        <v>21</v>
      </c>
      <c r="Q29" s="70">
        <v>10</v>
      </c>
      <c r="R29" s="26">
        <v>467</v>
      </c>
    </row>
    <row r="30" spans="1:18" x14ac:dyDescent="0.35">
      <c r="A30" s="69">
        <v>14210140</v>
      </c>
      <c r="B30" s="69" t="s">
        <v>605</v>
      </c>
      <c r="C30" s="69" t="s">
        <v>606</v>
      </c>
      <c r="D30" s="69">
        <v>9373126282</v>
      </c>
      <c r="E30" s="69" t="s">
        <v>607</v>
      </c>
      <c r="F30" s="69" t="s">
        <v>589</v>
      </c>
      <c r="G30" s="26"/>
      <c r="H30" s="26"/>
      <c r="I30" s="26">
        <v>12</v>
      </c>
      <c r="J30" s="26">
        <v>10</v>
      </c>
      <c r="K30" s="26">
        <v>24</v>
      </c>
      <c r="L30" s="26"/>
      <c r="M30" s="26"/>
      <c r="N30" s="26">
        <v>11</v>
      </c>
      <c r="O30" s="26">
        <v>14</v>
      </c>
      <c r="P30" s="26">
        <v>0</v>
      </c>
      <c r="Q30" s="70">
        <v>10</v>
      </c>
      <c r="R30" s="26">
        <v>81</v>
      </c>
    </row>
    <row r="31" spans="1:18" x14ac:dyDescent="0.35">
      <c r="A31" s="69">
        <v>14210144</v>
      </c>
      <c r="B31" s="69" t="s">
        <v>608</v>
      </c>
      <c r="C31" s="69" t="s">
        <v>609</v>
      </c>
      <c r="D31" s="69">
        <v>9970120471</v>
      </c>
      <c r="E31" s="69" t="s">
        <v>610</v>
      </c>
      <c r="F31" s="69" t="s">
        <v>589</v>
      </c>
      <c r="G31" s="26"/>
      <c r="H31" s="26">
        <v>22</v>
      </c>
      <c r="I31" s="26"/>
      <c r="J31" s="26">
        <v>32</v>
      </c>
      <c r="K31" s="26">
        <v>2</v>
      </c>
      <c r="L31" s="26">
        <v>36</v>
      </c>
      <c r="M31" s="26">
        <v>4</v>
      </c>
      <c r="N31" s="26">
        <v>0</v>
      </c>
      <c r="O31" s="26"/>
      <c r="P31" s="26">
        <v>20</v>
      </c>
      <c r="Q31" s="70">
        <v>5</v>
      </c>
      <c r="R31" s="26">
        <v>121</v>
      </c>
    </row>
    <row r="32" spans="1:18" x14ac:dyDescent="0.35">
      <c r="A32" s="69">
        <v>14210147</v>
      </c>
      <c r="B32" s="69" t="s">
        <v>611</v>
      </c>
      <c r="C32" s="69" t="s">
        <v>612</v>
      </c>
      <c r="D32" s="69">
        <v>9860718627</v>
      </c>
      <c r="E32" s="69" t="s">
        <v>613</v>
      </c>
      <c r="F32" s="69" t="s">
        <v>589</v>
      </c>
      <c r="G32" s="26">
        <v>14</v>
      </c>
      <c r="H32" s="26">
        <v>4</v>
      </c>
      <c r="I32" s="26"/>
      <c r="J32" s="26">
        <v>72</v>
      </c>
      <c r="K32" s="26">
        <v>19</v>
      </c>
      <c r="L32" s="26">
        <v>8</v>
      </c>
      <c r="M32" s="26">
        <v>16</v>
      </c>
      <c r="N32" s="26">
        <v>12</v>
      </c>
      <c r="O32" s="26">
        <v>10</v>
      </c>
      <c r="P32" s="26">
        <v>16</v>
      </c>
      <c r="Q32" s="70">
        <v>6</v>
      </c>
      <c r="R32" s="26">
        <v>177</v>
      </c>
    </row>
    <row r="33" spans="1:18" x14ac:dyDescent="0.35">
      <c r="A33" s="69">
        <v>14210148</v>
      </c>
      <c r="B33" s="69" t="s">
        <v>614</v>
      </c>
      <c r="C33" s="69" t="s">
        <v>615</v>
      </c>
      <c r="D33" s="69">
        <v>9225236100</v>
      </c>
      <c r="E33" s="69" t="s">
        <v>616</v>
      </c>
      <c r="F33" s="69" t="s">
        <v>589</v>
      </c>
      <c r="G33" s="26">
        <v>2</v>
      </c>
      <c r="H33" s="26">
        <v>5</v>
      </c>
      <c r="I33" s="26">
        <v>6</v>
      </c>
      <c r="J33" s="26">
        <v>16</v>
      </c>
      <c r="K33" s="26">
        <v>12</v>
      </c>
      <c r="L33" s="26">
        <v>10</v>
      </c>
      <c r="M33" s="26">
        <v>8</v>
      </c>
      <c r="N33" s="26"/>
      <c r="O33" s="26">
        <v>6</v>
      </c>
      <c r="P33" s="26">
        <v>4</v>
      </c>
      <c r="Q33" s="70">
        <v>0</v>
      </c>
      <c r="R33" s="26">
        <v>69</v>
      </c>
    </row>
    <row r="34" spans="1:18" x14ac:dyDescent="0.35">
      <c r="A34" s="69">
        <v>14210172</v>
      </c>
      <c r="B34" s="69" t="s">
        <v>617</v>
      </c>
      <c r="C34" s="69" t="s">
        <v>618</v>
      </c>
      <c r="D34" s="69">
        <v>9923262692</v>
      </c>
      <c r="E34" s="69" t="s">
        <v>619</v>
      </c>
      <c r="F34" s="69" t="s">
        <v>589</v>
      </c>
      <c r="G34" s="26"/>
      <c r="H34" s="26">
        <v>47</v>
      </c>
      <c r="I34" s="26">
        <v>63</v>
      </c>
      <c r="J34" s="26">
        <v>107</v>
      </c>
      <c r="K34" s="26">
        <v>28</v>
      </c>
      <c r="L34" s="26"/>
      <c r="M34" s="26">
        <v>45</v>
      </c>
      <c r="N34" s="26">
        <v>30</v>
      </c>
      <c r="O34" s="26">
        <v>24</v>
      </c>
      <c r="P34" s="26">
        <v>26</v>
      </c>
      <c r="Q34" s="70">
        <v>0</v>
      </c>
      <c r="R34" s="26">
        <v>370</v>
      </c>
    </row>
    <row r="35" spans="1:18" x14ac:dyDescent="0.35">
      <c r="A35" s="69">
        <v>14210173</v>
      </c>
      <c r="B35" s="69" t="s">
        <v>620</v>
      </c>
      <c r="C35" s="69" t="s">
        <v>621</v>
      </c>
      <c r="D35" s="69">
        <v>9423408479</v>
      </c>
      <c r="E35" s="69" t="s">
        <v>622</v>
      </c>
      <c r="F35" s="69" t="s">
        <v>589</v>
      </c>
      <c r="G35" s="26"/>
      <c r="H35" s="26">
        <v>22</v>
      </c>
      <c r="I35" s="26"/>
      <c r="J35" s="26">
        <v>13</v>
      </c>
      <c r="K35" s="26"/>
      <c r="L35" s="26">
        <v>11</v>
      </c>
      <c r="M35" s="26"/>
      <c r="N35" s="26"/>
      <c r="O35" s="26">
        <v>8</v>
      </c>
      <c r="P35" s="26">
        <v>8</v>
      </c>
      <c r="Q35" s="70">
        <v>0</v>
      </c>
      <c r="R35" s="26">
        <v>62</v>
      </c>
    </row>
    <row r="36" spans="1:18" x14ac:dyDescent="0.35">
      <c r="A36" s="69">
        <v>14210176</v>
      </c>
      <c r="B36" s="69" t="s">
        <v>623</v>
      </c>
      <c r="C36" s="69" t="s">
        <v>624</v>
      </c>
      <c r="D36" s="69">
        <v>7385710340</v>
      </c>
      <c r="E36" s="69" t="s">
        <v>625</v>
      </c>
      <c r="F36" s="69" t="s">
        <v>589</v>
      </c>
      <c r="G36" s="26"/>
      <c r="H36" s="26">
        <v>7</v>
      </c>
      <c r="I36" s="26">
        <v>3</v>
      </c>
      <c r="J36" s="26">
        <v>45</v>
      </c>
      <c r="K36" s="26">
        <v>25</v>
      </c>
      <c r="L36" s="26">
        <v>13</v>
      </c>
      <c r="M36" s="26">
        <v>14</v>
      </c>
      <c r="N36" s="26">
        <v>11</v>
      </c>
      <c r="O36" s="26">
        <v>10</v>
      </c>
      <c r="P36" s="26">
        <v>5</v>
      </c>
      <c r="Q36" s="70">
        <v>2</v>
      </c>
      <c r="R36" s="26">
        <v>135</v>
      </c>
    </row>
    <row r="37" spans="1:18" x14ac:dyDescent="0.35">
      <c r="A37" s="69">
        <v>14210180</v>
      </c>
      <c r="B37" s="69" t="s">
        <v>626</v>
      </c>
      <c r="C37" s="69" t="s">
        <v>627</v>
      </c>
      <c r="D37" s="69">
        <v>9422808304</v>
      </c>
      <c r="E37" s="69" t="s">
        <v>628</v>
      </c>
      <c r="F37" s="69" t="s">
        <v>589</v>
      </c>
      <c r="G37" s="26">
        <v>23</v>
      </c>
      <c r="H37" s="26">
        <v>6</v>
      </c>
      <c r="I37" s="26"/>
      <c r="J37" s="26">
        <v>46</v>
      </c>
      <c r="K37" s="26">
        <v>29</v>
      </c>
      <c r="L37" s="26"/>
      <c r="M37" s="26">
        <v>52</v>
      </c>
      <c r="N37" s="26"/>
      <c r="O37" s="26"/>
      <c r="P37" s="26">
        <v>17</v>
      </c>
      <c r="Q37" s="70">
        <v>0</v>
      </c>
      <c r="R37" s="26">
        <v>173</v>
      </c>
    </row>
    <row r="38" spans="1:18" x14ac:dyDescent="0.35">
      <c r="A38" s="69">
        <v>14210181</v>
      </c>
      <c r="B38" s="69" t="s">
        <v>629</v>
      </c>
      <c r="C38" s="69" t="s">
        <v>630</v>
      </c>
      <c r="D38" s="69">
        <v>9422173497</v>
      </c>
      <c r="E38" s="69" t="s">
        <v>631</v>
      </c>
      <c r="F38" s="69" t="s">
        <v>589</v>
      </c>
      <c r="G38" s="26">
        <v>12</v>
      </c>
      <c r="H38" s="26"/>
      <c r="I38" s="26"/>
      <c r="J38" s="26">
        <v>47</v>
      </c>
      <c r="K38" s="26">
        <v>20</v>
      </c>
      <c r="L38" s="26">
        <v>14</v>
      </c>
      <c r="M38" s="26">
        <v>13</v>
      </c>
      <c r="N38" s="26">
        <v>5</v>
      </c>
      <c r="O38" s="26">
        <v>15</v>
      </c>
      <c r="P38" s="26">
        <v>7</v>
      </c>
      <c r="Q38" s="70">
        <v>2</v>
      </c>
      <c r="R38" s="26">
        <v>135</v>
      </c>
    </row>
    <row r="39" spans="1:18" x14ac:dyDescent="0.35">
      <c r="A39" s="69">
        <v>14210234</v>
      </c>
      <c r="B39" s="69" t="s">
        <v>632</v>
      </c>
      <c r="C39" s="69" t="s">
        <v>633</v>
      </c>
      <c r="D39" s="69">
        <v>7798880322</v>
      </c>
      <c r="E39" s="69" t="s">
        <v>634</v>
      </c>
      <c r="F39" s="69" t="s">
        <v>589</v>
      </c>
      <c r="G39" s="26">
        <v>50</v>
      </c>
      <c r="H39" s="26">
        <v>7</v>
      </c>
      <c r="I39" s="26">
        <v>79</v>
      </c>
      <c r="J39" s="26">
        <v>67</v>
      </c>
      <c r="K39" s="26">
        <v>54</v>
      </c>
      <c r="L39" s="26">
        <v>34</v>
      </c>
      <c r="M39" s="26">
        <v>46</v>
      </c>
      <c r="N39" s="26">
        <v>20</v>
      </c>
      <c r="O39" s="26">
        <v>24</v>
      </c>
      <c r="P39" s="26">
        <v>12</v>
      </c>
      <c r="Q39" s="70">
        <v>13</v>
      </c>
      <c r="R39" s="26">
        <v>406</v>
      </c>
    </row>
    <row r="40" spans="1:18" x14ac:dyDescent="0.35">
      <c r="A40" s="69">
        <v>14210235</v>
      </c>
      <c r="B40" s="69" t="s">
        <v>635</v>
      </c>
      <c r="C40" s="69" t="s">
        <v>636</v>
      </c>
      <c r="D40" s="69">
        <v>8087161015</v>
      </c>
      <c r="E40" s="69" t="s">
        <v>637</v>
      </c>
      <c r="F40" s="69" t="s">
        <v>589</v>
      </c>
      <c r="G40" s="26">
        <v>5</v>
      </c>
      <c r="H40" s="26"/>
      <c r="I40" s="26">
        <v>5</v>
      </c>
      <c r="J40" s="26">
        <v>13</v>
      </c>
      <c r="K40" s="26">
        <v>12</v>
      </c>
      <c r="L40" s="26"/>
      <c r="M40" s="26">
        <v>14</v>
      </c>
      <c r="N40" s="26">
        <v>4</v>
      </c>
      <c r="O40" s="26"/>
      <c r="P40" s="26">
        <v>2</v>
      </c>
      <c r="Q40" s="70">
        <v>3</v>
      </c>
      <c r="R40" s="26">
        <v>58</v>
      </c>
    </row>
    <row r="41" spans="1:18" x14ac:dyDescent="0.35">
      <c r="A41" s="69">
        <v>14210248</v>
      </c>
      <c r="B41" s="69" t="s">
        <v>638</v>
      </c>
      <c r="C41" s="69" t="s">
        <v>639</v>
      </c>
      <c r="D41" s="69">
        <v>9225212237</v>
      </c>
      <c r="E41" s="69" t="s">
        <v>640</v>
      </c>
      <c r="F41" s="69" t="s">
        <v>589</v>
      </c>
      <c r="G41" s="26"/>
      <c r="H41" s="26"/>
      <c r="I41" s="26">
        <v>20</v>
      </c>
      <c r="J41" s="26">
        <v>20</v>
      </c>
      <c r="K41" s="26"/>
      <c r="L41" s="26"/>
      <c r="M41" s="26">
        <v>22</v>
      </c>
      <c r="N41" s="26"/>
      <c r="O41" s="26">
        <v>10</v>
      </c>
      <c r="P41" s="26">
        <v>9</v>
      </c>
      <c r="Q41" s="70">
        <v>0</v>
      </c>
      <c r="R41" s="26">
        <v>81</v>
      </c>
    </row>
    <row r="42" spans="1:18" x14ac:dyDescent="0.35">
      <c r="A42" s="69">
        <v>14210250</v>
      </c>
      <c r="B42" s="69" t="s">
        <v>641</v>
      </c>
      <c r="C42" s="69" t="s">
        <v>642</v>
      </c>
      <c r="D42" s="69">
        <v>9422802840</v>
      </c>
      <c r="E42" s="69" t="s">
        <v>643</v>
      </c>
      <c r="F42" s="69" t="s">
        <v>589</v>
      </c>
      <c r="G42" s="26">
        <v>11</v>
      </c>
      <c r="H42" s="26"/>
      <c r="I42" s="26">
        <v>18</v>
      </c>
      <c r="J42" s="26">
        <v>70</v>
      </c>
      <c r="K42" s="26"/>
      <c r="L42" s="26">
        <v>18</v>
      </c>
      <c r="M42" s="26">
        <v>18</v>
      </c>
      <c r="N42" s="26">
        <v>13</v>
      </c>
      <c r="O42" s="26">
        <v>10</v>
      </c>
      <c r="P42" s="26">
        <v>11</v>
      </c>
      <c r="Q42" s="70">
        <v>6</v>
      </c>
      <c r="R42" s="26">
        <v>175</v>
      </c>
    </row>
    <row r="43" spans="1:18" x14ac:dyDescent="0.35">
      <c r="A43" s="69">
        <v>14210251</v>
      </c>
      <c r="B43" s="69" t="s">
        <v>644</v>
      </c>
      <c r="C43" s="69" t="s">
        <v>645</v>
      </c>
      <c r="D43" s="69">
        <v>9422102224</v>
      </c>
      <c r="E43" s="69" t="s">
        <v>646</v>
      </c>
      <c r="F43" s="69" t="s">
        <v>589</v>
      </c>
      <c r="G43" s="26">
        <v>29</v>
      </c>
      <c r="H43" s="26"/>
      <c r="I43" s="26"/>
      <c r="J43" s="26">
        <v>42</v>
      </c>
      <c r="K43" s="26">
        <v>11</v>
      </c>
      <c r="L43" s="26">
        <v>4</v>
      </c>
      <c r="M43" s="26">
        <v>18</v>
      </c>
      <c r="N43" s="26">
        <v>5</v>
      </c>
      <c r="O43" s="26">
        <v>4</v>
      </c>
      <c r="P43" s="26">
        <v>28</v>
      </c>
      <c r="Q43" s="70">
        <v>0</v>
      </c>
      <c r="R43" s="26">
        <v>141</v>
      </c>
    </row>
    <row r="44" spans="1:18" x14ac:dyDescent="0.35">
      <c r="A44" s="69">
        <v>14210252</v>
      </c>
      <c r="B44" s="69" t="s">
        <v>647</v>
      </c>
      <c r="C44" s="69" t="s">
        <v>648</v>
      </c>
      <c r="D44" s="69">
        <v>9850386213</v>
      </c>
      <c r="E44" s="69" t="s">
        <v>649</v>
      </c>
      <c r="F44" s="69" t="s">
        <v>589</v>
      </c>
      <c r="G44" s="26">
        <v>19</v>
      </c>
      <c r="H44" s="26">
        <v>4</v>
      </c>
      <c r="I44" s="26">
        <v>28</v>
      </c>
      <c r="J44" s="26">
        <v>49</v>
      </c>
      <c r="K44" s="26">
        <v>28</v>
      </c>
      <c r="L44" s="26">
        <v>24</v>
      </c>
      <c r="M44" s="26">
        <v>28</v>
      </c>
      <c r="N44" s="26">
        <v>23</v>
      </c>
      <c r="O44" s="26">
        <v>20</v>
      </c>
      <c r="P44" s="26">
        <v>26</v>
      </c>
      <c r="Q44" s="70">
        <v>10</v>
      </c>
      <c r="R44" s="26">
        <v>259</v>
      </c>
    </row>
    <row r="45" spans="1:18" x14ac:dyDescent="0.35">
      <c r="A45" s="69">
        <v>14210263</v>
      </c>
      <c r="B45" s="69" t="s">
        <v>650</v>
      </c>
      <c r="C45" s="69" t="s">
        <v>651</v>
      </c>
      <c r="D45" s="69">
        <v>9890175878</v>
      </c>
      <c r="E45" s="69" t="s">
        <v>652</v>
      </c>
      <c r="F45" s="69" t="s">
        <v>589</v>
      </c>
      <c r="G45" s="26"/>
      <c r="H45" s="26">
        <v>19</v>
      </c>
      <c r="I45" s="26"/>
      <c r="J45" s="26">
        <v>59</v>
      </c>
      <c r="K45" s="26"/>
      <c r="L45" s="26"/>
      <c r="M45" s="26"/>
      <c r="N45" s="26">
        <v>20</v>
      </c>
      <c r="O45" s="26">
        <v>0</v>
      </c>
      <c r="P45" s="26">
        <v>0</v>
      </c>
      <c r="Q45" s="70">
        <v>22</v>
      </c>
      <c r="R45" s="26">
        <v>120</v>
      </c>
    </row>
    <row r="46" spans="1:18" x14ac:dyDescent="0.35">
      <c r="A46" s="69">
        <v>14210264</v>
      </c>
      <c r="B46" s="69" t="s">
        <v>653</v>
      </c>
      <c r="C46" s="69" t="s">
        <v>654</v>
      </c>
      <c r="D46" s="69">
        <v>9422110576</v>
      </c>
      <c r="E46" s="69" t="s">
        <v>655</v>
      </c>
      <c r="F46" s="69" t="s">
        <v>589</v>
      </c>
      <c r="G46" s="26">
        <v>14</v>
      </c>
      <c r="H46" s="26">
        <v>1</v>
      </c>
      <c r="I46" s="26">
        <v>9</v>
      </c>
      <c r="J46" s="26">
        <v>50</v>
      </c>
      <c r="K46" s="26">
        <v>22</v>
      </c>
      <c r="L46" s="26">
        <v>14</v>
      </c>
      <c r="M46" s="26">
        <v>16</v>
      </c>
      <c r="N46" s="26">
        <v>13</v>
      </c>
      <c r="O46" s="26">
        <v>10</v>
      </c>
      <c r="P46" s="26">
        <v>6</v>
      </c>
      <c r="Q46" s="70">
        <v>4</v>
      </c>
      <c r="R46" s="26">
        <v>159</v>
      </c>
    </row>
    <row r="47" spans="1:18" x14ac:dyDescent="0.35">
      <c r="A47" s="69">
        <v>14210266</v>
      </c>
      <c r="B47" s="69" t="s">
        <v>656</v>
      </c>
      <c r="C47" s="69" t="s">
        <v>657</v>
      </c>
      <c r="D47" s="69">
        <v>9881713291</v>
      </c>
      <c r="E47" s="69" t="s">
        <v>658</v>
      </c>
      <c r="F47" s="69" t="s">
        <v>589</v>
      </c>
      <c r="G47" s="26">
        <v>9</v>
      </c>
      <c r="H47" s="26">
        <v>3</v>
      </c>
      <c r="I47" s="26">
        <v>11</v>
      </c>
      <c r="J47" s="26">
        <v>27</v>
      </c>
      <c r="K47" s="26">
        <v>19</v>
      </c>
      <c r="L47" s="26">
        <v>11</v>
      </c>
      <c r="M47" s="26">
        <v>14</v>
      </c>
      <c r="N47" s="26">
        <v>8</v>
      </c>
      <c r="O47" s="26">
        <v>4</v>
      </c>
      <c r="P47" s="26">
        <v>4</v>
      </c>
      <c r="Q47" s="70">
        <v>1</v>
      </c>
      <c r="R47" s="26">
        <v>111</v>
      </c>
    </row>
    <row r="48" spans="1:18" x14ac:dyDescent="0.35">
      <c r="A48" s="69">
        <v>14210268</v>
      </c>
      <c r="B48" s="69" t="s">
        <v>659</v>
      </c>
      <c r="C48" s="69" t="s">
        <v>660</v>
      </c>
      <c r="D48" s="69">
        <v>9890253240</v>
      </c>
      <c r="E48" s="69" t="s">
        <v>661</v>
      </c>
      <c r="F48" s="69" t="s">
        <v>589</v>
      </c>
      <c r="G48" s="26">
        <v>12</v>
      </c>
      <c r="H48" s="26"/>
      <c r="I48" s="26">
        <v>32</v>
      </c>
      <c r="J48" s="26">
        <v>46</v>
      </c>
      <c r="K48" s="26">
        <v>18</v>
      </c>
      <c r="L48" s="26"/>
      <c r="M48" s="26">
        <v>8</v>
      </c>
      <c r="N48" s="26">
        <v>4</v>
      </c>
      <c r="O48" s="26">
        <v>15</v>
      </c>
      <c r="P48" s="26">
        <v>0</v>
      </c>
      <c r="Q48" s="70">
        <v>2</v>
      </c>
      <c r="R48" s="26">
        <v>137</v>
      </c>
    </row>
    <row r="49" spans="1:18" x14ac:dyDescent="0.35">
      <c r="A49" s="69">
        <v>14210295</v>
      </c>
      <c r="B49" s="69" t="s">
        <v>662</v>
      </c>
      <c r="C49" s="69" t="s">
        <v>663</v>
      </c>
      <c r="D49" s="69">
        <v>9049482845</v>
      </c>
      <c r="E49" s="69" t="s">
        <v>664</v>
      </c>
      <c r="F49" s="69" t="s">
        <v>589</v>
      </c>
      <c r="G49" s="26">
        <v>11</v>
      </c>
      <c r="H49" s="26"/>
      <c r="I49" s="26">
        <v>20</v>
      </c>
      <c r="J49" s="26"/>
      <c r="K49" s="26">
        <v>22</v>
      </c>
      <c r="L49" s="26"/>
      <c r="M49" s="26">
        <v>13</v>
      </c>
      <c r="N49" s="26">
        <v>9</v>
      </c>
      <c r="O49" s="26"/>
      <c r="P49" s="26">
        <v>4</v>
      </c>
      <c r="Q49" s="70">
        <v>0</v>
      </c>
      <c r="R49" s="26">
        <v>79</v>
      </c>
    </row>
    <row r="50" spans="1:18" x14ac:dyDescent="0.35">
      <c r="A50" s="69">
        <v>14210299</v>
      </c>
      <c r="B50" s="69" t="s">
        <v>665</v>
      </c>
      <c r="C50" s="69" t="s">
        <v>666</v>
      </c>
      <c r="D50" s="69">
        <v>9372910292</v>
      </c>
      <c r="E50" s="69" t="s">
        <v>667</v>
      </c>
      <c r="F50" s="69" t="s">
        <v>589</v>
      </c>
      <c r="G50" s="26"/>
      <c r="H50" s="26">
        <v>22</v>
      </c>
      <c r="I50" s="26"/>
      <c r="J50" s="26">
        <v>38</v>
      </c>
      <c r="K50" s="26"/>
      <c r="L50" s="26">
        <v>21</v>
      </c>
      <c r="M50" s="26"/>
      <c r="N50" s="26">
        <v>16</v>
      </c>
      <c r="O50" s="26"/>
      <c r="P50" s="26">
        <v>0</v>
      </c>
      <c r="Q50" s="70">
        <v>0</v>
      </c>
      <c r="R50" s="26">
        <v>97</v>
      </c>
    </row>
    <row r="51" spans="1:18" x14ac:dyDescent="0.35">
      <c r="A51" s="69">
        <v>14210310</v>
      </c>
      <c r="B51" s="69" t="s">
        <v>668</v>
      </c>
      <c r="C51" s="69" t="s">
        <v>669</v>
      </c>
      <c r="D51" s="69">
        <v>9673072299</v>
      </c>
      <c r="E51" s="69" t="s">
        <v>670</v>
      </c>
      <c r="F51" s="69" t="s">
        <v>589</v>
      </c>
      <c r="G51" s="26"/>
      <c r="H51" s="26"/>
      <c r="I51" s="26">
        <v>31</v>
      </c>
      <c r="J51" s="26">
        <v>26</v>
      </c>
      <c r="K51" s="26">
        <v>19</v>
      </c>
      <c r="L51" s="26">
        <v>12</v>
      </c>
      <c r="M51" s="26"/>
      <c r="N51" s="26">
        <v>8</v>
      </c>
      <c r="O51" s="26"/>
      <c r="P51" s="26">
        <v>0</v>
      </c>
      <c r="Q51" s="70">
        <v>0</v>
      </c>
      <c r="R51" s="26">
        <v>96</v>
      </c>
    </row>
    <row r="52" spans="1:18" x14ac:dyDescent="0.35">
      <c r="A52" s="69">
        <v>14210311</v>
      </c>
      <c r="B52" s="69" t="s">
        <v>671</v>
      </c>
      <c r="C52" s="69" t="s">
        <v>672</v>
      </c>
      <c r="D52" s="69">
        <v>9764229461</v>
      </c>
      <c r="E52" s="69" t="s">
        <v>673</v>
      </c>
      <c r="F52" s="69" t="s">
        <v>589</v>
      </c>
      <c r="G52" s="26"/>
      <c r="H52" s="26">
        <v>16</v>
      </c>
      <c r="I52" s="26"/>
      <c r="J52" s="26">
        <v>76</v>
      </c>
      <c r="K52" s="26">
        <v>24</v>
      </c>
      <c r="L52" s="26">
        <v>112</v>
      </c>
      <c r="M52" s="26">
        <v>25</v>
      </c>
      <c r="N52" s="26"/>
      <c r="O52" s="26">
        <v>38</v>
      </c>
      <c r="P52" s="26">
        <v>11</v>
      </c>
      <c r="Q52" s="70">
        <v>2</v>
      </c>
      <c r="R52" s="26">
        <v>304</v>
      </c>
    </row>
    <row r="53" spans="1:18" x14ac:dyDescent="0.35">
      <c r="A53" s="69">
        <v>14210312</v>
      </c>
      <c r="B53" s="69" t="s">
        <v>674</v>
      </c>
      <c r="C53" s="69" t="s">
        <v>675</v>
      </c>
      <c r="D53" s="69">
        <v>9822560224</v>
      </c>
      <c r="E53" s="69" t="s">
        <v>676</v>
      </c>
      <c r="F53" s="69" t="s">
        <v>589</v>
      </c>
      <c r="G53" s="26">
        <v>59</v>
      </c>
      <c r="H53" s="26">
        <v>21</v>
      </c>
      <c r="I53" s="26">
        <v>51</v>
      </c>
      <c r="J53" s="26">
        <v>157</v>
      </c>
      <c r="K53" s="26">
        <v>58</v>
      </c>
      <c r="L53" s="26">
        <v>19</v>
      </c>
      <c r="M53" s="26">
        <v>39</v>
      </c>
      <c r="N53" s="26">
        <v>25</v>
      </c>
      <c r="O53" s="26">
        <v>19</v>
      </c>
      <c r="P53" s="26">
        <v>33</v>
      </c>
      <c r="Q53" s="70">
        <v>10</v>
      </c>
      <c r="R53" s="26">
        <v>491</v>
      </c>
    </row>
    <row r="54" spans="1:18" x14ac:dyDescent="0.35">
      <c r="A54" s="69">
        <v>14210321</v>
      </c>
      <c r="B54" s="69" t="s">
        <v>677</v>
      </c>
      <c r="C54" s="69" t="s">
        <v>678</v>
      </c>
      <c r="D54" s="69">
        <v>9011661081</v>
      </c>
      <c r="E54" s="69" t="s">
        <v>679</v>
      </c>
      <c r="F54" s="69" t="s">
        <v>589</v>
      </c>
      <c r="G54" s="26"/>
      <c r="H54" s="26">
        <v>26</v>
      </c>
      <c r="I54" s="26">
        <v>6</v>
      </c>
      <c r="J54" s="26"/>
      <c r="K54" s="26">
        <v>18</v>
      </c>
      <c r="L54" s="26">
        <v>6</v>
      </c>
      <c r="M54" s="26"/>
      <c r="N54" s="26">
        <v>11</v>
      </c>
      <c r="O54" s="26"/>
      <c r="P54" s="26">
        <v>4</v>
      </c>
      <c r="Q54" s="70">
        <v>0</v>
      </c>
      <c r="R54" s="26">
        <v>71</v>
      </c>
    </row>
    <row r="55" spans="1:18" x14ac:dyDescent="0.35">
      <c r="A55" s="69">
        <v>14210322</v>
      </c>
      <c r="B55" s="69" t="s">
        <v>680</v>
      </c>
      <c r="C55" s="69" t="s">
        <v>681</v>
      </c>
      <c r="D55" s="69">
        <v>9373668881</v>
      </c>
      <c r="E55" s="69" t="s">
        <v>682</v>
      </c>
      <c r="F55" s="69" t="s">
        <v>589</v>
      </c>
      <c r="G55" s="26">
        <v>24</v>
      </c>
      <c r="H55" s="26">
        <v>9</v>
      </c>
      <c r="I55" s="26">
        <v>31</v>
      </c>
      <c r="J55" s="26">
        <v>29</v>
      </c>
      <c r="K55" s="26">
        <v>29</v>
      </c>
      <c r="L55" s="26">
        <v>19</v>
      </c>
      <c r="M55" s="26">
        <v>19</v>
      </c>
      <c r="N55" s="26">
        <v>3</v>
      </c>
      <c r="O55" s="26">
        <v>12</v>
      </c>
      <c r="P55" s="26">
        <v>8</v>
      </c>
      <c r="Q55" s="70">
        <v>0</v>
      </c>
      <c r="R55" s="26">
        <v>183</v>
      </c>
    </row>
    <row r="56" spans="1:18" x14ac:dyDescent="0.35">
      <c r="A56" s="69">
        <v>14210360</v>
      </c>
      <c r="B56" s="69" t="s">
        <v>683</v>
      </c>
      <c r="C56" s="69" t="s">
        <v>684</v>
      </c>
      <c r="D56" s="69">
        <v>9049324241</v>
      </c>
      <c r="E56" s="69" t="s">
        <v>685</v>
      </c>
      <c r="F56" s="69" t="s">
        <v>589</v>
      </c>
      <c r="G56" s="26">
        <v>2</v>
      </c>
      <c r="H56" s="26"/>
      <c r="I56" s="26">
        <v>26</v>
      </c>
      <c r="J56" s="26">
        <v>62</v>
      </c>
      <c r="K56" s="26">
        <v>27</v>
      </c>
      <c r="L56" s="26">
        <v>11</v>
      </c>
      <c r="M56" s="26">
        <v>2</v>
      </c>
      <c r="N56" s="26">
        <v>14</v>
      </c>
      <c r="O56" s="26">
        <v>14</v>
      </c>
      <c r="P56" s="26">
        <v>8</v>
      </c>
      <c r="Q56" s="70">
        <v>5</v>
      </c>
      <c r="R56" s="26">
        <v>171</v>
      </c>
    </row>
    <row r="57" spans="1:18" x14ac:dyDescent="0.35">
      <c r="A57" s="69">
        <v>14210381</v>
      </c>
      <c r="B57" s="69" t="s">
        <v>686</v>
      </c>
      <c r="C57" s="69" t="s">
        <v>687</v>
      </c>
      <c r="D57" s="69">
        <v>9423631398</v>
      </c>
      <c r="E57" s="69" t="s">
        <v>688</v>
      </c>
      <c r="F57" s="69" t="s">
        <v>589</v>
      </c>
      <c r="G57" s="26"/>
      <c r="H57" s="26"/>
      <c r="I57" s="26">
        <v>5</v>
      </c>
      <c r="J57" s="26"/>
      <c r="K57" s="26"/>
      <c r="L57" s="26">
        <v>4</v>
      </c>
      <c r="M57" s="26">
        <v>0</v>
      </c>
      <c r="N57" s="26">
        <v>1</v>
      </c>
      <c r="O57" s="26"/>
      <c r="P57" s="26">
        <v>30</v>
      </c>
      <c r="Q57" s="70">
        <v>0</v>
      </c>
      <c r="R57" s="26">
        <v>40</v>
      </c>
    </row>
    <row r="58" spans="1:18" x14ac:dyDescent="0.35">
      <c r="A58" s="69">
        <v>14210401</v>
      </c>
      <c r="B58" s="69" t="s">
        <v>689</v>
      </c>
      <c r="C58" s="69" t="s">
        <v>690</v>
      </c>
      <c r="D58" s="69">
        <v>9970541164</v>
      </c>
      <c r="E58" s="69" t="s">
        <v>691</v>
      </c>
      <c r="F58" s="69" t="s">
        <v>589</v>
      </c>
      <c r="G58" s="26">
        <v>14</v>
      </c>
      <c r="H58" s="26"/>
      <c r="I58" s="26">
        <v>11</v>
      </c>
      <c r="J58" s="26">
        <v>31</v>
      </c>
      <c r="K58" s="26">
        <v>40</v>
      </c>
      <c r="L58" s="26">
        <v>12</v>
      </c>
      <c r="M58" s="26">
        <v>11</v>
      </c>
      <c r="N58" s="26">
        <v>16</v>
      </c>
      <c r="O58" s="26">
        <v>13</v>
      </c>
      <c r="P58" s="26">
        <v>17</v>
      </c>
      <c r="Q58" s="70">
        <v>2</v>
      </c>
      <c r="R58" s="26">
        <v>167</v>
      </c>
    </row>
    <row r="59" spans="1:18" x14ac:dyDescent="0.35">
      <c r="A59" s="69">
        <v>14210402</v>
      </c>
      <c r="B59" s="69" t="s">
        <v>692</v>
      </c>
      <c r="C59" s="69" t="s">
        <v>693</v>
      </c>
      <c r="D59" s="69">
        <v>9422818625</v>
      </c>
      <c r="E59" s="69" t="s">
        <v>694</v>
      </c>
      <c r="F59" s="69" t="s">
        <v>589</v>
      </c>
      <c r="G59" s="26"/>
      <c r="H59" s="26"/>
      <c r="I59" s="26">
        <v>20</v>
      </c>
      <c r="J59" s="26">
        <v>15</v>
      </c>
      <c r="K59" s="26">
        <v>12</v>
      </c>
      <c r="L59" s="26">
        <v>16</v>
      </c>
      <c r="M59" s="26">
        <v>4</v>
      </c>
      <c r="N59" s="26"/>
      <c r="O59" s="26">
        <v>7</v>
      </c>
      <c r="P59" s="26">
        <v>3</v>
      </c>
      <c r="Q59" s="70">
        <v>4</v>
      </c>
      <c r="R59" s="26">
        <v>81</v>
      </c>
    </row>
    <row r="60" spans="1:18" x14ac:dyDescent="0.35">
      <c r="A60" s="69">
        <v>14210403</v>
      </c>
      <c r="B60" s="69" t="s">
        <v>695</v>
      </c>
      <c r="C60" s="69" t="s">
        <v>696</v>
      </c>
      <c r="D60" s="69">
        <v>9890582266</v>
      </c>
      <c r="E60" s="69" t="s">
        <v>697</v>
      </c>
      <c r="F60" s="69" t="s">
        <v>589</v>
      </c>
      <c r="G60" s="26">
        <v>13</v>
      </c>
      <c r="H60" s="26"/>
      <c r="I60" s="26"/>
      <c r="J60" s="26">
        <v>88</v>
      </c>
      <c r="K60" s="26">
        <v>15</v>
      </c>
      <c r="L60" s="26">
        <v>19</v>
      </c>
      <c r="M60" s="26">
        <v>22</v>
      </c>
      <c r="N60" s="26">
        <v>8</v>
      </c>
      <c r="O60" s="26">
        <v>17</v>
      </c>
      <c r="P60" s="26">
        <v>0</v>
      </c>
      <c r="Q60" s="70">
        <v>8</v>
      </c>
      <c r="R60" s="26">
        <v>190</v>
      </c>
    </row>
    <row r="61" spans="1:18" x14ac:dyDescent="0.35">
      <c r="A61" s="69">
        <v>14210404</v>
      </c>
      <c r="B61" s="69" t="s">
        <v>698</v>
      </c>
      <c r="C61" s="69" t="s">
        <v>699</v>
      </c>
      <c r="D61" s="69">
        <v>9923858743</v>
      </c>
      <c r="E61" s="69" t="s">
        <v>700</v>
      </c>
      <c r="F61" s="69" t="s">
        <v>589</v>
      </c>
      <c r="G61" s="26"/>
      <c r="H61" s="26">
        <v>17</v>
      </c>
      <c r="I61" s="26"/>
      <c r="J61" s="26">
        <v>19</v>
      </c>
      <c r="K61" s="26">
        <v>9</v>
      </c>
      <c r="L61" s="26"/>
      <c r="M61" s="26">
        <v>0</v>
      </c>
      <c r="N61" s="26">
        <v>7</v>
      </c>
      <c r="O61" s="26">
        <v>3</v>
      </c>
      <c r="P61" s="26">
        <v>4</v>
      </c>
      <c r="Q61" s="70">
        <v>0</v>
      </c>
      <c r="R61" s="26">
        <v>59</v>
      </c>
    </row>
    <row r="62" spans="1:18" x14ac:dyDescent="0.35">
      <c r="A62" s="69">
        <v>14210405</v>
      </c>
      <c r="B62" s="69" t="s">
        <v>701</v>
      </c>
      <c r="C62" s="69" t="s">
        <v>702</v>
      </c>
      <c r="D62" s="69">
        <v>8975294640</v>
      </c>
      <c r="E62" s="69" t="s">
        <v>703</v>
      </c>
      <c r="F62" s="69" t="s">
        <v>589</v>
      </c>
      <c r="G62" s="26">
        <v>10</v>
      </c>
      <c r="H62" s="26"/>
      <c r="I62" s="26"/>
      <c r="J62" s="26"/>
      <c r="K62" s="26"/>
      <c r="L62" s="26">
        <v>0</v>
      </c>
      <c r="M62" s="26"/>
      <c r="N62" s="26">
        <v>0</v>
      </c>
      <c r="O62" s="26">
        <v>0</v>
      </c>
      <c r="P62" s="26">
        <v>0</v>
      </c>
      <c r="Q62" s="70">
        <v>0</v>
      </c>
      <c r="R62" s="26">
        <v>10</v>
      </c>
    </row>
    <row r="63" spans="1:18" x14ac:dyDescent="0.35">
      <c r="A63" s="69">
        <v>14210409</v>
      </c>
      <c r="B63" s="69" t="s">
        <v>704</v>
      </c>
      <c r="C63" s="69" t="s">
        <v>705</v>
      </c>
      <c r="D63" s="69">
        <v>9373013830</v>
      </c>
      <c r="E63" s="69" t="s">
        <v>706</v>
      </c>
      <c r="F63" s="69" t="s">
        <v>589</v>
      </c>
      <c r="G63" s="26">
        <v>34</v>
      </c>
      <c r="H63" s="26">
        <v>2</v>
      </c>
      <c r="I63" s="26">
        <v>2</v>
      </c>
      <c r="J63" s="26">
        <v>7</v>
      </c>
      <c r="K63" s="26">
        <v>5</v>
      </c>
      <c r="L63" s="26">
        <v>5</v>
      </c>
      <c r="M63" s="26">
        <v>1</v>
      </c>
      <c r="N63" s="26"/>
      <c r="O63" s="26">
        <v>3</v>
      </c>
      <c r="P63" s="26">
        <v>2</v>
      </c>
      <c r="Q63" s="70">
        <v>0</v>
      </c>
      <c r="R63" s="26">
        <v>61</v>
      </c>
    </row>
    <row r="64" spans="1:18" x14ac:dyDescent="0.35">
      <c r="A64" s="69">
        <v>14210411</v>
      </c>
      <c r="B64" s="69" t="s">
        <v>707</v>
      </c>
      <c r="C64" s="69" t="s">
        <v>708</v>
      </c>
      <c r="D64" s="69">
        <v>9923458847</v>
      </c>
      <c r="E64" s="69" t="s">
        <v>709</v>
      </c>
      <c r="F64" s="69" t="s">
        <v>589</v>
      </c>
      <c r="G64" s="26">
        <v>4</v>
      </c>
      <c r="H64" s="26">
        <v>1</v>
      </c>
      <c r="I64" s="26"/>
      <c r="J64" s="26">
        <v>10</v>
      </c>
      <c r="K64" s="26">
        <v>4</v>
      </c>
      <c r="L64" s="26">
        <v>4</v>
      </c>
      <c r="M64" s="26">
        <v>2</v>
      </c>
      <c r="N64" s="26">
        <v>3</v>
      </c>
      <c r="O64" s="26">
        <v>6</v>
      </c>
      <c r="P64" s="26">
        <v>6</v>
      </c>
      <c r="Q64" s="70">
        <v>0</v>
      </c>
      <c r="R64" s="26">
        <v>40</v>
      </c>
    </row>
    <row r="65" spans="1:18" x14ac:dyDescent="0.35">
      <c r="A65" s="69">
        <v>14210420</v>
      </c>
      <c r="B65" s="69" t="s">
        <v>710</v>
      </c>
      <c r="C65" s="69" t="s">
        <v>711</v>
      </c>
      <c r="D65" s="69">
        <v>9527758639</v>
      </c>
      <c r="E65" s="69" t="s">
        <v>712</v>
      </c>
      <c r="F65" s="69" t="s">
        <v>589</v>
      </c>
      <c r="G65" s="26">
        <v>64</v>
      </c>
      <c r="H65" s="26">
        <v>23</v>
      </c>
      <c r="I65" s="26">
        <v>50</v>
      </c>
      <c r="J65" s="26">
        <v>57</v>
      </c>
      <c r="K65" s="26">
        <v>1</v>
      </c>
      <c r="L65" s="26">
        <v>20</v>
      </c>
      <c r="M65" s="26">
        <v>62</v>
      </c>
      <c r="N65" s="26">
        <v>20</v>
      </c>
      <c r="O65" s="26">
        <v>11</v>
      </c>
      <c r="P65" s="26">
        <v>22</v>
      </c>
      <c r="Q65" s="70">
        <v>39</v>
      </c>
      <c r="R65" s="26">
        <v>369</v>
      </c>
    </row>
    <row r="66" spans="1:18" x14ac:dyDescent="0.35">
      <c r="A66" s="69">
        <v>14210421</v>
      </c>
      <c r="B66" s="69" t="s">
        <v>713</v>
      </c>
      <c r="C66" s="69" t="s">
        <v>714</v>
      </c>
      <c r="D66" s="69">
        <v>9730645003</v>
      </c>
      <c r="E66" s="69" t="s">
        <v>715</v>
      </c>
      <c r="F66" s="69" t="s">
        <v>589</v>
      </c>
      <c r="G66" s="26">
        <v>25</v>
      </c>
      <c r="H66" s="26"/>
      <c r="I66" s="26"/>
      <c r="J66" s="26">
        <v>33</v>
      </c>
      <c r="K66" s="26">
        <v>15</v>
      </c>
      <c r="L66" s="26">
        <v>38</v>
      </c>
      <c r="M66" s="26">
        <v>15</v>
      </c>
      <c r="N66" s="26">
        <v>8</v>
      </c>
      <c r="O66" s="26">
        <v>14</v>
      </c>
      <c r="P66" s="26">
        <v>18</v>
      </c>
      <c r="Q66" s="70">
        <v>27</v>
      </c>
      <c r="R66" s="26">
        <v>193</v>
      </c>
    </row>
    <row r="67" spans="1:18" x14ac:dyDescent="0.35">
      <c r="A67" s="69">
        <v>14210471</v>
      </c>
      <c r="B67" s="69" t="s">
        <v>716</v>
      </c>
      <c r="C67" s="69" t="s">
        <v>717</v>
      </c>
      <c r="D67" s="69">
        <v>9325081652</v>
      </c>
      <c r="E67" s="69" t="s">
        <v>718</v>
      </c>
      <c r="F67" s="69" t="s">
        <v>589</v>
      </c>
      <c r="G67" s="26">
        <v>9</v>
      </c>
      <c r="H67" s="26"/>
      <c r="I67" s="26">
        <v>21</v>
      </c>
      <c r="J67" s="26">
        <v>40</v>
      </c>
      <c r="K67" s="26">
        <v>30</v>
      </c>
      <c r="L67" s="26">
        <v>14</v>
      </c>
      <c r="M67" s="26">
        <v>23</v>
      </c>
      <c r="N67" s="26">
        <v>33</v>
      </c>
      <c r="O67" s="26">
        <v>14</v>
      </c>
      <c r="P67" s="26">
        <v>21</v>
      </c>
      <c r="Q67" s="70">
        <v>72</v>
      </c>
      <c r="R67" s="26">
        <v>277</v>
      </c>
    </row>
    <row r="68" spans="1:18" x14ac:dyDescent="0.35">
      <c r="A68" s="69">
        <v>14210477</v>
      </c>
      <c r="B68" s="69" t="s">
        <v>719</v>
      </c>
      <c r="C68" s="69" t="s">
        <v>720</v>
      </c>
      <c r="D68" s="69">
        <v>9765776618</v>
      </c>
      <c r="E68" s="69" t="s">
        <v>721</v>
      </c>
      <c r="F68" s="69" t="s">
        <v>589</v>
      </c>
      <c r="G68" s="26"/>
      <c r="H68" s="26"/>
      <c r="I68" s="26">
        <v>6</v>
      </c>
      <c r="J68" s="26"/>
      <c r="K68" s="26">
        <v>12</v>
      </c>
      <c r="L68" s="26"/>
      <c r="M68" s="26">
        <v>7</v>
      </c>
      <c r="N68" s="26">
        <v>4</v>
      </c>
      <c r="O68" s="26">
        <v>6</v>
      </c>
      <c r="P68" s="26">
        <v>6</v>
      </c>
      <c r="Q68" s="70">
        <v>0</v>
      </c>
      <c r="R68" s="26">
        <v>41</v>
      </c>
    </row>
    <row r="69" spans="1:18" x14ac:dyDescent="0.35">
      <c r="A69" s="69">
        <v>14210478</v>
      </c>
      <c r="B69" s="69" t="s">
        <v>722</v>
      </c>
      <c r="C69" s="69" t="s">
        <v>723</v>
      </c>
      <c r="D69" s="69">
        <v>9423631398</v>
      </c>
      <c r="E69" s="69" t="s">
        <v>688</v>
      </c>
      <c r="F69" s="69" t="s">
        <v>589</v>
      </c>
      <c r="G69" s="26"/>
      <c r="H69" s="26"/>
      <c r="I69" s="26">
        <v>80</v>
      </c>
      <c r="J69" s="26"/>
      <c r="K69" s="26"/>
      <c r="L69" s="26">
        <v>62</v>
      </c>
      <c r="M69" s="26">
        <v>0</v>
      </c>
      <c r="N69" s="26">
        <v>9</v>
      </c>
      <c r="O69" s="26"/>
      <c r="P69" s="26">
        <v>1</v>
      </c>
      <c r="Q69" s="70">
        <v>0</v>
      </c>
      <c r="R69" s="26">
        <v>152</v>
      </c>
    </row>
    <row r="70" spans="1:18" x14ac:dyDescent="0.35">
      <c r="A70" s="69">
        <v>14210479</v>
      </c>
      <c r="B70" s="69" t="s">
        <v>724</v>
      </c>
      <c r="C70" s="69" t="s">
        <v>725</v>
      </c>
      <c r="D70" s="69">
        <v>9766007086</v>
      </c>
      <c r="E70" s="69" t="s">
        <v>726</v>
      </c>
      <c r="F70" s="69" t="s">
        <v>589</v>
      </c>
      <c r="G70" s="26">
        <v>19</v>
      </c>
      <c r="H70" s="26"/>
      <c r="I70" s="26"/>
      <c r="J70" s="26">
        <v>65</v>
      </c>
      <c r="K70" s="26">
        <v>22</v>
      </c>
      <c r="L70" s="26"/>
      <c r="M70" s="26">
        <v>18</v>
      </c>
      <c r="N70" s="26"/>
      <c r="O70" s="26">
        <v>18</v>
      </c>
      <c r="P70" s="26">
        <v>11</v>
      </c>
      <c r="Q70" s="70">
        <v>3</v>
      </c>
      <c r="R70" s="26">
        <v>156</v>
      </c>
    </row>
    <row r="71" spans="1:18" x14ac:dyDescent="0.35">
      <c r="A71" s="69">
        <v>14210485</v>
      </c>
      <c r="B71" s="69" t="s">
        <v>727</v>
      </c>
      <c r="C71" s="69" t="s">
        <v>728</v>
      </c>
      <c r="D71" s="69">
        <v>9764042559</v>
      </c>
      <c r="E71" s="69" t="s">
        <v>729</v>
      </c>
      <c r="F71" s="69" t="s">
        <v>589</v>
      </c>
      <c r="G71" s="26"/>
      <c r="H71" s="26">
        <v>33</v>
      </c>
      <c r="I71" s="26">
        <v>50</v>
      </c>
      <c r="J71" s="26"/>
      <c r="K71" s="26">
        <v>20</v>
      </c>
      <c r="L71" s="26"/>
      <c r="M71" s="26">
        <v>20</v>
      </c>
      <c r="N71" s="26"/>
      <c r="O71" s="26">
        <v>20</v>
      </c>
      <c r="P71" s="26">
        <v>0</v>
      </c>
      <c r="Q71" s="70">
        <v>23</v>
      </c>
      <c r="R71" s="26">
        <v>166</v>
      </c>
    </row>
    <row r="72" spans="1:18" x14ac:dyDescent="0.35">
      <c r="A72" s="69">
        <v>14210487</v>
      </c>
      <c r="B72" s="69" t="s">
        <v>730</v>
      </c>
      <c r="C72" s="69" t="s">
        <v>731</v>
      </c>
      <c r="D72" s="69">
        <v>9766754687</v>
      </c>
      <c r="E72" s="69" t="s">
        <v>732</v>
      </c>
      <c r="F72" s="69" t="s">
        <v>589</v>
      </c>
      <c r="G72" s="26"/>
      <c r="H72" s="26">
        <v>9</v>
      </c>
      <c r="I72" s="26"/>
      <c r="J72" s="26">
        <v>18</v>
      </c>
      <c r="K72" s="26">
        <v>5</v>
      </c>
      <c r="L72" s="26">
        <v>8</v>
      </c>
      <c r="M72" s="26">
        <v>1</v>
      </c>
      <c r="N72" s="26">
        <v>5</v>
      </c>
      <c r="O72" s="26">
        <v>10</v>
      </c>
      <c r="P72" s="26">
        <v>8</v>
      </c>
      <c r="Q72" s="70">
        <v>7</v>
      </c>
      <c r="R72" s="26">
        <v>71</v>
      </c>
    </row>
    <row r="73" spans="1:18" x14ac:dyDescent="0.35">
      <c r="A73" s="69">
        <v>14210496</v>
      </c>
      <c r="B73" s="69" t="s">
        <v>733</v>
      </c>
      <c r="C73" s="69" t="s">
        <v>734</v>
      </c>
      <c r="D73" s="69">
        <v>8087187102</v>
      </c>
      <c r="E73" s="69" t="s">
        <v>735</v>
      </c>
      <c r="F73" s="69" t="s">
        <v>589</v>
      </c>
      <c r="G73" s="26"/>
      <c r="H73" s="26">
        <v>1</v>
      </c>
      <c r="I73" s="26"/>
      <c r="J73" s="26">
        <v>10</v>
      </c>
      <c r="K73" s="26">
        <v>3</v>
      </c>
      <c r="L73" s="26">
        <v>5</v>
      </c>
      <c r="M73" s="26">
        <v>2</v>
      </c>
      <c r="N73" s="26"/>
      <c r="O73" s="26">
        <v>1</v>
      </c>
      <c r="P73" s="26">
        <v>7</v>
      </c>
      <c r="Q73" s="70">
        <v>4</v>
      </c>
      <c r="R73" s="26">
        <v>33</v>
      </c>
    </row>
    <row r="74" spans="1:18" x14ac:dyDescent="0.35">
      <c r="A74" s="69">
        <v>15210005</v>
      </c>
      <c r="B74" s="69" t="s">
        <v>736</v>
      </c>
      <c r="C74" s="69" t="s">
        <v>737</v>
      </c>
      <c r="D74" s="69">
        <v>9420034749</v>
      </c>
      <c r="E74" s="69" t="s">
        <v>738</v>
      </c>
      <c r="F74" s="69" t="s">
        <v>739</v>
      </c>
      <c r="G74" s="26"/>
      <c r="H74" s="26"/>
      <c r="I74" s="26">
        <v>6</v>
      </c>
      <c r="J74" s="26">
        <v>11</v>
      </c>
      <c r="K74" s="26"/>
      <c r="L74" s="26"/>
      <c r="M74" s="26">
        <v>9</v>
      </c>
      <c r="N74" s="26"/>
      <c r="O74" s="26">
        <v>10</v>
      </c>
      <c r="P74" s="26">
        <v>5</v>
      </c>
      <c r="Q74" s="70">
        <v>0</v>
      </c>
      <c r="R74" s="26">
        <v>41</v>
      </c>
    </row>
    <row r="75" spans="1:18" x14ac:dyDescent="0.35">
      <c r="A75" s="69">
        <v>15210008</v>
      </c>
      <c r="B75" s="69" t="s">
        <v>740</v>
      </c>
      <c r="C75" s="69" t="s">
        <v>741</v>
      </c>
      <c r="D75" s="69">
        <v>9860806480</v>
      </c>
      <c r="E75" s="69" t="s">
        <v>742</v>
      </c>
      <c r="F75" s="69" t="s">
        <v>739</v>
      </c>
      <c r="G75" s="26"/>
      <c r="H75" s="26">
        <v>52</v>
      </c>
      <c r="I75" s="26"/>
      <c r="J75" s="26">
        <v>52</v>
      </c>
      <c r="K75" s="26">
        <v>20</v>
      </c>
      <c r="L75" s="26"/>
      <c r="M75" s="26">
        <v>20</v>
      </c>
      <c r="N75" s="26">
        <v>13</v>
      </c>
      <c r="O75" s="26">
        <v>11</v>
      </c>
      <c r="P75" s="26">
        <v>15</v>
      </c>
      <c r="Q75" s="70">
        <v>5</v>
      </c>
      <c r="R75" s="26">
        <v>188</v>
      </c>
    </row>
    <row r="76" spans="1:18" x14ac:dyDescent="0.35">
      <c r="A76" s="69">
        <v>15210049</v>
      </c>
      <c r="B76" s="69" t="s">
        <v>736</v>
      </c>
      <c r="C76" s="69" t="s">
        <v>743</v>
      </c>
      <c r="D76" s="69">
        <v>9420815577</v>
      </c>
      <c r="E76" s="69" t="s">
        <v>744</v>
      </c>
      <c r="F76" s="69" t="s">
        <v>739</v>
      </c>
      <c r="G76" s="26">
        <v>34</v>
      </c>
      <c r="H76" s="26">
        <v>20</v>
      </c>
      <c r="I76" s="26"/>
      <c r="J76" s="26">
        <v>70</v>
      </c>
      <c r="K76" s="26"/>
      <c r="L76" s="26">
        <v>19</v>
      </c>
      <c r="M76" s="26">
        <v>5</v>
      </c>
      <c r="N76" s="26">
        <v>15</v>
      </c>
      <c r="O76" s="26">
        <v>15</v>
      </c>
      <c r="P76" s="26">
        <v>23</v>
      </c>
      <c r="Q76" s="70">
        <v>6</v>
      </c>
      <c r="R76" s="26">
        <v>207</v>
      </c>
    </row>
    <row r="77" spans="1:18" x14ac:dyDescent="0.35">
      <c r="A77" s="69">
        <v>15210051</v>
      </c>
      <c r="B77" s="69" t="s">
        <v>745</v>
      </c>
      <c r="C77" s="69" t="s">
        <v>746</v>
      </c>
      <c r="D77" s="69">
        <v>9422945000</v>
      </c>
      <c r="E77" s="69" t="s">
        <v>747</v>
      </c>
      <c r="F77" s="69" t="s">
        <v>739</v>
      </c>
      <c r="G77" s="26">
        <v>21</v>
      </c>
      <c r="H77" s="26"/>
      <c r="I77" s="26"/>
      <c r="J77" s="26">
        <v>99</v>
      </c>
      <c r="K77" s="26"/>
      <c r="L77" s="26">
        <v>10</v>
      </c>
      <c r="M77" s="26">
        <v>6</v>
      </c>
      <c r="N77" s="26">
        <v>9</v>
      </c>
      <c r="O77" s="26"/>
      <c r="P77" s="26">
        <v>15</v>
      </c>
      <c r="Q77" s="70">
        <v>0</v>
      </c>
      <c r="R77" s="26">
        <v>160</v>
      </c>
    </row>
    <row r="78" spans="1:18" x14ac:dyDescent="0.35">
      <c r="A78" s="69">
        <v>15210087</v>
      </c>
      <c r="B78" s="69" t="s">
        <v>748</v>
      </c>
      <c r="C78" s="69" t="s">
        <v>749</v>
      </c>
      <c r="D78" s="69">
        <v>9860806480</v>
      </c>
      <c r="E78" s="69" t="s">
        <v>750</v>
      </c>
      <c r="F78" s="69" t="s">
        <v>739</v>
      </c>
      <c r="G78" s="26"/>
      <c r="H78" s="26">
        <v>7</v>
      </c>
      <c r="I78" s="26"/>
      <c r="J78" s="26">
        <v>51</v>
      </c>
      <c r="K78" s="26">
        <v>4</v>
      </c>
      <c r="L78" s="26"/>
      <c r="M78" s="26">
        <v>4</v>
      </c>
      <c r="N78" s="26">
        <v>11</v>
      </c>
      <c r="O78" s="26">
        <v>0</v>
      </c>
      <c r="P78" s="26">
        <v>15</v>
      </c>
      <c r="Q78" s="70">
        <v>3</v>
      </c>
      <c r="R78" s="26">
        <v>95</v>
      </c>
    </row>
    <row r="79" spans="1:18" x14ac:dyDescent="0.35">
      <c r="A79" s="69">
        <v>15210091</v>
      </c>
      <c r="B79" s="69" t="s">
        <v>736</v>
      </c>
      <c r="C79" s="69" t="s">
        <v>751</v>
      </c>
      <c r="D79" s="69">
        <v>9890984899</v>
      </c>
      <c r="E79" s="69" t="s">
        <v>752</v>
      </c>
      <c r="F79" s="69" t="s">
        <v>739</v>
      </c>
      <c r="G79" s="26">
        <v>30</v>
      </c>
      <c r="H79" s="26">
        <v>14</v>
      </c>
      <c r="I79" s="26">
        <v>33</v>
      </c>
      <c r="J79" s="26">
        <v>57</v>
      </c>
      <c r="K79" s="26">
        <v>17</v>
      </c>
      <c r="L79" s="26"/>
      <c r="M79" s="26"/>
      <c r="N79" s="26">
        <v>0</v>
      </c>
      <c r="O79" s="26">
        <v>1</v>
      </c>
      <c r="P79" s="26">
        <v>29</v>
      </c>
      <c r="Q79" s="70">
        <v>4</v>
      </c>
      <c r="R79" s="26">
        <v>185</v>
      </c>
    </row>
    <row r="80" spans="1:18" x14ac:dyDescent="0.35">
      <c r="A80" s="69">
        <v>15210101</v>
      </c>
      <c r="B80" s="69" t="s">
        <v>753</v>
      </c>
      <c r="C80" s="69" t="s">
        <v>754</v>
      </c>
      <c r="D80" s="69">
        <v>9921952488</v>
      </c>
      <c r="E80" s="69" t="s">
        <v>755</v>
      </c>
      <c r="F80" s="69" t="s">
        <v>739</v>
      </c>
      <c r="G80" s="26">
        <v>21</v>
      </c>
      <c r="H80" s="26">
        <v>3</v>
      </c>
      <c r="I80" s="26"/>
      <c r="J80" s="26">
        <v>30</v>
      </c>
      <c r="K80" s="26">
        <v>1</v>
      </c>
      <c r="L80" s="26"/>
      <c r="M80" s="26"/>
      <c r="N80" s="26">
        <v>3</v>
      </c>
      <c r="O80" s="26">
        <v>1</v>
      </c>
      <c r="P80" s="26">
        <v>1</v>
      </c>
      <c r="Q80" s="70">
        <v>1</v>
      </c>
      <c r="R80" s="26">
        <v>61</v>
      </c>
    </row>
    <row r="81" spans="1:18" x14ac:dyDescent="0.35">
      <c r="A81" s="69">
        <v>15210144</v>
      </c>
      <c r="B81" s="69" t="s">
        <v>756</v>
      </c>
      <c r="C81" s="69" t="s">
        <v>757</v>
      </c>
      <c r="D81" s="69">
        <v>9970874230</v>
      </c>
      <c r="E81" s="69" t="s">
        <v>758</v>
      </c>
      <c r="F81" s="69" t="s">
        <v>739</v>
      </c>
      <c r="G81" s="26">
        <v>11</v>
      </c>
      <c r="H81" s="26"/>
      <c r="I81" s="26"/>
      <c r="J81" s="26">
        <v>29</v>
      </c>
      <c r="K81" s="26">
        <v>1</v>
      </c>
      <c r="L81" s="26"/>
      <c r="M81" s="26">
        <v>6</v>
      </c>
      <c r="N81" s="26"/>
      <c r="O81" s="26"/>
      <c r="P81" s="26">
        <v>0</v>
      </c>
      <c r="Q81" s="70">
        <v>0</v>
      </c>
      <c r="R81" s="26">
        <v>47</v>
      </c>
    </row>
    <row r="82" spans="1:18" x14ac:dyDescent="0.35">
      <c r="A82" s="69">
        <v>15210145</v>
      </c>
      <c r="B82" s="69" t="s">
        <v>759</v>
      </c>
      <c r="C82" s="69" t="s">
        <v>760</v>
      </c>
      <c r="D82" s="69">
        <v>8605906052</v>
      </c>
      <c r="E82" s="69" t="s">
        <v>761</v>
      </c>
      <c r="F82" s="69" t="s">
        <v>739</v>
      </c>
      <c r="G82" s="26">
        <v>11</v>
      </c>
      <c r="H82" s="26"/>
      <c r="I82" s="26">
        <v>24</v>
      </c>
      <c r="J82" s="26">
        <v>42</v>
      </c>
      <c r="K82" s="26"/>
      <c r="L82" s="26"/>
      <c r="M82" s="26"/>
      <c r="N82" s="26">
        <v>10</v>
      </c>
      <c r="O82" s="26">
        <v>0</v>
      </c>
      <c r="P82" s="26">
        <v>0</v>
      </c>
      <c r="Q82" s="70">
        <v>4</v>
      </c>
      <c r="R82" s="26">
        <v>91</v>
      </c>
    </row>
    <row r="83" spans="1:18" x14ac:dyDescent="0.35">
      <c r="A83" s="69">
        <v>15210146</v>
      </c>
      <c r="B83" s="69" t="s">
        <v>762</v>
      </c>
      <c r="C83" s="69" t="s">
        <v>763</v>
      </c>
      <c r="D83" s="69">
        <v>9881927158</v>
      </c>
      <c r="E83" s="69" t="s">
        <v>764</v>
      </c>
      <c r="F83" s="69" t="s">
        <v>739</v>
      </c>
      <c r="G83" s="26"/>
      <c r="H83" s="26">
        <v>3</v>
      </c>
      <c r="I83" s="26">
        <v>7</v>
      </c>
      <c r="J83" s="26">
        <v>10</v>
      </c>
      <c r="K83" s="26">
        <v>5</v>
      </c>
      <c r="L83" s="26">
        <v>4</v>
      </c>
      <c r="M83" s="26">
        <v>15</v>
      </c>
      <c r="N83" s="26">
        <v>3</v>
      </c>
      <c r="O83" s="26">
        <v>4</v>
      </c>
      <c r="P83" s="26">
        <v>1</v>
      </c>
      <c r="Q83" s="70">
        <v>0</v>
      </c>
      <c r="R83" s="26">
        <v>52</v>
      </c>
    </row>
    <row r="84" spans="1:18" x14ac:dyDescent="0.35">
      <c r="A84" s="69">
        <v>16210002</v>
      </c>
      <c r="B84" s="69" t="s">
        <v>765</v>
      </c>
      <c r="C84" s="69" t="s">
        <v>766</v>
      </c>
      <c r="D84" s="69">
        <v>9028042434</v>
      </c>
      <c r="E84" s="69" t="s">
        <v>767</v>
      </c>
      <c r="F84" s="69" t="s">
        <v>768</v>
      </c>
      <c r="G84" s="26">
        <v>27</v>
      </c>
      <c r="H84" s="26"/>
      <c r="I84" s="26">
        <v>21</v>
      </c>
      <c r="J84" s="26">
        <v>34</v>
      </c>
      <c r="K84" s="26">
        <v>23</v>
      </c>
      <c r="L84" s="26">
        <v>8</v>
      </c>
      <c r="M84" s="26">
        <v>10</v>
      </c>
      <c r="N84" s="26">
        <v>7</v>
      </c>
      <c r="O84" s="26">
        <v>0</v>
      </c>
      <c r="P84" s="26">
        <v>13</v>
      </c>
      <c r="Q84" s="70">
        <v>7</v>
      </c>
      <c r="R84" s="26">
        <v>150</v>
      </c>
    </row>
    <row r="85" spans="1:18" x14ac:dyDescent="0.35">
      <c r="A85" s="69">
        <v>16210003</v>
      </c>
      <c r="B85" s="69" t="s">
        <v>769</v>
      </c>
      <c r="C85" s="69" t="s">
        <v>770</v>
      </c>
      <c r="D85" s="69">
        <v>9890939072</v>
      </c>
      <c r="E85" s="69" t="s">
        <v>771</v>
      </c>
      <c r="F85" s="69" t="s">
        <v>768</v>
      </c>
      <c r="G85" s="26">
        <v>23</v>
      </c>
      <c r="H85" s="26">
        <v>10</v>
      </c>
      <c r="I85" s="26">
        <v>58</v>
      </c>
      <c r="J85" s="26">
        <v>63</v>
      </c>
      <c r="K85" s="26">
        <v>16</v>
      </c>
      <c r="L85" s="26">
        <v>18</v>
      </c>
      <c r="M85" s="26">
        <v>16</v>
      </c>
      <c r="N85" s="26">
        <v>13</v>
      </c>
      <c r="O85" s="26">
        <v>10</v>
      </c>
      <c r="P85" s="26">
        <v>10</v>
      </c>
      <c r="Q85" s="70">
        <v>3</v>
      </c>
      <c r="R85" s="26">
        <v>240</v>
      </c>
    </row>
    <row r="86" spans="1:18" x14ac:dyDescent="0.35">
      <c r="A86" s="69">
        <v>16210007</v>
      </c>
      <c r="B86" s="69" t="s">
        <v>772</v>
      </c>
      <c r="C86" s="69" t="s">
        <v>773</v>
      </c>
      <c r="D86" s="69">
        <v>9890076567</v>
      </c>
      <c r="E86" s="69" t="s">
        <v>774</v>
      </c>
      <c r="F86" s="69" t="s">
        <v>768</v>
      </c>
      <c r="G86" s="26">
        <v>51</v>
      </c>
      <c r="H86" s="26">
        <v>15</v>
      </c>
      <c r="I86" s="26">
        <v>53</v>
      </c>
      <c r="J86" s="26">
        <v>39</v>
      </c>
      <c r="K86" s="26">
        <v>17</v>
      </c>
      <c r="L86" s="26"/>
      <c r="M86" s="26">
        <v>28</v>
      </c>
      <c r="N86" s="26">
        <v>19</v>
      </c>
      <c r="O86" s="26">
        <v>14</v>
      </c>
      <c r="P86" s="26">
        <v>11</v>
      </c>
      <c r="Q86" s="70">
        <v>0</v>
      </c>
      <c r="R86" s="26">
        <v>247</v>
      </c>
    </row>
    <row r="87" spans="1:18" x14ac:dyDescent="0.35">
      <c r="A87" s="69">
        <v>16210008</v>
      </c>
      <c r="B87" s="69" t="s">
        <v>775</v>
      </c>
      <c r="C87" s="69" t="s">
        <v>776</v>
      </c>
      <c r="D87" s="69">
        <v>9422541749</v>
      </c>
      <c r="E87" s="69" t="s">
        <v>777</v>
      </c>
      <c r="F87" s="69" t="s">
        <v>768</v>
      </c>
      <c r="G87" s="26">
        <v>24</v>
      </c>
      <c r="H87" s="26"/>
      <c r="I87" s="26">
        <v>123</v>
      </c>
      <c r="J87" s="26">
        <v>34</v>
      </c>
      <c r="K87" s="26">
        <v>7</v>
      </c>
      <c r="L87" s="26"/>
      <c r="M87" s="26">
        <v>32</v>
      </c>
      <c r="N87" s="26">
        <v>14</v>
      </c>
      <c r="O87" s="26">
        <v>13</v>
      </c>
      <c r="P87" s="26">
        <v>17</v>
      </c>
      <c r="Q87" s="70">
        <v>2</v>
      </c>
      <c r="R87" s="26">
        <v>266</v>
      </c>
    </row>
    <row r="88" spans="1:18" x14ac:dyDescent="0.35">
      <c r="A88" s="69">
        <v>16210009</v>
      </c>
      <c r="B88" s="69" t="s">
        <v>778</v>
      </c>
      <c r="C88" s="69" t="s">
        <v>779</v>
      </c>
      <c r="D88" s="69">
        <v>9822093201</v>
      </c>
      <c r="E88" s="69" t="s">
        <v>780</v>
      </c>
      <c r="F88" s="69" t="s">
        <v>768</v>
      </c>
      <c r="G88" s="26">
        <v>49</v>
      </c>
      <c r="H88" s="26"/>
      <c r="I88" s="26"/>
      <c r="J88" s="26">
        <v>76</v>
      </c>
      <c r="K88" s="26"/>
      <c r="L88" s="26"/>
      <c r="M88" s="26">
        <v>32</v>
      </c>
      <c r="N88" s="26"/>
      <c r="O88" s="26">
        <v>11</v>
      </c>
      <c r="P88" s="26">
        <v>11</v>
      </c>
      <c r="Q88" s="70">
        <v>0</v>
      </c>
      <c r="R88" s="26">
        <v>179</v>
      </c>
    </row>
    <row r="89" spans="1:18" x14ac:dyDescent="0.35">
      <c r="A89" s="69">
        <v>16210010</v>
      </c>
      <c r="B89" s="69" t="s">
        <v>781</v>
      </c>
      <c r="C89" s="69" t="s">
        <v>782</v>
      </c>
      <c r="D89" s="69">
        <v>9823578786</v>
      </c>
      <c r="E89" s="69" t="s">
        <v>783</v>
      </c>
      <c r="F89" s="69" t="s">
        <v>768</v>
      </c>
      <c r="G89" s="26">
        <v>30</v>
      </c>
      <c r="H89" s="26">
        <v>9</v>
      </c>
      <c r="I89" s="26">
        <v>2</v>
      </c>
      <c r="J89" s="26">
        <v>62</v>
      </c>
      <c r="K89" s="26">
        <v>11</v>
      </c>
      <c r="L89" s="26">
        <v>9</v>
      </c>
      <c r="M89" s="26">
        <v>15</v>
      </c>
      <c r="N89" s="26">
        <v>3</v>
      </c>
      <c r="O89" s="26">
        <v>5</v>
      </c>
      <c r="P89" s="26">
        <v>10</v>
      </c>
      <c r="Q89" s="70">
        <v>11</v>
      </c>
      <c r="R89" s="26">
        <v>167</v>
      </c>
    </row>
    <row r="90" spans="1:18" x14ac:dyDescent="0.35">
      <c r="A90" s="69">
        <v>16210011</v>
      </c>
      <c r="B90" s="69" t="s">
        <v>784</v>
      </c>
      <c r="C90" s="69" t="s">
        <v>785</v>
      </c>
      <c r="D90" s="69">
        <v>9921835853</v>
      </c>
      <c r="E90" s="69" t="s">
        <v>786</v>
      </c>
      <c r="F90" s="69" t="s">
        <v>768</v>
      </c>
      <c r="G90" s="26">
        <v>13</v>
      </c>
      <c r="H90" s="26">
        <v>11</v>
      </c>
      <c r="I90" s="26">
        <v>64</v>
      </c>
      <c r="J90" s="26">
        <v>103</v>
      </c>
      <c r="K90" s="26">
        <v>85</v>
      </c>
      <c r="L90" s="26">
        <v>23</v>
      </c>
      <c r="M90" s="26">
        <v>15</v>
      </c>
      <c r="N90" s="26">
        <v>21</v>
      </c>
      <c r="O90" s="26">
        <v>20</v>
      </c>
      <c r="P90" s="26">
        <v>24</v>
      </c>
      <c r="Q90" s="70">
        <v>4</v>
      </c>
      <c r="R90" s="26">
        <v>383</v>
      </c>
    </row>
    <row r="91" spans="1:18" x14ac:dyDescent="0.35">
      <c r="A91" s="69">
        <v>16210012</v>
      </c>
      <c r="B91" s="69" t="s">
        <v>787</v>
      </c>
      <c r="C91" s="69" t="s">
        <v>788</v>
      </c>
      <c r="D91" s="69">
        <v>9373204998</v>
      </c>
      <c r="E91" s="69" t="s">
        <v>789</v>
      </c>
      <c r="F91" s="69" t="s">
        <v>768</v>
      </c>
      <c r="G91" s="26">
        <v>10</v>
      </c>
      <c r="H91" s="26"/>
      <c r="I91" s="26">
        <v>12</v>
      </c>
      <c r="J91" s="26">
        <v>46</v>
      </c>
      <c r="K91" s="26">
        <v>11</v>
      </c>
      <c r="L91" s="26">
        <v>7</v>
      </c>
      <c r="M91" s="26">
        <v>13</v>
      </c>
      <c r="N91" s="26">
        <v>9</v>
      </c>
      <c r="O91" s="26">
        <v>4</v>
      </c>
      <c r="P91" s="26">
        <v>5</v>
      </c>
      <c r="Q91" s="70">
        <v>0</v>
      </c>
      <c r="R91" s="26">
        <v>117</v>
      </c>
    </row>
    <row r="92" spans="1:18" x14ac:dyDescent="0.35">
      <c r="A92" s="69">
        <v>16210013</v>
      </c>
      <c r="B92" s="69" t="s">
        <v>790</v>
      </c>
      <c r="C92" s="69" t="s">
        <v>791</v>
      </c>
      <c r="D92" s="69">
        <v>9923274435</v>
      </c>
      <c r="E92" s="69" t="s">
        <v>792</v>
      </c>
      <c r="F92" s="69" t="s">
        <v>768</v>
      </c>
      <c r="G92" s="26">
        <v>34</v>
      </c>
      <c r="H92" s="26">
        <v>11</v>
      </c>
      <c r="I92" s="26"/>
      <c r="J92" s="26">
        <v>26</v>
      </c>
      <c r="K92" s="26">
        <v>14</v>
      </c>
      <c r="L92" s="26">
        <v>20</v>
      </c>
      <c r="M92" s="26">
        <v>18</v>
      </c>
      <c r="N92" s="26">
        <v>4</v>
      </c>
      <c r="O92" s="26">
        <v>30</v>
      </c>
      <c r="P92" s="26">
        <v>10</v>
      </c>
      <c r="Q92" s="70">
        <v>11</v>
      </c>
      <c r="R92" s="26">
        <v>178</v>
      </c>
    </row>
    <row r="93" spans="1:18" x14ac:dyDescent="0.35">
      <c r="A93" s="69">
        <v>16210015</v>
      </c>
      <c r="B93" s="69" t="s">
        <v>793</v>
      </c>
      <c r="C93" s="69" t="s">
        <v>794</v>
      </c>
      <c r="D93" s="69">
        <v>9422205486</v>
      </c>
      <c r="E93" s="69" t="s">
        <v>795</v>
      </c>
      <c r="F93" s="69" t="s">
        <v>768</v>
      </c>
      <c r="G93" s="26">
        <v>6</v>
      </c>
      <c r="H93" s="26">
        <v>8</v>
      </c>
      <c r="I93" s="26">
        <v>2</v>
      </c>
      <c r="J93" s="26">
        <v>31</v>
      </c>
      <c r="K93" s="26">
        <v>3</v>
      </c>
      <c r="L93" s="26">
        <v>8</v>
      </c>
      <c r="M93" s="26">
        <v>4</v>
      </c>
      <c r="N93" s="26"/>
      <c r="O93" s="26">
        <v>4</v>
      </c>
      <c r="P93" s="26">
        <v>6</v>
      </c>
      <c r="Q93" s="70">
        <v>0</v>
      </c>
      <c r="R93" s="26">
        <v>72</v>
      </c>
    </row>
    <row r="94" spans="1:18" x14ac:dyDescent="0.35">
      <c r="A94" s="69">
        <v>16210016</v>
      </c>
      <c r="B94" s="69" t="s">
        <v>796</v>
      </c>
      <c r="C94" s="69" t="s">
        <v>797</v>
      </c>
      <c r="D94" s="69">
        <v>9326929069</v>
      </c>
      <c r="E94" s="69" t="s">
        <v>798</v>
      </c>
      <c r="F94" s="69" t="s">
        <v>768</v>
      </c>
      <c r="G94" s="26">
        <v>40</v>
      </c>
      <c r="H94" s="26">
        <v>19</v>
      </c>
      <c r="I94" s="26">
        <v>50</v>
      </c>
      <c r="J94" s="26">
        <v>80</v>
      </c>
      <c r="K94" s="26">
        <v>42</v>
      </c>
      <c r="L94" s="26">
        <v>31</v>
      </c>
      <c r="M94" s="26">
        <v>23</v>
      </c>
      <c r="N94" s="26">
        <v>14</v>
      </c>
      <c r="O94" s="26">
        <v>17</v>
      </c>
      <c r="P94" s="26">
        <v>11</v>
      </c>
      <c r="Q94" s="70">
        <v>6</v>
      </c>
      <c r="R94" s="26">
        <v>333</v>
      </c>
    </row>
    <row r="95" spans="1:18" x14ac:dyDescent="0.35">
      <c r="A95" s="69">
        <v>16210018</v>
      </c>
      <c r="B95" s="69" t="s">
        <v>799</v>
      </c>
      <c r="C95" s="69" t="s">
        <v>800</v>
      </c>
      <c r="D95" s="69">
        <v>9730005320</v>
      </c>
      <c r="E95" s="69" t="s">
        <v>801</v>
      </c>
      <c r="F95" s="69" t="s">
        <v>768</v>
      </c>
      <c r="G95" s="26">
        <v>60</v>
      </c>
      <c r="H95" s="26">
        <v>12</v>
      </c>
      <c r="I95" s="26">
        <v>101</v>
      </c>
      <c r="J95" s="26">
        <v>141</v>
      </c>
      <c r="K95" s="26">
        <v>40</v>
      </c>
      <c r="L95" s="26">
        <v>8</v>
      </c>
      <c r="M95" s="26">
        <v>14</v>
      </c>
      <c r="N95" s="26">
        <v>9</v>
      </c>
      <c r="O95" s="26">
        <v>18</v>
      </c>
      <c r="P95" s="26">
        <v>31</v>
      </c>
      <c r="Q95" s="70">
        <v>7</v>
      </c>
      <c r="R95" s="26">
        <v>441</v>
      </c>
    </row>
    <row r="96" spans="1:18" x14ac:dyDescent="0.35">
      <c r="A96" s="69">
        <v>16210049</v>
      </c>
      <c r="B96" s="69" t="s">
        <v>802</v>
      </c>
      <c r="C96" s="69" t="s">
        <v>803</v>
      </c>
      <c r="D96" s="69">
        <v>9421692101</v>
      </c>
      <c r="E96" s="69" t="s">
        <v>804</v>
      </c>
      <c r="F96" s="69" t="s">
        <v>768</v>
      </c>
      <c r="G96" s="26">
        <v>29</v>
      </c>
      <c r="H96" s="26"/>
      <c r="I96" s="26">
        <v>29</v>
      </c>
      <c r="J96" s="26">
        <v>28</v>
      </c>
      <c r="K96" s="26">
        <v>14</v>
      </c>
      <c r="L96" s="26"/>
      <c r="M96" s="26">
        <v>14</v>
      </c>
      <c r="N96" s="26">
        <v>22</v>
      </c>
      <c r="O96" s="26">
        <v>7</v>
      </c>
      <c r="P96" s="26">
        <v>0</v>
      </c>
      <c r="Q96" s="70">
        <v>11</v>
      </c>
      <c r="R96" s="26">
        <v>154</v>
      </c>
    </row>
    <row r="97" spans="1:18" x14ac:dyDescent="0.35">
      <c r="A97" s="69">
        <v>16210061</v>
      </c>
      <c r="B97" s="69" t="s">
        <v>784</v>
      </c>
      <c r="C97" s="69" t="s">
        <v>805</v>
      </c>
      <c r="D97" s="69">
        <v>9422575887</v>
      </c>
      <c r="E97" s="69" t="s">
        <v>806</v>
      </c>
      <c r="F97" s="69" t="s">
        <v>768</v>
      </c>
      <c r="G97" s="26">
        <v>26</v>
      </c>
      <c r="H97" s="26">
        <v>20</v>
      </c>
      <c r="I97" s="26">
        <v>89</v>
      </c>
      <c r="J97" s="26">
        <v>52</v>
      </c>
      <c r="K97" s="26"/>
      <c r="L97" s="26">
        <v>34</v>
      </c>
      <c r="M97" s="26">
        <v>11</v>
      </c>
      <c r="N97" s="26">
        <v>16</v>
      </c>
      <c r="O97" s="26">
        <v>7</v>
      </c>
      <c r="P97" s="26">
        <v>7</v>
      </c>
      <c r="Q97" s="70">
        <v>1</v>
      </c>
      <c r="R97" s="26">
        <v>263</v>
      </c>
    </row>
    <row r="98" spans="1:18" x14ac:dyDescent="0.35">
      <c r="A98" s="69">
        <v>16210094</v>
      </c>
      <c r="B98" s="69" t="s">
        <v>807</v>
      </c>
      <c r="C98" s="69" t="s">
        <v>808</v>
      </c>
      <c r="D98" s="69">
        <v>9422713089</v>
      </c>
      <c r="E98" s="69" t="s">
        <v>809</v>
      </c>
      <c r="F98" s="69" t="s">
        <v>768</v>
      </c>
      <c r="G98" s="26">
        <v>35</v>
      </c>
      <c r="H98" s="26"/>
      <c r="I98" s="26"/>
      <c r="J98" s="26">
        <v>52</v>
      </c>
      <c r="K98" s="26">
        <v>14</v>
      </c>
      <c r="L98" s="26"/>
      <c r="M98" s="26">
        <v>9</v>
      </c>
      <c r="N98" s="26">
        <v>18</v>
      </c>
      <c r="O98" s="26">
        <v>0</v>
      </c>
      <c r="P98" s="26">
        <v>0</v>
      </c>
      <c r="Q98" s="70">
        <v>18</v>
      </c>
      <c r="R98" s="26">
        <v>146</v>
      </c>
    </row>
    <row r="99" spans="1:18" x14ac:dyDescent="0.35">
      <c r="A99" s="69">
        <v>16210156</v>
      </c>
      <c r="B99" s="69" t="s">
        <v>810</v>
      </c>
      <c r="C99" s="69" t="s">
        <v>811</v>
      </c>
      <c r="D99" s="69">
        <v>9028170448</v>
      </c>
      <c r="E99" s="69" t="s">
        <v>812</v>
      </c>
      <c r="F99" s="69" t="s">
        <v>768</v>
      </c>
      <c r="G99" s="26">
        <v>17</v>
      </c>
      <c r="H99" s="26">
        <v>4</v>
      </c>
      <c r="I99" s="26">
        <v>32</v>
      </c>
      <c r="J99" s="26">
        <v>50</v>
      </c>
      <c r="K99" s="26">
        <v>6</v>
      </c>
      <c r="L99" s="26"/>
      <c r="M99" s="26">
        <v>12</v>
      </c>
      <c r="N99" s="26">
        <v>13</v>
      </c>
      <c r="O99" s="26">
        <v>16</v>
      </c>
      <c r="P99" s="26">
        <v>5</v>
      </c>
      <c r="Q99" s="70">
        <v>0</v>
      </c>
      <c r="R99" s="26">
        <v>155</v>
      </c>
    </row>
    <row r="100" spans="1:18" x14ac:dyDescent="0.35">
      <c r="A100" s="69">
        <v>16210159</v>
      </c>
      <c r="B100" s="69" t="s">
        <v>813</v>
      </c>
      <c r="C100" s="69" t="s">
        <v>814</v>
      </c>
      <c r="D100" s="69">
        <v>9850501514</v>
      </c>
      <c r="E100" s="69" t="s">
        <v>815</v>
      </c>
      <c r="F100" s="69" t="s">
        <v>768</v>
      </c>
      <c r="G100" s="26">
        <v>15</v>
      </c>
      <c r="H100" s="26"/>
      <c r="I100" s="26">
        <v>68</v>
      </c>
      <c r="J100" s="26">
        <v>68</v>
      </c>
      <c r="K100" s="26"/>
      <c r="L100" s="26">
        <v>36</v>
      </c>
      <c r="M100" s="26">
        <v>11</v>
      </c>
      <c r="N100" s="26">
        <v>12</v>
      </c>
      <c r="O100" s="26">
        <v>5</v>
      </c>
      <c r="P100" s="26">
        <v>12</v>
      </c>
      <c r="Q100" s="70">
        <v>1</v>
      </c>
      <c r="R100" s="26">
        <v>228</v>
      </c>
    </row>
    <row r="101" spans="1:18" x14ac:dyDescent="0.35">
      <c r="A101" s="69">
        <v>16210160</v>
      </c>
      <c r="B101" s="69" t="s">
        <v>816</v>
      </c>
      <c r="C101" s="69" t="s">
        <v>817</v>
      </c>
      <c r="D101" s="69">
        <v>9028136651</v>
      </c>
      <c r="E101" s="69" t="s">
        <v>818</v>
      </c>
      <c r="F101" s="69" t="s">
        <v>768</v>
      </c>
      <c r="G101" s="26">
        <v>6</v>
      </c>
      <c r="H101" s="26">
        <v>4</v>
      </c>
      <c r="I101" s="26"/>
      <c r="J101" s="26">
        <v>15</v>
      </c>
      <c r="K101" s="26"/>
      <c r="L101" s="26">
        <v>9</v>
      </c>
      <c r="M101" s="26">
        <v>1</v>
      </c>
      <c r="N101" s="26">
        <v>2</v>
      </c>
      <c r="O101" s="26"/>
      <c r="P101" s="26">
        <v>9</v>
      </c>
      <c r="Q101" s="70">
        <v>0</v>
      </c>
      <c r="R101" s="26">
        <v>46</v>
      </c>
    </row>
    <row r="102" spans="1:18" x14ac:dyDescent="0.35">
      <c r="A102" s="69">
        <v>16210162</v>
      </c>
      <c r="B102" s="69" t="s">
        <v>819</v>
      </c>
      <c r="C102" s="69" t="s">
        <v>820</v>
      </c>
      <c r="D102" s="69">
        <v>9960760553</v>
      </c>
      <c r="E102" s="69" t="s">
        <v>821</v>
      </c>
      <c r="F102" s="69" t="s">
        <v>768</v>
      </c>
      <c r="G102" s="26">
        <v>33</v>
      </c>
      <c r="H102" s="26">
        <v>15</v>
      </c>
      <c r="I102" s="26">
        <v>63</v>
      </c>
      <c r="J102" s="26">
        <v>45</v>
      </c>
      <c r="K102" s="26">
        <v>19</v>
      </c>
      <c r="L102" s="26"/>
      <c r="M102" s="26">
        <v>20</v>
      </c>
      <c r="N102" s="26"/>
      <c r="O102" s="26">
        <v>7</v>
      </c>
      <c r="P102" s="26">
        <v>13</v>
      </c>
      <c r="Q102" s="70">
        <v>0</v>
      </c>
      <c r="R102" s="26">
        <v>215</v>
      </c>
    </row>
    <row r="103" spans="1:18" x14ac:dyDescent="0.35">
      <c r="A103" s="69">
        <v>16210169</v>
      </c>
      <c r="B103" s="69" t="s">
        <v>822</v>
      </c>
      <c r="C103" s="69" t="s">
        <v>823</v>
      </c>
      <c r="D103" s="69">
        <v>9922773137</v>
      </c>
      <c r="E103" s="69" t="s">
        <v>824</v>
      </c>
      <c r="F103" s="69" t="s">
        <v>768</v>
      </c>
      <c r="G103" s="26">
        <v>16</v>
      </c>
      <c r="H103" s="26">
        <v>45</v>
      </c>
      <c r="I103" s="26">
        <v>33</v>
      </c>
      <c r="J103" s="26">
        <v>75</v>
      </c>
      <c r="K103" s="26">
        <v>31</v>
      </c>
      <c r="L103" s="26">
        <v>23</v>
      </c>
      <c r="M103" s="26">
        <v>17</v>
      </c>
      <c r="N103" s="26">
        <v>30</v>
      </c>
      <c r="O103" s="26">
        <v>4</v>
      </c>
      <c r="P103" s="26">
        <v>42</v>
      </c>
      <c r="Q103" s="70">
        <v>6</v>
      </c>
      <c r="R103" s="26">
        <v>322</v>
      </c>
    </row>
    <row r="104" spans="1:18" x14ac:dyDescent="0.35">
      <c r="A104" s="69">
        <v>16210177</v>
      </c>
      <c r="B104" s="69" t="s">
        <v>825</v>
      </c>
      <c r="C104" s="69" t="s">
        <v>826</v>
      </c>
      <c r="D104" s="69">
        <v>9665066607</v>
      </c>
      <c r="E104" s="69" t="s">
        <v>827</v>
      </c>
      <c r="F104" s="69" t="s">
        <v>768</v>
      </c>
      <c r="G104" s="26"/>
      <c r="H104" s="26"/>
      <c r="I104" s="26"/>
      <c r="J104" s="26">
        <v>12</v>
      </c>
      <c r="K104" s="26">
        <v>8</v>
      </c>
      <c r="L104" s="26">
        <v>2</v>
      </c>
      <c r="M104" s="26">
        <v>13</v>
      </c>
      <c r="N104" s="26"/>
      <c r="O104" s="26">
        <v>4</v>
      </c>
      <c r="P104" s="26">
        <v>4</v>
      </c>
      <c r="Q104" s="70">
        <v>0</v>
      </c>
      <c r="R104" s="26">
        <v>43</v>
      </c>
    </row>
    <row r="105" spans="1:18" x14ac:dyDescent="0.35">
      <c r="A105" s="69">
        <v>16210185</v>
      </c>
      <c r="B105" s="69" t="s">
        <v>828</v>
      </c>
      <c r="C105" s="69" t="s">
        <v>829</v>
      </c>
      <c r="D105" s="69">
        <v>9923579667</v>
      </c>
      <c r="E105" s="69" t="s">
        <v>830</v>
      </c>
      <c r="F105" s="69" t="s">
        <v>768</v>
      </c>
      <c r="G105" s="26">
        <v>20</v>
      </c>
      <c r="H105" s="26">
        <v>2</v>
      </c>
      <c r="I105" s="26"/>
      <c r="J105" s="26">
        <v>53</v>
      </c>
      <c r="K105" s="26">
        <v>3</v>
      </c>
      <c r="L105" s="26">
        <v>4</v>
      </c>
      <c r="M105" s="26">
        <v>4</v>
      </c>
      <c r="N105" s="26">
        <v>8</v>
      </c>
      <c r="O105" s="26">
        <v>6</v>
      </c>
      <c r="P105" s="26">
        <v>7</v>
      </c>
      <c r="Q105" s="70">
        <v>3</v>
      </c>
      <c r="R105" s="26">
        <v>110</v>
      </c>
    </row>
    <row r="106" spans="1:18" x14ac:dyDescent="0.35">
      <c r="A106" s="69">
        <v>16210186</v>
      </c>
      <c r="B106" s="69" t="s">
        <v>831</v>
      </c>
      <c r="C106" s="69" t="s">
        <v>832</v>
      </c>
      <c r="D106" s="69">
        <v>9420811079</v>
      </c>
      <c r="E106" s="69" t="s">
        <v>833</v>
      </c>
      <c r="F106" s="69" t="s">
        <v>768</v>
      </c>
      <c r="G106" s="26">
        <v>7</v>
      </c>
      <c r="H106" s="26">
        <v>11</v>
      </c>
      <c r="I106" s="26"/>
      <c r="J106" s="26">
        <v>68</v>
      </c>
      <c r="K106" s="26"/>
      <c r="L106" s="26">
        <v>6</v>
      </c>
      <c r="M106" s="26">
        <v>0</v>
      </c>
      <c r="N106" s="26">
        <v>11</v>
      </c>
      <c r="O106" s="26">
        <v>7</v>
      </c>
      <c r="P106" s="26">
        <v>2</v>
      </c>
      <c r="Q106" s="70">
        <v>2</v>
      </c>
      <c r="R106" s="26">
        <v>114</v>
      </c>
    </row>
    <row r="107" spans="1:18" x14ac:dyDescent="0.35">
      <c r="A107" s="69">
        <v>16210192</v>
      </c>
      <c r="B107" s="69" t="s">
        <v>834</v>
      </c>
      <c r="C107" s="69" t="s">
        <v>835</v>
      </c>
      <c r="D107" s="69">
        <v>9595164270</v>
      </c>
      <c r="E107" s="69" t="s">
        <v>836</v>
      </c>
      <c r="F107" s="69" t="s">
        <v>768</v>
      </c>
      <c r="G107" s="26"/>
      <c r="H107" s="26">
        <v>4</v>
      </c>
      <c r="I107" s="26"/>
      <c r="J107" s="26">
        <v>9</v>
      </c>
      <c r="K107" s="26"/>
      <c r="L107" s="26">
        <v>2</v>
      </c>
      <c r="M107" s="26"/>
      <c r="N107" s="26">
        <v>2</v>
      </c>
      <c r="O107" s="26"/>
      <c r="P107" s="26">
        <v>0</v>
      </c>
      <c r="Q107" s="70">
        <v>0</v>
      </c>
      <c r="R107" s="26">
        <v>17</v>
      </c>
    </row>
    <row r="108" spans="1:18" x14ac:dyDescent="0.35">
      <c r="A108" s="69">
        <v>16210217</v>
      </c>
      <c r="B108" s="69" t="s">
        <v>837</v>
      </c>
      <c r="C108" s="69" t="s">
        <v>838</v>
      </c>
      <c r="D108" s="69">
        <v>9421686282</v>
      </c>
      <c r="E108" s="69" t="s">
        <v>839</v>
      </c>
      <c r="F108" s="69" t="s">
        <v>768</v>
      </c>
      <c r="G108" s="26">
        <v>15</v>
      </c>
      <c r="H108" s="26">
        <v>15</v>
      </c>
      <c r="I108" s="26">
        <v>21</v>
      </c>
      <c r="J108" s="26">
        <v>33</v>
      </c>
      <c r="K108" s="26"/>
      <c r="L108" s="26">
        <v>10</v>
      </c>
      <c r="M108" s="26">
        <v>10</v>
      </c>
      <c r="N108" s="26">
        <v>2</v>
      </c>
      <c r="O108" s="26">
        <v>6</v>
      </c>
      <c r="P108" s="26">
        <v>1</v>
      </c>
      <c r="Q108" s="70">
        <v>2</v>
      </c>
      <c r="R108" s="26">
        <v>115</v>
      </c>
    </row>
    <row r="109" spans="1:18" x14ac:dyDescent="0.35">
      <c r="A109" s="69">
        <v>16210243</v>
      </c>
      <c r="B109" s="69" t="s">
        <v>840</v>
      </c>
      <c r="C109" s="69" t="s">
        <v>841</v>
      </c>
      <c r="D109" s="69">
        <v>9764006177</v>
      </c>
      <c r="E109" s="69" t="s">
        <v>842</v>
      </c>
      <c r="F109" s="69" t="s">
        <v>768</v>
      </c>
      <c r="G109" s="26"/>
      <c r="H109" s="26"/>
      <c r="I109" s="26"/>
      <c r="J109" s="26">
        <v>73</v>
      </c>
      <c r="K109" s="26"/>
      <c r="L109" s="26"/>
      <c r="M109" s="26"/>
      <c r="N109" s="26"/>
      <c r="O109" s="26"/>
      <c r="P109" s="26">
        <v>0</v>
      </c>
      <c r="Q109" s="70">
        <v>0</v>
      </c>
      <c r="R109" s="26">
        <v>73</v>
      </c>
    </row>
    <row r="110" spans="1:18" x14ac:dyDescent="0.35">
      <c r="A110" s="69">
        <v>16210285</v>
      </c>
      <c r="B110" s="69" t="s">
        <v>843</v>
      </c>
      <c r="C110" s="69" t="s">
        <v>844</v>
      </c>
      <c r="D110" s="69">
        <v>9422202771</v>
      </c>
      <c r="E110" s="69" t="s">
        <v>845</v>
      </c>
      <c r="F110" s="69" t="s">
        <v>768</v>
      </c>
      <c r="G110" s="26">
        <v>10</v>
      </c>
      <c r="H110" s="26">
        <v>6</v>
      </c>
      <c r="I110" s="26">
        <v>5</v>
      </c>
      <c r="J110" s="26">
        <v>25</v>
      </c>
      <c r="K110" s="26">
        <v>8</v>
      </c>
      <c r="L110" s="26">
        <v>2</v>
      </c>
      <c r="M110" s="26">
        <v>3</v>
      </c>
      <c r="N110" s="26">
        <v>4</v>
      </c>
      <c r="O110" s="26">
        <v>3</v>
      </c>
      <c r="P110" s="26">
        <v>6</v>
      </c>
      <c r="Q110" s="70">
        <v>1</v>
      </c>
      <c r="R110" s="26">
        <v>73</v>
      </c>
    </row>
    <row r="111" spans="1:18" x14ac:dyDescent="0.35">
      <c r="A111" s="69">
        <v>16210300</v>
      </c>
      <c r="B111" s="69" t="s">
        <v>846</v>
      </c>
      <c r="C111" s="69" t="s">
        <v>847</v>
      </c>
      <c r="D111" s="69">
        <v>9371580193</v>
      </c>
      <c r="E111" s="69" t="s">
        <v>848</v>
      </c>
      <c r="F111" s="69" t="s">
        <v>768</v>
      </c>
      <c r="G111" s="26"/>
      <c r="H111" s="26">
        <v>15</v>
      </c>
      <c r="I111" s="26"/>
      <c r="J111" s="26">
        <v>20</v>
      </c>
      <c r="K111" s="26"/>
      <c r="L111" s="26">
        <v>4</v>
      </c>
      <c r="M111" s="26">
        <v>6</v>
      </c>
      <c r="N111" s="26">
        <v>5</v>
      </c>
      <c r="O111" s="26"/>
      <c r="P111" s="26">
        <v>0</v>
      </c>
      <c r="Q111" s="70">
        <v>2</v>
      </c>
      <c r="R111" s="26">
        <v>52</v>
      </c>
    </row>
    <row r="112" spans="1:18" x14ac:dyDescent="0.35">
      <c r="A112" s="69">
        <v>16210325</v>
      </c>
      <c r="B112" s="69" t="s">
        <v>849</v>
      </c>
      <c r="C112" s="69" t="s">
        <v>850</v>
      </c>
      <c r="D112" s="69">
        <v>9224367597</v>
      </c>
      <c r="E112" s="69" t="s">
        <v>851</v>
      </c>
      <c r="F112" s="69" t="s">
        <v>768</v>
      </c>
      <c r="G112" s="26">
        <v>2</v>
      </c>
      <c r="H112" s="26">
        <v>1</v>
      </c>
      <c r="I112" s="26">
        <v>8</v>
      </c>
      <c r="J112" s="26">
        <v>20</v>
      </c>
      <c r="K112" s="26">
        <v>2</v>
      </c>
      <c r="L112" s="26"/>
      <c r="M112" s="26">
        <v>9</v>
      </c>
      <c r="N112" s="26">
        <v>3</v>
      </c>
      <c r="O112" s="26">
        <v>2</v>
      </c>
      <c r="P112" s="26">
        <v>4</v>
      </c>
      <c r="Q112" s="70">
        <v>3</v>
      </c>
      <c r="R112" s="26">
        <v>54</v>
      </c>
    </row>
    <row r="113" spans="1:18" x14ac:dyDescent="0.35">
      <c r="A113" s="69">
        <v>16210331</v>
      </c>
      <c r="B113" s="69" t="s">
        <v>852</v>
      </c>
      <c r="C113" s="69" t="s">
        <v>853</v>
      </c>
      <c r="D113" s="69">
        <v>9970725262</v>
      </c>
      <c r="E113" s="69" t="s">
        <v>854</v>
      </c>
      <c r="F113" s="69" t="s">
        <v>768</v>
      </c>
      <c r="G113" s="26">
        <v>3</v>
      </c>
      <c r="H113" s="26">
        <v>2</v>
      </c>
      <c r="I113" s="26">
        <v>19</v>
      </c>
      <c r="J113" s="26">
        <v>6</v>
      </c>
      <c r="K113" s="26">
        <v>5</v>
      </c>
      <c r="L113" s="26">
        <v>1</v>
      </c>
      <c r="M113" s="26"/>
      <c r="N113" s="26">
        <v>0</v>
      </c>
      <c r="O113" s="26">
        <v>0</v>
      </c>
      <c r="P113" s="26">
        <v>0</v>
      </c>
      <c r="Q113" s="70">
        <v>2</v>
      </c>
      <c r="R113" s="26">
        <v>38</v>
      </c>
    </row>
    <row r="114" spans="1:18" x14ac:dyDescent="0.35">
      <c r="A114" s="69">
        <v>16210333</v>
      </c>
      <c r="B114" s="69" t="s">
        <v>855</v>
      </c>
      <c r="C114" s="69" t="s">
        <v>856</v>
      </c>
      <c r="D114" s="69">
        <v>9552288446</v>
      </c>
      <c r="E114" s="69" t="s">
        <v>857</v>
      </c>
      <c r="F114" s="69" t="s">
        <v>768</v>
      </c>
      <c r="G114" s="26">
        <v>16</v>
      </c>
      <c r="H114" s="26">
        <v>10</v>
      </c>
      <c r="I114" s="26">
        <v>4</v>
      </c>
      <c r="J114" s="26">
        <v>6</v>
      </c>
      <c r="K114" s="26">
        <v>7</v>
      </c>
      <c r="L114" s="26">
        <v>1</v>
      </c>
      <c r="M114" s="26">
        <v>6</v>
      </c>
      <c r="N114" s="26">
        <v>5</v>
      </c>
      <c r="O114" s="26">
        <v>8</v>
      </c>
      <c r="P114" s="26">
        <v>4</v>
      </c>
      <c r="Q114" s="70">
        <v>2</v>
      </c>
      <c r="R114" s="26">
        <v>69</v>
      </c>
    </row>
    <row r="115" spans="1:18" x14ac:dyDescent="0.35">
      <c r="A115" s="69">
        <v>16210334</v>
      </c>
      <c r="B115" s="69" t="s">
        <v>855</v>
      </c>
      <c r="C115" s="69" t="s">
        <v>858</v>
      </c>
      <c r="D115" s="69">
        <v>8421031503</v>
      </c>
      <c r="E115" s="69" t="s">
        <v>859</v>
      </c>
      <c r="F115" s="69" t="s">
        <v>768</v>
      </c>
      <c r="G115" s="26">
        <v>24</v>
      </c>
      <c r="H115" s="26">
        <v>10</v>
      </c>
      <c r="I115" s="26">
        <v>5</v>
      </c>
      <c r="J115" s="26">
        <v>30</v>
      </c>
      <c r="K115" s="26">
        <v>7</v>
      </c>
      <c r="L115" s="26">
        <v>8</v>
      </c>
      <c r="M115" s="26">
        <v>7</v>
      </c>
      <c r="N115" s="26">
        <v>7</v>
      </c>
      <c r="O115" s="26">
        <v>2</v>
      </c>
      <c r="P115" s="26">
        <v>15</v>
      </c>
      <c r="Q115" s="70">
        <v>6</v>
      </c>
      <c r="R115" s="26">
        <v>121</v>
      </c>
    </row>
    <row r="116" spans="1:18" x14ac:dyDescent="0.35">
      <c r="A116" s="69">
        <v>16210347</v>
      </c>
      <c r="B116" s="69" t="s">
        <v>860</v>
      </c>
      <c r="C116" s="69" t="s">
        <v>861</v>
      </c>
      <c r="D116" s="69">
        <v>9922201612</v>
      </c>
      <c r="E116" s="69" t="s">
        <v>862</v>
      </c>
      <c r="F116" s="69" t="s">
        <v>768</v>
      </c>
      <c r="G116" s="26"/>
      <c r="H116" s="26">
        <v>7</v>
      </c>
      <c r="I116" s="26">
        <v>14</v>
      </c>
      <c r="J116" s="26">
        <v>7</v>
      </c>
      <c r="K116" s="26"/>
      <c r="L116" s="26"/>
      <c r="M116" s="26"/>
      <c r="N116" s="26">
        <v>10</v>
      </c>
      <c r="O116" s="26">
        <v>2</v>
      </c>
      <c r="P116" s="26">
        <v>4</v>
      </c>
      <c r="Q116" s="70">
        <v>3</v>
      </c>
      <c r="R116" s="26">
        <v>47</v>
      </c>
    </row>
    <row r="117" spans="1:18" x14ac:dyDescent="0.35">
      <c r="A117" s="69">
        <v>16210351</v>
      </c>
      <c r="B117" s="69" t="s">
        <v>863</v>
      </c>
      <c r="C117" s="69" t="s">
        <v>864</v>
      </c>
      <c r="D117" s="69">
        <v>9421273046</v>
      </c>
      <c r="E117" s="69" t="s">
        <v>865</v>
      </c>
      <c r="F117" s="69" t="s">
        <v>768</v>
      </c>
      <c r="G117" s="26">
        <v>9</v>
      </c>
      <c r="H117" s="26">
        <v>6</v>
      </c>
      <c r="I117" s="26">
        <v>21</v>
      </c>
      <c r="J117" s="26">
        <v>18</v>
      </c>
      <c r="K117" s="26">
        <v>10</v>
      </c>
      <c r="L117" s="26">
        <v>3</v>
      </c>
      <c r="M117" s="26"/>
      <c r="N117" s="26">
        <v>15</v>
      </c>
      <c r="O117" s="26">
        <v>3</v>
      </c>
      <c r="P117" s="26">
        <v>3</v>
      </c>
      <c r="Q117" s="70">
        <v>1</v>
      </c>
      <c r="R117" s="26">
        <v>89</v>
      </c>
    </row>
    <row r="118" spans="1:18" x14ac:dyDescent="0.35">
      <c r="A118" s="69">
        <v>17210010</v>
      </c>
      <c r="B118" s="69" t="s">
        <v>807</v>
      </c>
      <c r="C118" s="69" t="s">
        <v>866</v>
      </c>
      <c r="D118" s="69">
        <v>9890179748</v>
      </c>
      <c r="E118" s="69" t="s">
        <v>867</v>
      </c>
      <c r="F118" s="69" t="s">
        <v>868</v>
      </c>
      <c r="G118" s="26">
        <v>73</v>
      </c>
      <c r="H118" s="26">
        <v>12</v>
      </c>
      <c r="I118" s="26">
        <v>57</v>
      </c>
      <c r="J118" s="26">
        <v>117</v>
      </c>
      <c r="K118" s="26">
        <v>32</v>
      </c>
      <c r="L118" s="26">
        <v>17</v>
      </c>
      <c r="M118" s="26">
        <v>42</v>
      </c>
      <c r="N118" s="26">
        <v>28</v>
      </c>
      <c r="O118" s="26">
        <v>53</v>
      </c>
      <c r="P118" s="26">
        <v>15</v>
      </c>
      <c r="Q118" s="70">
        <v>0</v>
      </c>
      <c r="R118" s="26">
        <v>446</v>
      </c>
    </row>
    <row r="119" spans="1:18" x14ac:dyDescent="0.35">
      <c r="A119" s="69">
        <v>17210034</v>
      </c>
      <c r="B119" s="69" t="s">
        <v>869</v>
      </c>
      <c r="C119" s="69" t="s">
        <v>870</v>
      </c>
      <c r="D119" s="69">
        <v>9370332866</v>
      </c>
      <c r="E119" s="69" t="s">
        <v>871</v>
      </c>
      <c r="F119" s="69" t="s">
        <v>868</v>
      </c>
      <c r="G119" s="26">
        <v>72</v>
      </c>
      <c r="H119" s="26">
        <v>10</v>
      </c>
      <c r="I119" s="26">
        <v>54</v>
      </c>
      <c r="J119" s="26">
        <v>335</v>
      </c>
      <c r="K119" s="26">
        <v>54</v>
      </c>
      <c r="L119" s="26">
        <v>17</v>
      </c>
      <c r="M119" s="26">
        <v>46</v>
      </c>
      <c r="N119" s="26">
        <v>60</v>
      </c>
      <c r="O119" s="26">
        <v>12</v>
      </c>
      <c r="P119" s="26">
        <v>8</v>
      </c>
      <c r="Q119" s="70">
        <v>11</v>
      </c>
      <c r="R119" s="26">
        <v>679</v>
      </c>
    </row>
    <row r="120" spans="1:18" x14ac:dyDescent="0.35">
      <c r="A120" s="69">
        <v>17210059</v>
      </c>
      <c r="B120" s="69" t="s">
        <v>872</v>
      </c>
      <c r="C120" s="69" t="s">
        <v>873</v>
      </c>
      <c r="D120" s="69">
        <v>9371761331</v>
      </c>
      <c r="E120" s="69" t="s">
        <v>874</v>
      </c>
      <c r="F120" s="69" t="s">
        <v>868</v>
      </c>
      <c r="G120" s="26">
        <v>36</v>
      </c>
      <c r="H120" s="26">
        <v>1</v>
      </c>
      <c r="I120" s="26">
        <v>50</v>
      </c>
      <c r="J120" s="26">
        <v>66</v>
      </c>
      <c r="K120" s="26">
        <v>32</v>
      </c>
      <c r="L120" s="26">
        <v>34</v>
      </c>
      <c r="M120" s="26">
        <v>11</v>
      </c>
      <c r="N120" s="26">
        <v>12</v>
      </c>
      <c r="O120" s="26">
        <v>10</v>
      </c>
      <c r="P120" s="26">
        <v>46</v>
      </c>
      <c r="Q120" s="70">
        <v>0</v>
      </c>
      <c r="R120" s="26">
        <v>298</v>
      </c>
    </row>
    <row r="121" spans="1:18" x14ac:dyDescent="0.35">
      <c r="A121" s="69">
        <v>17210060</v>
      </c>
      <c r="B121" s="69" t="s">
        <v>875</v>
      </c>
      <c r="C121" s="69" t="s">
        <v>876</v>
      </c>
      <c r="D121" s="69">
        <v>9822069547</v>
      </c>
      <c r="E121" s="69" t="s">
        <v>877</v>
      </c>
      <c r="F121" s="69" t="s">
        <v>868</v>
      </c>
      <c r="G121" s="26">
        <v>260</v>
      </c>
      <c r="H121" s="26">
        <v>53</v>
      </c>
      <c r="I121" s="26"/>
      <c r="J121" s="26">
        <v>493</v>
      </c>
      <c r="K121" s="26">
        <v>76</v>
      </c>
      <c r="L121" s="26"/>
      <c r="M121" s="26">
        <v>76</v>
      </c>
      <c r="N121" s="26">
        <v>44</v>
      </c>
      <c r="O121" s="26">
        <v>30</v>
      </c>
      <c r="P121" s="26">
        <v>35</v>
      </c>
      <c r="Q121" s="70">
        <v>8</v>
      </c>
      <c r="R121" s="26">
        <v>1075</v>
      </c>
    </row>
    <row r="122" spans="1:18" x14ac:dyDescent="0.35">
      <c r="A122" s="69">
        <v>17210096</v>
      </c>
      <c r="B122" s="69" t="s">
        <v>878</v>
      </c>
      <c r="C122" s="69" t="s">
        <v>879</v>
      </c>
      <c r="D122" s="69">
        <v>9850292251</v>
      </c>
      <c r="E122" s="69" t="s">
        <v>880</v>
      </c>
      <c r="F122" s="69" t="s">
        <v>868</v>
      </c>
      <c r="G122" s="26">
        <v>24</v>
      </c>
      <c r="H122" s="26"/>
      <c r="I122" s="26"/>
      <c r="J122" s="26">
        <v>96</v>
      </c>
      <c r="K122" s="26">
        <v>7</v>
      </c>
      <c r="L122" s="26"/>
      <c r="M122" s="26">
        <v>20</v>
      </c>
      <c r="N122" s="26">
        <v>3</v>
      </c>
      <c r="O122" s="26"/>
      <c r="P122" s="26">
        <v>0</v>
      </c>
      <c r="Q122" s="70">
        <v>0</v>
      </c>
      <c r="R122" s="26">
        <v>150</v>
      </c>
    </row>
    <row r="123" spans="1:18" x14ac:dyDescent="0.35">
      <c r="A123" s="69">
        <v>17210107</v>
      </c>
      <c r="B123" s="69" t="s">
        <v>881</v>
      </c>
      <c r="C123" s="69" t="s">
        <v>882</v>
      </c>
      <c r="D123" s="69">
        <v>9011711185</v>
      </c>
      <c r="E123" s="69" t="s">
        <v>883</v>
      </c>
      <c r="F123" s="69" t="s">
        <v>868</v>
      </c>
      <c r="G123" s="26">
        <v>62</v>
      </c>
      <c r="H123" s="26">
        <v>12</v>
      </c>
      <c r="I123" s="26"/>
      <c r="J123" s="26">
        <v>119</v>
      </c>
      <c r="K123" s="26">
        <v>19</v>
      </c>
      <c r="L123" s="26">
        <v>2</v>
      </c>
      <c r="M123" s="26">
        <v>3</v>
      </c>
      <c r="N123" s="26">
        <v>26</v>
      </c>
      <c r="O123" s="26">
        <v>2</v>
      </c>
      <c r="P123" s="26">
        <v>0</v>
      </c>
      <c r="Q123" s="70">
        <v>11</v>
      </c>
      <c r="R123" s="26">
        <v>256</v>
      </c>
    </row>
    <row r="124" spans="1:18" x14ac:dyDescent="0.35">
      <c r="A124" s="69">
        <v>17210109</v>
      </c>
      <c r="B124" s="69" t="s">
        <v>884</v>
      </c>
      <c r="C124" s="69" t="s">
        <v>885</v>
      </c>
      <c r="D124" s="69">
        <v>9423467299</v>
      </c>
      <c r="E124" s="69" t="s">
        <v>886</v>
      </c>
      <c r="F124" s="69" t="s">
        <v>868</v>
      </c>
      <c r="G124" s="26">
        <v>12</v>
      </c>
      <c r="H124" s="26"/>
      <c r="I124" s="26">
        <v>28</v>
      </c>
      <c r="J124" s="26">
        <v>43</v>
      </c>
      <c r="K124" s="26">
        <v>18</v>
      </c>
      <c r="L124" s="26"/>
      <c r="M124" s="26">
        <v>9</v>
      </c>
      <c r="N124" s="26">
        <v>2</v>
      </c>
      <c r="O124" s="26">
        <v>7</v>
      </c>
      <c r="P124" s="26">
        <v>4</v>
      </c>
      <c r="Q124" s="70">
        <v>1</v>
      </c>
      <c r="R124" s="26">
        <v>124</v>
      </c>
    </row>
    <row r="125" spans="1:18" x14ac:dyDescent="0.35">
      <c r="A125" s="69">
        <v>17210112</v>
      </c>
      <c r="B125" s="69" t="s">
        <v>887</v>
      </c>
      <c r="C125" s="69" t="s">
        <v>888</v>
      </c>
      <c r="D125" s="69">
        <v>9890684382</v>
      </c>
      <c r="E125" s="69" t="s">
        <v>889</v>
      </c>
      <c r="F125" s="69" t="s">
        <v>868</v>
      </c>
      <c r="G125" s="26">
        <v>102</v>
      </c>
      <c r="H125" s="26">
        <v>2</v>
      </c>
      <c r="I125" s="26">
        <v>50</v>
      </c>
      <c r="J125" s="26">
        <v>83</v>
      </c>
      <c r="K125" s="26">
        <v>18</v>
      </c>
      <c r="L125" s="26">
        <v>4</v>
      </c>
      <c r="M125" s="26">
        <v>6</v>
      </c>
      <c r="N125" s="26">
        <v>4</v>
      </c>
      <c r="O125" s="26">
        <v>6</v>
      </c>
      <c r="P125" s="26">
        <v>8</v>
      </c>
      <c r="Q125" s="70">
        <v>2</v>
      </c>
      <c r="R125" s="26">
        <v>285</v>
      </c>
    </row>
    <row r="126" spans="1:18" x14ac:dyDescent="0.35">
      <c r="A126" s="69">
        <v>17210149</v>
      </c>
      <c r="B126" s="69" t="s">
        <v>890</v>
      </c>
      <c r="C126" s="69" t="s">
        <v>891</v>
      </c>
      <c r="D126" s="69">
        <v>9850967905</v>
      </c>
      <c r="E126" s="69" t="s">
        <v>892</v>
      </c>
      <c r="F126" s="69" t="s">
        <v>868</v>
      </c>
      <c r="G126" s="26">
        <v>33</v>
      </c>
      <c r="H126" s="26">
        <v>13</v>
      </c>
      <c r="I126" s="26">
        <v>88</v>
      </c>
      <c r="J126" s="26">
        <v>91</v>
      </c>
      <c r="K126" s="26">
        <v>45</v>
      </c>
      <c r="L126" s="26">
        <v>11</v>
      </c>
      <c r="M126" s="26">
        <v>41</v>
      </c>
      <c r="N126" s="26"/>
      <c r="O126" s="26">
        <v>32</v>
      </c>
      <c r="P126" s="26">
        <v>22</v>
      </c>
      <c r="Q126" s="70">
        <v>0</v>
      </c>
      <c r="R126" s="26">
        <v>376</v>
      </c>
    </row>
    <row r="127" spans="1:18" x14ac:dyDescent="0.35">
      <c r="A127" s="69">
        <v>17210161</v>
      </c>
      <c r="B127" s="69" t="s">
        <v>893</v>
      </c>
      <c r="C127" s="69" t="s">
        <v>894</v>
      </c>
      <c r="D127" s="69">
        <v>9970711606</v>
      </c>
      <c r="E127" s="69" t="s">
        <v>895</v>
      </c>
      <c r="F127" s="69" t="s">
        <v>868</v>
      </c>
      <c r="G127" s="26">
        <v>7</v>
      </c>
      <c r="H127" s="26"/>
      <c r="I127" s="26">
        <v>80</v>
      </c>
      <c r="J127" s="26">
        <v>24</v>
      </c>
      <c r="K127" s="26">
        <v>5</v>
      </c>
      <c r="L127" s="26"/>
      <c r="M127" s="26">
        <v>10</v>
      </c>
      <c r="N127" s="26"/>
      <c r="O127" s="26">
        <v>3</v>
      </c>
      <c r="P127" s="26">
        <v>4</v>
      </c>
      <c r="Q127" s="70">
        <v>0</v>
      </c>
      <c r="R127" s="26">
        <v>133</v>
      </c>
    </row>
    <row r="128" spans="1:18" x14ac:dyDescent="0.35">
      <c r="A128" s="69">
        <v>17210168</v>
      </c>
      <c r="B128" s="69" t="s">
        <v>896</v>
      </c>
      <c r="C128" s="69" t="s">
        <v>897</v>
      </c>
      <c r="D128" s="69">
        <v>9421560411</v>
      </c>
      <c r="E128" s="69" t="s">
        <v>898</v>
      </c>
      <c r="F128" s="69" t="s">
        <v>868</v>
      </c>
      <c r="G128" s="26">
        <v>4</v>
      </c>
      <c r="H128" s="26"/>
      <c r="I128" s="26">
        <v>86</v>
      </c>
      <c r="J128" s="26">
        <v>76</v>
      </c>
      <c r="K128" s="26">
        <v>7</v>
      </c>
      <c r="L128" s="26">
        <v>3</v>
      </c>
      <c r="M128" s="26">
        <v>4</v>
      </c>
      <c r="N128" s="26">
        <v>12</v>
      </c>
      <c r="O128" s="26"/>
      <c r="P128" s="26">
        <v>5</v>
      </c>
      <c r="Q128" s="70">
        <v>2</v>
      </c>
      <c r="R128" s="26">
        <v>199</v>
      </c>
    </row>
    <row r="129" spans="1:18" x14ac:dyDescent="0.35">
      <c r="A129" s="69">
        <v>17210183</v>
      </c>
      <c r="B129" s="69" t="s">
        <v>899</v>
      </c>
      <c r="C129" s="69" t="s">
        <v>900</v>
      </c>
      <c r="D129" s="69">
        <v>9423461913</v>
      </c>
      <c r="E129" s="69" t="s">
        <v>901</v>
      </c>
      <c r="F129" s="69" t="s">
        <v>868</v>
      </c>
      <c r="G129" s="26"/>
      <c r="H129" s="26">
        <v>23</v>
      </c>
      <c r="I129" s="26"/>
      <c r="J129" s="26">
        <v>40</v>
      </c>
      <c r="K129" s="26"/>
      <c r="L129" s="26">
        <v>23</v>
      </c>
      <c r="M129" s="26"/>
      <c r="N129" s="26"/>
      <c r="O129" s="26">
        <v>21</v>
      </c>
      <c r="P129" s="26">
        <v>23</v>
      </c>
      <c r="Q129" s="70">
        <v>0</v>
      </c>
      <c r="R129" s="26">
        <v>130</v>
      </c>
    </row>
    <row r="130" spans="1:18" x14ac:dyDescent="0.35">
      <c r="A130" s="69">
        <v>17210194</v>
      </c>
      <c r="B130" s="69" t="s">
        <v>902</v>
      </c>
      <c r="C130" s="69" t="s">
        <v>903</v>
      </c>
      <c r="D130" s="69">
        <v>9423793421</v>
      </c>
      <c r="E130" s="69" t="s">
        <v>904</v>
      </c>
      <c r="F130" s="69" t="s">
        <v>868</v>
      </c>
      <c r="G130" s="26">
        <v>28</v>
      </c>
      <c r="H130" s="26">
        <v>122</v>
      </c>
      <c r="I130" s="26"/>
      <c r="J130" s="26">
        <v>116</v>
      </c>
      <c r="K130" s="26">
        <v>34</v>
      </c>
      <c r="L130" s="26">
        <v>13</v>
      </c>
      <c r="M130" s="26">
        <v>15</v>
      </c>
      <c r="N130" s="26"/>
      <c r="O130" s="26">
        <v>7</v>
      </c>
      <c r="P130" s="26">
        <v>12</v>
      </c>
      <c r="Q130" s="70">
        <v>1</v>
      </c>
      <c r="R130" s="26">
        <v>348</v>
      </c>
    </row>
    <row r="131" spans="1:18" x14ac:dyDescent="0.35">
      <c r="A131" s="69">
        <v>17210205</v>
      </c>
      <c r="B131" s="69" t="s">
        <v>905</v>
      </c>
      <c r="C131" s="69" t="s">
        <v>906</v>
      </c>
      <c r="D131" s="69">
        <v>9423754209</v>
      </c>
      <c r="E131" s="69" t="s">
        <v>907</v>
      </c>
      <c r="F131" s="69" t="s">
        <v>868</v>
      </c>
      <c r="G131" s="26">
        <v>35</v>
      </c>
      <c r="H131" s="26"/>
      <c r="I131" s="26">
        <v>18</v>
      </c>
      <c r="J131" s="26">
        <v>38</v>
      </c>
      <c r="K131" s="26">
        <v>22</v>
      </c>
      <c r="L131" s="26">
        <v>2</v>
      </c>
      <c r="M131" s="26">
        <v>4</v>
      </c>
      <c r="N131" s="26">
        <v>1</v>
      </c>
      <c r="O131" s="26"/>
      <c r="P131" s="26">
        <v>5</v>
      </c>
      <c r="Q131" s="70">
        <v>0</v>
      </c>
      <c r="R131" s="26">
        <v>125</v>
      </c>
    </row>
    <row r="132" spans="1:18" x14ac:dyDescent="0.35">
      <c r="A132" s="69">
        <v>17210233</v>
      </c>
      <c r="B132" s="69" t="s">
        <v>908</v>
      </c>
      <c r="C132" s="69" t="s">
        <v>909</v>
      </c>
      <c r="D132" s="69">
        <v>9975668944</v>
      </c>
      <c r="E132" s="69" t="s">
        <v>910</v>
      </c>
      <c r="F132" s="69" t="s">
        <v>868</v>
      </c>
      <c r="G132" s="26">
        <v>7</v>
      </c>
      <c r="H132" s="26"/>
      <c r="I132" s="26">
        <v>70</v>
      </c>
      <c r="J132" s="26">
        <v>127</v>
      </c>
      <c r="K132" s="26">
        <v>83</v>
      </c>
      <c r="L132" s="26"/>
      <c r="M132" s="26">
        <v>10</v>
      </c>
      <c r="N132" s="26">
        <v>4</v>
      </c>
      <c r="O132" s="26">
        <v>11</v>
      </c>
      <c r="P132" s="26">
        <v>6</v>
      </c>
      <c r="Q132" s="70">
        <v>6</v>
      </c>
      <c r="R132" s="26">
        <v>324</v>
      </c>
    </row>
    <row r="133" spans="1:18" x14ac:dyDescent="0.35">
      <c r="A133" s="69">
        <v>17210234</v>
      </c>
      <c r="B133" s="69" t="s">
        <v>911</v>
      </c>
      <c r="C133" s="69" t="s">
        <v>912</v>
      </c>
      <c r="D133" s="69">
        <v>9423046448</v>
      </c>
      <c r="E133" s="69" t="s">
        <v>913</v>
      </c>
      <c r="F133" s="69" t="s">
        <v>868</v>
      </c>
      <c r="G133" s="26">
        <v>91</v>
      </c>
      <c r="H133" s="26">
        <v>12</v>
      </c>
      <c r="I133" s="26">
        <v>108</v>
      </c>
      <c r="J133" s="26">
        <v>94</v>
      </c>
      <c r="K133" s="26">
        <v>50</v>
      </c>
      <c r="L133" s="26"/>
      <c r="M133" s="26">
        <v>49</v>
      </c>
      <c r="N133" s="26">
        <v>32</v>
      </c>
      <c r="O133" s="26">
        <v>29</v>
      </c>
      <c r="P133" s="26">
        <v>46</v>
      </c>
      <c r="Q133" s="70">
        <v>0</v>
      </c>
      <c r="R133" s="26">
        <v>511</v>
      </c>
    </row>
    <row r="134" spans="1:18" x14ac:dyDescent="0.35">
      <c r="A134" s="69">
        <v>17210249</v>
      </c>
      <c r="B134" s="69" t="s">
        <v>914</v>
      </c>
      <c r="C134" s="69" t="s">
        <v>915</v>
      </c>
      <c r="D134" s="69">
        <v>9423784490</v>
      </c>
      <c r="E134" s="69" t="s">
        <v>916</v>
      </c>
      <c r="F134" s="69" t="s">
        <v>868</v>
      </c>
      <c r="G134" s="26">
        <v>7</v>
      </c>
      <c r="H134" s="26"/>
      <c r="I134" s="26">
        <v>20</v>
      </c>
      <c r="J134" s="26">
        <v>32</v>
      </c>
      <c r="K134" s="26">
        <v>12</v>
      </c>
      <c r="L134" s="26">
        <v>13</v>
      </c>
      <c r="M134" s="26">
        <v>6</v>
      </c>
      <c r="N134" s="26"/>
      <c r="O134" s="26">
        <v>3</v>
      </c>
      <c r="P134" s="26">
        <v>4</v>
      </c>
      <c r="Q134" s="70">
        <v>2</v>
      </c>
      <c r="R134" s="26">
        <v>99</v>
      </c>
    </row>
    <row r="135" spans="1:18" x14ac:dyDescent="0.35">
      <c r="A135" s="69">
        <v>17210273</v>
      </c>
      <c r="B135" s="69" t="s">
        <v>917</v>
      </c>
      <c r="C135" s="69" t="s">
        <v>918</v>
      </c>
      <c r="D135" s="69">
        <v>9850448553</v>
      </c>
      <c r="E135" s="69" t="s">
        <v>919</v>
      </c>
      <c r="F135" s="69" t="s">
        <v>868</v>
      </c>
      <c r="G135" s="26">
        <v>19</v>
      </c>
      <c r="H135" s="26"/>
      <c r="I135" s="26"/>
      <c r="J135" s="26">
        <v>68</v>
      </c>
      <c r="K135" s="26">
        <v>2</v>
      </c>
      <c r="L135" s="26"/>
      <c r="M135" s="26"/>
      <c r="N135" s="26">
        <v>1</v>
      </c>
      <c r="O135" s="26"/>
      <c r="P135" s="26">
        <v>3</v>
      </c>
      <c r="Q135" s="70">
        <v>0</v>
      </c>
      <c r="R135" s="26">
        <v>93</v>
      </c>
    </row>
    <row r="136" spans="1:18" x14ac:dyDescent="0.35">
      <c r="A136" s="69">
        <v>17210280</v>
      </c>
      <c r="B136" s="69" t="s">
        <v>920</v>
      </c>
      <c r="C136" s="69" t="s">
        <v>921</v>
      </c>
      <c r="D136" s="69">
        <v>9970724799</v>
      </c>
      <c r="E136" s="69" t="s">
        <v>922</v>
      </c>
      <c r="F136" s="69" t="s">
        <v>868</v>
      </c>
      <c r="G136" s="26">
        <v>19</v>
      </c>
      <c r="H136" s="26"/>
      <c r="I136" s="26"/>
      <c r="J136" s="26">
        <v>103</v>
      </c>
      <c r="K136" s="26"/>
      <c r="L136" s="26"/>
      <c r="M136" s="26"/>
      <c r="N136" s="26">
        <v>12</v>
      </c>
      <c r="O136" s="26">
        <v>4</v>
      </c>
      <c r="P136" s="26">
        <v>17</v>
      </c>
      <c r="Q136" s="70">
        <v>3</v>
      </c>
      <c r="R136" s="26">
        <v>158</v>
      </c>
    </row>
    <row r="137" spans="1:18" x14ac:dyDescent="0.35">
      <c r="A137" s="69">
        <v>17210288</v>
      </c>
      <c r="B137" s="69" t="s">
        <v>923</v>
      </c>
      <c r="C137" s="69" t="s">
        <v>924</v>
      </c>
      <c r="D137" s="69">
        <v>9960360987</v>
      </c>
      <c r="E137" s="69" t="s">
        <v>925</v>
      </c>
      <c r="F137" s="69" t="s">
        <v>868</v>
      </c>
      <c r="G137" s="26"/>
      <c r="H137" s="26"/>
      <c r="I137" s="26"/>
      <c r="J137" s="26">
        <v>49</v>
      </c>
      <c r="K137" s="26"/>
      <c r="L137" s="26"/>
      <c r="M137" s="26"/>
      <c r="N137" s="26">
        <v>5</v>
      </c>
      <c r="O137" s="26">
        <v>0</v>
      </c>
      <c r="P137" s="26">
        <v>13</v>
      </c>
      <c r="Q137" s="70">
        <v>0</v>
      </c>
      <c r="R137" s="26">
        <v>67</v>
      </c>
    </row>
    <row r="138" spans="1:18" x14ac:dyDescent="0.35">
      <c r="A138" s="69">
        <v>17210289</v>
      </c>
      <c r="B138" s="69" t="s">
        <v>926</v>
      </c>
      <c r="C138" s="69" t="s">
        <v>927</v>
      </c>
      <c r="D138" s="69">
        <v>9730454890</v>
      </c>
      <c r="E138" s="69" t="s">
        <v>928</v>
      </c>
      <c r="F138" s="69" t="s">
        <v>868</v>
      </c>
      <c r="G138" s="26"/>
      <c r="H138" s="26"/>
      <c r="I138" s="26">
        <v>9</v>
      </c>
      <c r="J138" s="26">
        <v>27</v>
      </c>
      <c r="K138" s="26">
        <v>3</v>
      </c>
      <c r="L138" s="26"/>
      <c r="M138" s="26">
        <v>13</v>
      </c>
      <c r="N138" s="26">
        <v>0</v>
      </c>
      <c r="O138" s="26"/>
      <c r="P138" s="26">
        <v>5</v>
      </c>
      <c r="Q138" s="70">
        <v>0</v>
      </c>
      <c r="R138" s="26">
        <v>57</v>
      </c>
    </row>
    <row r="139" spans="1:18" x14ac:dyDescent="0.35">
      <c r="A139" s="69">
        <v>17210296</v>
      </c>
      <c r="B139" s="69" t="s">
        <v>929</v>
      </c>
      <c r="C139" s="69" t="s">
        <v>930</v>
      </c>
      <c r="D139" s="69">
        <v>9970818616</v>
      </c>
      <c r="E139" s="69" t="s">
        <v>931</v>
      </c>
      <c r="F139" s="69" t="s">
        <v>868</v>
      </c>
      <c r="G139" s="26">
        <v>18</v>
      </c>
      <c r="H139" s="26">
        <v>5</v>
      </c>
      <c r="I139" s="26">
        <v>38</v>
      </c>
      <c r="J139" s="26">
        <v>25</v>
      </c>
      <c r="K139" s="26">
        <v>14</v>
      </c>
      <c r="L139" s="26"/>
      <c r="M139" s="26">
        <v>6</v>
      </c>
      <c r="N139" s="26">
        <v>0</v>
      </c>
      <c r="O139" s="26"/>
      <c r="P139" s="26">
        <v>8</v>
      </c>
      <c r="Q139" s="70">
        <v>0</v>
      </c>
      <c r="R139" s="26">
        <v>114</v>
      </c>
    </row>
    <row r="140" spans="1:18" x14ac:dyDescent="0.35">
      <c r="A140" s="69">
        <v>18210002</v>
      </c>
      <c r="B140" s="69" t="s">
        <v>932</v>
      </c>
      <c r="C140" s="69" t="s">
        <v>933</v>
      </c>
      <c r="D140" s="69">
        <v>9594066788</v>
      </c>
      <c r="E140" s="69" t="s">
        <v>934</v>
      </c>
      <c r="F140" s="69" t="s">
        <v>203</v>
      </c>
      <c r="G140" s="26">
        <v>75</v>
      </c>
      <c r="H140" s="26">
        <v>11</v>
      </c>
      <c r="I140" s="26">
        <v>100</v>
      </c>
      <c r="J140" s="26">
        <v>138</v>
      </c>
      <c r="K140" s="26">
        <v>60</v>
      </c>
      <c r="L140" s="26">
        <v>55</v>
      </c>
      <c r="M140" s="26">
        <v>49</v>
      </c>
      <c r="N140" s="26">
        <v>11</v>
      </c>
      <c r="O140" s="26">
        <v>41</v>
      </c>
      <c r="P140" s="26">
        <v>28</v>
      </c>
      <c r="Q140" s="70">
        <v>16</v>
      </c>
      <c r="R140" s="26">
        <v>584</v>
      </c>
    </row>
    <row r="141" spans="1:18" x14ac:dyDescent="0.35">
      <c r="A141" s="69">
        <v>18210004</v>
      </c>
      <c r="B141" s="69" t="s">
        <v>935</v>
      </c>
      <c r="C141" s="69" t="s">
        <v>936</v>
      </c>
      <c r="D141" s="69">
        <v>9322219070</v>
      </c>
      <c r="E141" s="69" t="s">
        <v>937</v>
      </c>
      <c r="F141" s="69" t="s">
        <v>203</v>
      </c>
      <c r="G141" s="26">
        <v>93</v>
      </c>
      <c r="H141" s="26"/>
      <c r="I141" s="26">
        <v>50</v>
      </c>
      <c r="J141" s="26">
        <v>310</v>
      </c>
      <c r="K141" s="26">
        <v>88</v>
      </c>
      <c r="L141" s="26">
        <v>61</v>
      </c>
      <c r="M141" s="26">
        <v>85</v>
      </c>
      <c r="N141" s="26">
        <v>56</v>
      </c>
      <c r="O141" s="26">
        <v>40</v>
      </c>
      <c r="P141" s="26">
        <v>46</v>
      </c>
      <c r="Q141" s="70">
        <v>10</v>
      </c>
      <c r="R141" s="26">
        <v>839</v>
      </c>
    </row>
    <row r="142" spans="1:18" x14ac:dyDescent="0.35">
      <c r="A142" s="69">
        <v>18210017</v>
      </c>
      <c r="B142" s="69" t="s">
        <v>935</v>
      </c>
      <c r="C142" s="69" t="s">
        <v>938</v>
      </c>
      <c r="D142" s="69">
        <v>9870482537</v>
      </c>
      <c r="E142" s="69" t="s">
        <v>939</v>
      </c>
      <c r="F142" s="69" t="s">
        <v>203</v>
      </c>
      <c r="G142" s="26">
        <v>26</v>
      </c>
      <c r="H142" s="26">
        <v>7</v>
      </c>
      <c r="I142" s="26">
        <v>25</v>
      </c>
      <c r="J142" s="26">
        <v>102</v>
      </c>
      <c r="K142" s="26">
        <v>17</v>
      </c>
      <c r="L142" s="26">
        <v>45</v>
      </c>
      <c r="M142" s="26">
        <v>37</v>
      </c>
      <c r="N142" s="26">
        <v>11</v>
      </c>
      <c r="O142" s="26">
        <v>6</v>
      </c>
      <c r="P142" s="26">
        <v>0</v>
      </c>
      <c r="Q142" s="70">
        <v>19</v>
      </c>
      <c r="R142" s="26">
        <v>295</v>
      </c>
    </row>
    <row r="143" spans="1:18" x14ac:dyDescent="0.35">
      <c r="A143" s="69">
        <v>18210044</v>
      </c>
      <c r="B143" s="69" t="s">
        <v>935</v>
      </c>
      <c r="C143" s="69" t="s">
        <v>940</v>
      </c>
      <c r="D143" s="69">
        <v>9820994920</v>
      </c>
      <c r="E143" s="69" t="s">
        <v>941</v>
      </c>
      <c r="F143" s="69" t="s">
        <v>203</v>
      </c>
      <c r="G143" s="26">
        <v>12</v>
      </c>
      <c r="H143" s="26">
        <v>8</v>
      </c>
      <c r="I143" s="26"/>
      <c r="J143" s="26">
        <v>18</v>
      </c>
      <c r="K143" s="26"/>
      <c r="L143" s="26"/>
      <c r="M143" s="26">
        <v>22</v>
      </c>
      <c r="N143" s="26"/>
      <c r="O143" s="26"/>
      <c r="P143" s="26">
        <v>6</v>
      </c>
      <c r="Q143" s="70">
        <v>0</v>
      </c>
      <c r="R143" s="26">
        <v>66</v>
      </c>
    </row>
    <row r="144" spans="1:18" x14ac:dyDescent="0.35">
      <c r="A144" s="69">
        <v>18210049</v>
      </c>
      <c r="B144" s="69" t="s">
        <v>935</v>
      </c>
      <c r="C144" s="69" t="s">
        <v>942</v>
      </c>
      <c r="D144" s="69">
        <v>9869414474</v>
      </c>
      <c r="E144" s="69" t="s">
        <v>943</v>
      </c>
      <c r="F144" s="69" t="s">
        <v>203</v>
      </c>
      <c r="G144" s="26">
        <v>18</v>
      </c>
      <c r="H144" s="26"/>
      <c r="I144" s="26"/>
      <c r="J144" s="26">
        <v>24</v>
      </c>
      <c r="K144" s="26"/>
      <c r="L144" s="26">
        <v>16</v>
      </c>
      <c r="M144" s="26">
        <v>16</v>
      </c>
      <c r="N144" s="26">
        <v>16</v>
      </c>
      <c r="O144" s="26"/>
      <c r="P144" s="26">
        <v>11</v>
      </c>
      <c r="Q144" s="70">
        <v>0</v>
      </c>
      <c r="R144" s="26">
        <v>101</v>
      </c>
    </row>
    <row r="145" spans="1:18" x14ac:dyDescent="0.35">
      <c r="A145" s="69">
        <v>18210050</v>
      </c>
      <c r="B145" s="69" t="s">
        <v>935</v>
      </c>
      <c r="C145" s="69" t="s">
        <v>944</v>
      </c>
      <c r="D145" s="69">
        <v>9833104217</v>
      </c>
      <c r="E145" s="69" t="s">
        <v>945</v>
      </c>
      <c r="F145" s="69" t="s">
        <v>203</v>
      </c>
      <c r="G145" s="26"/>
      <c r="H145" s="26">
        <v>16</v>
      </c>
      <c r="I145" s="26"/>
      <c r="J145" s="26"/>
      <c r="K145" s="26">
        <v>26</v>
      </c>
      <c r="L145" s="26">
        <v>20</v>
      </c>
      <c r="M145" s="26">
        <v>10</v>
      </c>
      <c r="N145" s="26"/>
      <c r="O145" s="26"/>
      <c r="P145" s="26">
        <v>17</v>
      </c>
      <c r="Q145" s="70">
        <v>7</v>
      </c>
      <c r="R145" s="26">
        <v>96</v>
      </c>
    </row>
    <row r="146" spans="1:18" x14ac:dyDescent="0.35">
      <c r="A146" s="69">
        <v>19210012</v>
      </c>
      <c r="B146" s="69" t="s">
        <v>946</v>
      </c>
      <c r="C146" s="69" t="s">
        <v>947</v>
      </c>
      <c r="D146" s="69">
        <v>9272980098</v>
      </c>
      <c r="E146" s="69" t="s">
        <v>948</v>
      </c>
      <c r="F146" s="69" t="s">
        <v>949</v>
      </c>
      <c r="G146" s="26"/>
      <c r="H146" s="26">
        <v>28</v>
      </c>
      <c r="I146" s="26">
        <v>53</v>
      </c>
      <c r="J146" s="26">
        <v>205</v>
      </c>
      <c r="K146" s="26">
        <v>44</v>
      </c>
      <c r="L146" s="26">
        <v>19</v>
      </c>
      <c r="M146" s="26">
        <v>34</v>
      </c>
      <c r="N146" s="26">
        <v>21</v>
      </c>
      <c r="O146" s="26">
        <v>10</v>
      </c>
      <c r="P146" s="26">
        <v>32</v>
      </c>
      <c r="Q146" s="70">
        <v>11</v>
      </c>
      <c r="R146" s="26">
        <v>457</v>
      </c>
    </row>
    <row r="147" spans="1:18" x14ac:dyDescent="0.35">
      <c r="A147" s="69">
        <v>19210014</v>
      </c>
      <c r="B147" s="69" t="s">
        <v>950</v>
      </c>
      <c r="C147" s="69" t="s">
        <v>951</v>
      </c>
      <c r="D147" s="69">
        <v>9819192156</v>
      </c>
      <c r="E147" s="69" t="s">
        <v>952</v>
      </c>
      <c r="F147" s="69" t="s">
        <v>949</v>
      </c>
      <c r="G147" s="26">
        <v>50</v>
      </c>
      <c r="H147" s="26">
        <v>6</v>
      </c>
      <c r="I147" s="26">
        <v>72</v>
      </c>
      <c r="J147" s="26">
        <v>58</v>
      </c>
      <c r="K147" s="26">
        <v>24</v>
      </c>
      <c r="L147" s="26">
        <v>19</v>
      </c>
      <c r="M147" s="26">
        <v>21</v>
      </c>
      <c r="N147" s="26">
        <v>18</v>
      </c>
      <c r="O147" s="26">
        <v>8</v>
      </c>
      <c r="P147" s="26">
        <v>6</v>
      </c>
      <c r="Q147" s="70">
        <v>6</v>
      </c>
      <c r="R147" s="26">
        <v>288</v>
      </c>
    </row>
    <row r="148" spans="1:18" x14ac:dyDescent="0.35">
      <c r="A148" s="69">
        <v>19210015</v>
      </c>
      <c r="B148" s="69" t="s">
        <v>953</v>
      </c>
      <c r="C148" s="69" t="s">
        <v>954</v>
      </c>
      <c r="D148" s="69">
        <v>9421159084</v>
      </c>
      <c r="E148" s="69" t="s">
        <v>955</v>
      </c>
      <c r="F148" s="69" t="s">
        <v>949</v>
      </c>
      <c r="G148" s="26">
        <v>13</v>
      </c>
      <c r="H148" s="26"/>
      <c r="I148" s="26">
        <v>22</v>
      </c>
      <c r="J148" s="26">
        <v>73</v>
      </c>
      <c r="K148" s="26">
        <v>16</v>
      </c>
      <c r="L148" s="26"/>
      <c r="M148" s="26">
        <v>27</v>
      </c>
      <c r="N148" s="26">
        <v>3</v>
      </c>
      <c r="O148" s="26">
        <v>2</v>
      </c>
      <c r="P148" s="26">
        <v>4</v>
      </c>
      <c r="Q148" s="70">
        <v>4</v>
      </c>
      <c r="R148" s="26">
        <v>164</v>
      </c>
    </row>
    <row r="149" spans="1:18" x14ac:dyDescent="0.35">
      <c r="A149" s="69">
        <v>19210017</v>
      </c>
      <c r="B149" s="69" t="s">
        <v>956</v>
      </c>
      <c r="C149" s="69" t="s">
        <v>957</v>
      </c>
      <c r="D149" s="69">
        <v>9421254610</v>
      </c>
      <c r="E149" s="69" t="s">
        <v>958</v>
      </c>
      <c r="F149" s="69" t="s">
        <v>949</v>
      </c>
      <c r="G149" s="26">
        <v>1</v>
      </c>
      <c r="H149" s="26"/>
      <c r="I149" s="26">
        <v>36</v>
      </c>
      <c r="J149" s="26">
        <v>26</v>
      </c>
      <c r="K149" s="26">
        <v>4</v>
      </c>
      <c r="L149" s="26"/>
      <c r="M149" s="26">
        <v>6</v>
      </c>
      <c r="N149" s="26"/>
      <c r="O149" s="26"/>
      <c r="P149" s="26">
        <v>3</v>
      </c>
      <c r="Q149" s="70">
        <v>2</v>
      </c>
      <c r="R149" s="26">
        <v>78</v>
      </c>
    </row>
    <row r="150" spans="1:18" x14ac:dyDescent="0.35">
      <c r="A150" s="69">
        <v>19210018</v>
      </c>
      <c r="B150" s="69" t="s">
        <v>959</v>
      </c>
      <c r="C150" s="69" t="s">
        <v>960</v>
      </c>
      <c r="D150" s="69">
        <v>9011234839</v>
      </c>
      <c r="E150" s="69" t="s">
        <v>961</v>
      </c>
      <c r="F150" s="69" t="s">
        <v>949</v>
      </c>
      <c r="G150" s="26">
        <v>5</v>
      </c>
      <c r="H150" s="26">
        <v>1</v>
      </c>
      <c r="I150" s="26">
        <v>42</v>
      </c>
      <c r="J150" s="26">
        <v>18</v>
      </c>
      <c r="K150" s="26"/>
      <c r="L150" s="26">
        <v>19</v>
      </c>
      <c r="M150" s="26">
        <v>9</v>
      </c>
      <c r="N150" s="26"/>
      <c r="O150" s="26"/>
      <c r="P150" s="26">
        <v>0</v>
      </c>
      <c r="Q150" s="70">
        <v>6</v>
      </c>
      <c r="R150" s="26">
        <v>100</v>
      </c>
    </row>
    <row r="151" spans="1:18" x14ac:dyDescent="0.35">
      <c r="A151" s="69">
        <v>19210145</v>
      </c>
      <c r="B151" s="69" t="s">
        <v>935</v>
      </c>
      <c r="C151" s="69" t="s">
        <v>962</v>
      </c>
      <c r="D151" s="69">
        <v>9146042227</v>
      </c>
      <c r="E151" s="69" t="s">
        <v>963</v>
      </c>
      <c r="F151" s="69" t="s">
        <v>949</v>
      </c>
      <c r="G151" s="26">
        <v>5</v>
      </c>
      <c r="H151" s="26"/>
      <c r="I151" s="26">
        <v>11</v>
      </c>
      <c r="J151" s="26">
        <v>6</v>
      </c>
      <c r="K151" s="26">
        <v>15</v>
      </c>
      <c r="L151" s="26">
        <v>9</v>
      </c>
      <c r="M151" s="26">
        <v>8</v>
      </c>
      <c r="N151" s="26">
        <v>8</v>
      </c>
      <c r="O151" s="26">
        <v>8</v>
      </c>
      <c r="P151" s="26">
        <v>7</v>
      </c>
      <c r="Q151" s="70">
        <v>2</v>
      </c>
      <c r="R151" s="26">
        <v>79</v>
      </c>
    </row>
    <row r="152" spans="1:18" x14ac:dyDescent="0.35">
      <c r="A152" s="69">
        <v>19210192</v>
      </c>
      <c r="B152" s="69" t="s">
        <v>964</v>
      </c>
      <c r="C152" s="69" t="s">
        <v>965</v>
      </c>
      <c r="D152" s="69">
        <v>9702999849</v>
      </c>
      <c r="E152" s="69" t="s">
        <v>966</v>
      </c>
      <c r="F152" s="69" t="s">
        <v>949</v>
      </c>
      <c r="G152" s="26">
        <v>6</v>
      </c>
      <c r="H152" s="26"/>
      <c r="I152" s="26"/>
      <c r="J152" s="26">
        <v>9</v>
      </c>
      <c r="K152" s="26">
        <v>6</v>
      </c>
      <c r="L152" s="26">
        <v>3</v>
      </c>
      <c r="M152" s="26">
        <v>2</v>
      </c>
      <c r="N152" s="26">
        <v>3</v>
      </c>
      <c r="O152" s="26">
        <v>2</v>
      </c>
      <c r="P152" s="26">
        <v>0</v>
      </c>
      <c r="Q152" s="70">
        <v>0</v>
      </c>
      <c r="R152" s="26">
        <v>31</v>
      </c>
    </row>
    <row r="153" spans="1:18" x14ac:dyDescent="0.35">
      <c r="A153" s="69">
        <v>19210210</v>
      </c>
      <c r="B153" s="69" t="s">
        <v>967</v>
      </c>
      <c r="C153" s="69" t="s">
        <v>968</v>
      </c>
      <c r="D153" s="69">
        <v>9870227217</v>
      </c>
      <c r="E153" s="69" t="s">
        <v>969</v>
      </c>
      <c r="F153" s="69" t="s">
        <v>949</v>
      </c>
      <c r="G153" s="26">
        <v>11</v>
      </c>
      <c r="H153" s="26">
        <v>3</v>
      </c>
      <c r="I153" s="26">
        <v>40</v>
      </c>
      <c r="J153" s="26">
        <v>40</v>
      </c>
      <c r="K153" s="26">
        <v>13</v>
      </c>
      <c r="L153" s="26">
        <v>5</v>
      </c>
      <c r="M153" s="26">
        <v>7</v>
      </c>
      <c r="N153" s="26">
        <v>5</v>
      </c>
      <c r="O153" s="26">
        <v>2</v>
      </c>
      <c r="P153" s="26">
        <v>11</v>
      </c>
      <c r="Q153" s="70">
        <v>1</v>
      </c>
      <c r="R153" s="26">
        <v>138</v>
      </c>
    </row>
    <row r="154" spans="1:18" x14ac:dyDescent="0.35">
      <c r="A154" s="69">
        <v>21210003</v>
      </c>
      <c r="B154" s="69" t="s">
        <v>970</v>
      </c>
      <c r="C154" s="69" t="s">
        <v>971</v>
      </c>
      <c r="D154" s="69">
        <v>9423016624</v>
      </c>
      <c r="E154" s="69" t="s">
        <v>972</v>
      </c>
      <c r="F154" s="69" t="s">
        <v>973</v>
      </c>
      <c r="G154" s="26">
        <v>75</v>
      </c>
      <c r="H154" s="26"/>
      <c r="I154" s="26">
        <v>51</v>
      </c>
      <c r="J154" s="26">
        <v>181</v>
      </c>
      <c r="K154" s="26">
        <v>74</v>
      </c>
      <c r="L154" s="26"/>
      <c r="M154" s="26">
        <v>87</v>
      </c>
      <c r="N154" s="26">
        <v>30</v>
      </c>
      <c r="O154" s="26">
        <v>31</v>
      </c>
      <c r="P154" s="26">
        <v>55</v>
      </c>
      <c r="Q154" s="70">
        <v>0</v>
      </c>
      <c r="R154" s="26">
        <v>584</v>
      </c>
    </row>
    <row r="155" spans="1:18" x14ac:dyDescent="0.35">
      <c r="A155" s="69">
        <v>21210051</v>
      </c>
      <c r="B155" s="69" t="s">
        <v>974</v>
      </c>
      <c r="C155" s="69" t="s">
        <v>975</v>
      </c>
      <c r="D155" s="69">
        <v>9890255373</v>
      </c>
      <c r="E155" s="69" t="s">
        <v>976</v>
      </c>
      <c r="F155" s="69" t="s">
        <v>973</v>
      </c>
      <c r="G155" s="26"/>
      <c r="H155" s="26">
        <v>4</v>
      </c>
      <c r="I155" s="26"/>
      <c r="J155" s="26">
        <v>39</v>
      </c>
      <c r="K155" s="26">
        <v>17</v>
      </c>
      <c r="L155" s="26">
        <v>4</v>
      </c>
      <c r="M155" s="26">
        <v>7</v>
      </c>
      <c r="N155" s="26">
        <v>3</v>
      </c>
      <c r="O155" s="26">
        <v>6</v>
      </c>
      <c r="P155" s="26">
        <v>0</v>
      </c>
      <c r="Q155" s="70">
        <v>9</v>
      </c>
      <c r="R155" s="26">
        <v>89</v>
      </c>
    </row>
    <row r="156" spans="1:18" x14ac:dyDescent="0.35">
      <c r="A156" s="69">
        <v>21210061</v>
      </c>
      <c r="B156" s="69" t="s">
        <v>977</v>
      </c>
      <c r="C156" s="69" t="s">
        <v>978</v>
      </c>
      <c r="D156" s="69">
        <v>9270119010</v>
      </c>
      <c r="E156" s="69" t="s">
        <v>979</v>
      </c>
      <c r="F156" s="69" t="s">
        <v>973</v>
      </c>
      <c r="G156" s="26">
        <v>18</v>
      </c>
      <c r="H156" s="26">
        <v>1</v>
      </c>
      <c r="I156" s="26">
        <v>36</v>
      </c>
      <c r="J156" s="26">
        <v>21</v>
      </c>
      <c r="K156" s="26"/>
      <c r="L156" s="26">
        <v>23</v>
      </c>
      <c r="M156" s="26">
        <v>27</v>
      </c>
      <c r="N156" s="26">
        <v>1</v>
      </c>
      <c r="O156" s="26"/>
      <c r="P156" s="26">
        <v>25</v>
      </c>
      <c r="Q156" s="70">
        <v>5</v>
      </c>
      <c r="R156" s="26">
        <v>157</v>
      </c>
    </row>
    <row r="157" spans="1:18" x14ac:dyDescent="0.35">
      <c r="A157" s="69">
        <v>21210063</v>
      </c>
      <c r="B157" s="69" t="s">
        <v>980</v>
      </c>
      <c r="C157" s="69" t="s">
        <v>981</v>
      </c>
      <c r="D157" s="69">
        <v>9422787105</v>
      </c>
      <c r="E157" s="69" t="s">
        <v>982</v>
      </c>
      <c r="F157" s="69" t="s">
        <v>973</v>
      </c>
      <c r="G157" s="26">
        <v>32</v>
      </c>
      <c r="H157" s="26">
        <v>4</v>
      </c>
      <c r="I157" s="26">
        <v>14</v>
      </c>
      <c r="J157" s="26">
        <v>43</v>
      </c>
      <c r="K157" s="26">
        <v>10</v>
      </c>
      <c r="L157" s="26">
        <v>21</v>
      </c>
      <c r="M157" s="26">
        <v>12</v>
      </c>
      <c r="N157" s="26">
        <v>7</v>
      </c>
      <c r="O157" s="26">
        <v>9</v>
      </c>
      <c r="P157" s="26">
        <v>0</v>
      </c>
      <c r="Q157" s="70">
        <v>10</v>
      </c>
      <c r="R157" s="26">
        <v>162</v>
      </c>
    </row>
    <row r="158" spans="1:18" x14ac:dyDescent="0.35">
      <c r="A158" s="69">
        <v>21210064</v>
      </c>
      <c r="B158" s="69" t="s">
        <v>983</v>
      </c>
      <c r="C158" s="69" t="s">
        <v>984</v>
      </c>
      <c r="D158" s="69">
        <v>9860093456</v>
      </c>
      <c r="E158" s="69" t="s">
        <v>985</v>
      </c>
      <c r="F158" s="69" t="s">
        <v>973</v>
      </c>
      <c r="G158" s="26">
        <v>29</v>
      </c>
      <c r="H158" s="26">
        <v>17</v>
      </c>
      <c r="I158" s="26">
        <v>89</v>
      </c>
      <c r="J158" s="26">
        <v>90</v>
      </c>
      <c r="K158" s="26">
        <v>26</v>
      </c>
      <c r="L158" s="26">
        <v>15</v>
      </c>
      <c r="M158" s="26">
        <v>20</v>
      </c>
      <c r="N158" s="26">
        <v>13</v>
      </c>
      <c r="O158" s="26">
        <v>25</v>
      </c>
      <c r="P158" s="26">
        <v>27</v>
      </c>
      <c r="Q158" s="70">
        <v>10</v>
      </c>
      <c r="R158" s="26">
        <v>361</v>
      </c>
    </row>
    <row r="159" spans="1:18" x14ac:dyDescent="0.35">
      <c r="A159" s="69">
        <v>21210068</v>
      </c>
      <c r="B159" s="69" t="s">
        <v>986</v>
      </c>
      <c r="C159" s="69" t="s">
        <v>987</v>
      </c>
      <c r="D159" s="69">
        <v>9420721700</v>
      </c>
      <c r="E159" s="69" t="s">
        <v>988</v>
      </c>
      <c r="F159" s="69" t="s">
        <v>973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>
        <v>0</v>
      </c>
      <c r="Q159" s="70">
        <v>0</v>
      </c>
      <c r="R159" s="26">
        <v>0</v>
      </c>
    </row>
    <row r="160" spans="1:18" x14ac:dyDescent="0.35">
      <c r="A160" s="69">
        <v>21210069</v>
      </c>
      <c r="B160" s="69" t="s">
        <v>989</v>
      </c>
      <c r="C160" s="69" t="s">
        <v>990</v>
      </c>
      <c r="D160" s="69">
        <v>9096101066</v>
      </c>
      <c r="E160" s="69" t="s">
        <v>991</v>
      </c>
      <c r="F160" s="69" t="s">
        <v>973</v>
      </c>
      <c r="G160" s="26">
        <v>55</v>
      </c>
      <c r="H160" s="26">
        <v>6</v>
      </c>
      <c r="I160" s="26">
        <v>50</v>
      </c>
      <c r="J160" s="26">
        <v>66</v>
      </c>
      <c r="K160" s="26">
        <v>19</v>
      </c>
      <c r="L160" s="26"/>
      <c r="M160" s="26">
        <v>35</v>
      </c>
      <c r="N160" s="26">
        <v>1</v>
      </c>
      <c r="O160" s="26">
        <v>33</v>
      </c>
      <c r="P160" s="26">
        <v>27</v>
      </c>
      <c r="Q160" s="70">
        <v>17</v>
      </c>
      <c r="R160" s="26">
        <v>309</v>
      </c>
    </row>
    <row r="161" spans="1:18" x14ac:dyDescent="0.35">
      <c r="A161" s="69">
        <v>21210071</v>
      </c>
      <c r="B161" s="69" t="s">
        <v>992</v>
      </c>
      <c r="C161" s="69" t="s">
        <v>993</v>
      </c>
      <c r="D161" s="69">
        <v>9226415153</v>
      </c>
      <c r="E161" s="69" t="s">
        <v>994</v>
      </c>
      <c r="F161" s="69" t="s">
        <v>973</v>
      </c>
      <c r="G161" s="26">
        <v>16</v>
      </c>
      <c r="H161" s="26">
        <v>5</v>
      </c>
      <c r="I161" s="26"/>
      <c r="J161" s="26">
        <v>40</v>
      </c>
      <c r="K161" s="26">
        <v>8</v>
      </c>
      <c r="L161" s="26">
        <v>17</v>
      </c>
      <c r="M161" s="26">
        <v>14</v>
      </c>
      <c r="N161" s="26">
        <v>11</v>
      </c>
      <c r="O161" s="26">
        <v>9</v>
      </c>
      <c r="P161" s="26">
        <v>27</v>
      </c>
      <c r="Q161" s="70">
        <v>6</v>
      </c>
      <c r="R161" s="26">
        <v>153</v>
      </c>
    </row>
    <row r="162" spans="1:18" x14ac:dyDescent="0.35">
      <c r="A162" s="69">
        <v>21210075</v>
      </c>
      <c r="B162" s="69" t="s">
        <v>995</v>
      </c>
      <c r="C162" s="69" t="s">
        <v>996</v>
      </c>
      <c r="D162" s="69">
        <v>9403260029</v>
      </c>
      <c r="E162" s="69" t="s">
        <v>997</v>
      </c>
      <c r="F162" s="69" t="s">
        <v>973</v>
      </c>
      <c r="G162" s="26"/>
      <c r="H162" s="26"/>
      <c r="I162" s="26"/>
      <c r="J162" s="26">
        <v>68</v>
      </c>
      <c r="K162" s="26"/>
      <c r="L162" s="26"/>
      <c r="M162" s="26"/>
      <c r="N162" s="26">
        <v>0</v>
      </c>
      <c r="O162" s="26">
        <v>5</v>
      </c>
      <c r="P162" s="26">
        <v>15</v>
      </c>
      <c r="Q162" s="70">
        <v>0</v>
      </c>
      <c r="R162" s="26">
        <v>88</v>
      </c>
    </row>
    <row r="163" spans="1:18" x14ac:dyDescent="0.35">
      <c r="A163" s="69">
        <v>21210077</v>
      </c>
      <c r="B163" s="69" t="s">
        <v>998</v>
      </c>
      <c r="C163" s="69" t="s">
        <v>999</v>
      </c>
      <c r="D163" s="69">
        <v>9270820852</v>
      </c>
      <c r="E163" s="69" t="s">
        <v>1000</v>
      </c>
      <c r="F163" s="69" t="s">
        <v>973</v>
      </c>
      <c r="G163" s="26">
        <v>24</v>
      </c>
      <c r="H163" s="26">
        <v>2</v>
      </c>
      <c r="I163" s="26">
        <v>37</v>
      </c>
      <c r="J163" s="26">
        <v>23</v>
      </c>
      <c r="K163" s="26">
        <v>10</v>
      </c>
      <c r="L163" s="26">
        <v>12</v>
      </c>
      <c r="M163" s="26">
        <v>8</v>
      </c>
      <c r="N163" s="26">
        <v>13</v>
      </c>
      <c r="O163" s="26">
        <v>7</v>
      </c>
      <c r="P163" s="26">
        <v>31</v>
      </c>
      <c r="Q163" s="70">
        <v>2</v>
      </c>
      <c r="R163" s="26">
        <v>169</v>
      </c>
    </row>
    <row r="164" spans="1:18" x14ac:dyDescent="0.35">
      <c r="A164" s="69">
        <v>21210080</v>
      </c>
      <c r="B164" s="69" t="s">
        <v>1001</v>
      </c>
      <c r="C164" s="69" t="s">
        <v>1002</v>
      </c>
      <c r="D164" s="69">
        <v>9822648810</v>
      </c>
      <c r="E164" s="69" t="s">
        <v>1003</v>
      </c>
      <c r="F164" s="69" t="s">
        <v>973</v>
      </c>
      <c r="G164" s="26">
        <v>78</v>
      </c>
      <c r="H164" s="26">
        <v>21</v>
      </c>
      <c r="I164" s="26">
        <v>51</v>
      </c>
      <c r="J164" s="26">
        <v>191</v>
      </c>
      <c r="K164" s="26">
        <v>59</v>
      </c>
      <c r="L164" s="26">
        <v>29</v>
      </c>
      <c r="M164" s="26">
        <v>52</v>
      </c>
      <c r="N164" s="26">
        <v>57</v>
      </c>
      <c r="O164" s="26">
        <v>39</v>
      </c>
      <c r="P164" s="26">
        <v>28</v>
      </c>
      <c r="Q164" s="70">
        <v>12</v>
      </c>
      <c r="R164" s="26">
        <v>617</v>
      </c>
    </row>
    <row r="165" spans="1:18" x14ac:dyDescent="0.35">
      <c r="A165" s="69">
        <v>21210081</v>
      </c>
      <c r="B165" s="69" t="s">
        <v>1004</v>
      </c>
      <c r="C165" s="69" t="s">
        <v>1005</v>
      </c>
      <c r="D165" s="69">
        <v>9423917778</v>
      </c>
      <c r="E165" s="69" t="s">
        <v>1006</v>
      </c>
      <c r="F165" s="69" t="s">
        <v>973</v>
      </c>
      <c r="G165" s="26"/>
      <c r="H165" s="26">
        <v>48</v>
      </c>
      <c r="I165" s="26">
        <v>57</v>
      </c>
      <c r="J165" s="26">
        <v>71</v>
      </c>
      <c r="K165" s="26">
        <v>18</v>
      </c>
      <c r="L165" s="26"/>
      <c r="M165" s="26">
        <v>22</v>
      </c>
      <c r="N165" s="26">
        <v>39</v>
      </c>
      <c r="O165" s="26">
        <v>11</v>
      </c>
      <c r="P165" s="26">
        <v>10</v>
      </c>
      <c r="Q165" s="70">
        <v>5</v>
      </c>
      <c r="R165" s="26">
        <v>281</v>
      </c>
    </row>
    <row r="166" spans="1:18" x14ac:dyDescent="0.35">
      <c r="A166" s="69">
        <v>21210082</v>
      </c>
      <c r="B166" s="69" t="s">
        <v>1007</v>
      </c>
      <c r="C166" s="69" t="s">
        <v>1008</v>
      </c>
      <c r="D166" s="69">
        <v>9922719769</v>
      </c>
      <c r="E166" s="69" t="s">
        <v>1009</v>
      </c>
      <c r="F166" s="69" t="s">
        <v>973</v>
      </c>
      <c r="G166" s="26">
        <v>124</v>
      </c>
      <c r="H166" s="26">
        <v>11</v>
      </c>
      <c r="I166" s="26">
        <v>155</v>
      </c>
      <c r="J166" s="26">
        <v>195</v>
      </c>
      <c r="K166" s="26">
        <v>15</v>
      </c>
      <c r="L166" s="26">
        <v>17</v>
      </c>
      <c r="M166" s="26">
        <v>29</v>
      </c>
      <c r="N166" s="26">
        <v>31</v>
      </c>
      <c r="O166" s="26">
        <v>36</v>
      </c>
      <c r="P166" s="26">
        <v>23</v>
      </c>
      <c r="Q166" s="70">
        <v>22</v>
      </c>
      <c r="R166" s="26">
        <v>658</v>
      </c>
    </row>
    <row r="167" spans="1:18" x14ac:dyDescent="0.35">
      <c r="A167" s="69">
        <v>21210087</v>
      </c>
      <c r="B167" s="69" t="s">
        <v>1010</v>
      </c>
      <c r="C167" s="69" t="s">
        <v>1011</v>
      </c>
      <c r="D167" s="69">
        <v>9579255268</v>
      </c>
      <c r="E167" s="69" t="s">
        <v>1012</v>
      </c>
      <c r="F167" s="69" t="s">
        <v>973</v>
      </c>
      <c r="G167" s="26">
        <v>2</v>
      </c>
      <c r="H167" s="26">
        <v>15</v>
      </c>
      <c r="I167" s="26">
        <v>104</v>
      </c>
      <c r="J167" s="26">
        <v>25</v>
      </c>
      <c r="K167" s="26">
        <v>17</v>
      </c>
      <c r="L167" s="26"/>
      <c r="M167" s="26">
        <v>9</v>
      </c>
      <c r="N167" s="26">
        <v>32</v>
      </c>
      <c r="O167" s="26">
        <v>13</v>
      </c>
      <c r="P167" s="26">
        <v>12</v>
      </c>
      <c r="Q167" s="70">
        <v>12</v>
      </c>
      <c r="R167" s="26">
        <v>241</v>
      </c>
    </row>
    <row r="168" spans="1:18" x14ac:dyDescent="0.35">
      <c r="A168" s="69">
        <v>21210095</v>
      </c>
      <c r="B168" s="69" t="s">
        <v>1013</v>
      </c>
      <c r="C168" s="69" t="s">
        <v>1014</v>
      </c>
      <c r="D168" s="69">
        <v>9226778289</v>
      </c>
      <c r="E168" s="69" t="s">
        <v>1015</v>
      </c>
      <c r="F168" s="69" t="s">
        <v>973</v>
      </c>
      <c r="G168" s="26">
        <v>14</v>
      </c>
      <c r="H168" s="26"/>
      <c r="I168" s="26">
        <v>40</v>
      </c>
      <c r="J168" s="26">
        <v>25</v>
      </c>
      <c r="K168" s="26">
        <v>18</v>
      </c>
      <c r="L168" s="26">
        <v>12</v>
      </c>
      <c r="M168" s="26">
        <v>5</v>
      </c>
      <c r="N168" s="26">
        <v>8</v>
      </c>
      <c r="O168" s="26">
        <v>10</v>
      </c>
      <c r="P168" s="26">
        <v>7</v>
      </c>
      <c r="Q168" s="70">
        <v>9</v>
      </c>
      <c r="R168" s="26">
        <v>148</v>
      </c>
    </row>
    <row r="169" spans="1:18" x14ac:dyDescent="0.35">
      <c r="A169" s="69">
        <v>22210001</v>
      </c>
      <c r="B169" s="69" t="s">
        <v>1016</v>
      </c>
      <c r="C169" s="69" t="s">
        <v>1017</v>
      </c>
      <c r="D169" s="69">
        <v>9423611239</v>
      </c>
      <c r="E169" s="69" t="s">
        <v>1018</v>
      </c>
      <c r="F169" s="69" t="s">
        <v>1019</v>
      </c>
      <c r="G169" s="26">
        <v>21</v>
      </c>
      <c r="H169" s="26"/>
      <c r="I169" s="26">
        <v>73</v>
      </c>
      <c r="J169" s="26">
        <v>77</v>
      </c>
      <c r="K169" s="26"/>
      <c r="L169" s="26">
        <v>16</v>
      </c>
      <c r="M169" s="26">
        <v>9</v>
      </c>
      <c r="N169" s="26">
        <v>8</v>
      </c>
      <c r="O169" s="26">
        <v>8</v>
      </c>
      <c r="P169" s="26">
        <v>8</v>
      </c>
      <c r="Q169" s="70">
        <v>0</v>
      </c>
      <c r="R169" s="26">
        <v>220</v>
      </c>
    </row>
    <row r="170" spans="1:18" x14ac:dyDescent="0.35">
      <c r="A170" s="69">
        <v>22210002</v>
      </c>
      <c r="B170" s="69" t="s">
        <v>1020</v>
      </c>
      <c r="C170" s="69" t="s">
        <v>1021</v>
      </c>
      <c r="D170" s="69">
        <v>9423611241</v>
      </c>
      <c r="E170" s="69" t="s">
        <v>1022</v>
      </c>
      <c r="F170" s="69" t="s">
        <v>1019</v>
      </c>
      <c r="G170" s="26">
        <v>31</v>
      </c>
      <c r="H170" s="26"/>
      <c r="I170" s="26">
        <v>74</v>
      </c>
      <c r="J170" s="26">
        <v>62</v>
      </c>
      <c r="K170" s="26"/>
      <c r="L170" s="26"/>
      <c r="M170" s="26">
        <v>35</v>
      </c>
      <c r="N170" s="26"/>
      <c r="O170" s="26"/>
      <c r="P170" s="26">
        <v>22</v>
      </c>
      <c r="Q170" s="70">
        <v>0</v>
      </c>
      <c r="R170" s="26">
        <v>224</v>
      </c>
    </row>
    <row r="171" spans="1:18" x14ac:dyDescent="0.35">
      <c r="A171" s="69">
        <v>22210027</v>
      </c>
      <c r="B171" s="69" t="s">
        <v>1023</v>
      </c>
      <c r="C171" s="69" t="s">
        <v>1024</v>
      </c>
      <c r="D171" s="69">
        <v>9270765550</v>
      </c>
      <c r="E171" s="69" t="s">
        <v>1025</v>
      </c>
      <c r="F171" s="69" t="s">
        <v>1019</v>
      </c>
      <c r="G171" s="26"/>
      <c r="H171" s="26">
        <v>20</v>
      </c>
      <c r="I171" s="26"/>
      <c r="J171" s="26">
        <v>80</v>
      </c>
      <c r="K171" s="26">
        <v>21</v>
      </c>
      <c r="L171" s="26"/>
      <c r="M171" s="26">
        <v>1</v>
      </c>
      <c r="N171" s="26"/>
      <c r="O171" s="26">
        <v>6</v>
      </c>
      <c r="P171" s="26">
        <v>6</v>
      </c>
      <c r="Q171" s="70">
        <v>7</v>
      </c>
      <c r="R171" s="26">
        <v>141</v>
      </c>
    </row>
    <row r="172" spans="1:18" x14ac:dyDescent="0.35">
      <c r="A172" s="69">
        <v>22210029</v>
      </c>
      <c r="B172" s="69" t="s">
        <v>1026</v>
      </c>
      <c r="C172" s="69" t="s">
        <v>1027</v>
      </c>
      <c r="D172" s="69">
        <v>9822015528</v>
      </c>
      <c r="E172" s="69" t="s">
        <v>1025</v>
      </c>
      <c r="F172" s="69" t="s">
        <v>1019</v>
      </c>
      <c r="G172" s="26"/>
      <c r="H172" s="26">
        <v>27</v>
      </c>
      <c r="I172" s="26">
        <v>54</v>
      </c>
      <c r="J172" s="26">
        <v>56</v>
      </c>
      <c r="K172" s="26"/>
      <c r="L172" s="26"/>
      <c r="M172" s="26">
        <v>16</v>
      </c>
      <c r="N172" s="26">
        <v>0</v>
      </c>
      <c r="O172" s="26">
        <v>0</v>
      </c>
      <c r="P172" s="26">
        <v>4</v>
      </c>
      <c r="Q172" s="70">
        <v>1</v>
      </c>
      <c r="R172" s="26">
        <v>158</v>
      </c>
    </row>
    <row r="173" spans="1:18" x14ac:dyDescent="0.35">
      <c r="A173" s="69">
        <v>22210053</v>
      </c>
      <c r="B173" s="69" t="s">
        <v>1028</v>
      </c>
      <c r="C173" s="69" t="s">
        <v>1029</v>
      </c>
      <c r="D173" s="69">
        <v>9960081409</v>
      </c>
      <c r="E173" s="69" t="s">
        <v>1030</v>
      </c>
      <c r="F173" s="69" t="s">
        <v>1019</v>
      </c>
      <c r="G173" s="26">
        <v>7</v>
      </c>
      <c r="H173" s="26"/>
      <c r="I173" s="26">
        <v>10</v>
      </c>
      <c r="J173" s="26">
        <v>25</v>
      </c>
      <c r="K173" s="26">
        <v>12</v>
      </c>
      <c r="L173" s="26"/>
      <c r="M173" s="26">
        <v>6</v>
      </c>
      <c r="N173" s="26"/>
      <c r="O173" s="26">
        <v>2</v>
      </c>
      <c r="P173" s="26">
        <v>1</v>
      </c>
      <c r="Q173" s="70">
        <v>1</v>
      </c>
      <c r="R173" s="26">
        <v>64</v>
      </c>
    </row>
    <row r="174" spans="1:18" x14ac:dyDescent="0.35">
      <c r="A174" s="69">
        <v>22210054</v>
      </c>
      <c r="B174" s="69" t="s">
        <v>1031</v>
      </c>
      <c r="C174" s="69" t="s">
        <v>1032</v>
      </c>
      <c r="D174" s="69">
        <v>9421895823</v>
      </c>
      <c r="E174" s="69" t="s">
        <v>1033</v>
      </c>
      <c r="F174" s="69" t="s">
        <v>1019</v>
      </c>
      <c r="G174" s="26"/>
      <c r="H174" s="26">
        <v>4</v>
      </c>
      <c r="I174" s="26"/>
      <c r="J174" s="26">
        <v>21</v>
      </c>
      <c r="K174" s="26"/>
      <c r="L174" s="26">
        <v>8</v>
      </c>
      <c r="M174" s="26">
        <v>4</v>
      </c>
      <c r="N174" s="26">
        <v>5</v>
      </c>
      <c r="O174" s="26">
        <v>3</v>
      </c>
      <c r="P174" s="26">
        <v>6</v>
      </c>
      <c r="Q174" s="70">
        <v>2</v>
      </c>
      <c r="R174" s="26">
        <v>53</v>
      </c>
    </row>
    <row r="175" spans="1:18" x14ac:dyDescent="0.35">
      <c r="A175" s="69">
        <v>22210063</v>
      </c>
      <c r="B175" s="69" t="s">
        <v>1034</v>
      </c>
      <c r="C175" s="69" t="s">
        <v>1035</v>
      </c>
      <c r="D175" s="69">
        <v>9881660607</v>
      </c>
      <c r="E175" s="69" t="s">
        <v>1036</v>
      </c>
      <c r="F175" s="69" t="s">
        <v>1019</v>
      </c>
      <c r="G175" s="26">
        <v>21</v>
      </c>
      <c r="H175" s="26">
        <v>4</v>
      </c>
      <c r="I175" s="26">
        <v>7</v>
      </c>
      <c r="J175" s="26">
        <v>29</v>
      </c>
      <c r="K175" s="26">
        <v>11</v>
      </c>
      <c r="L175" s="26">
        <v>2</v>
      </c>
      <c r="M175" s="26">
        <v>10</v>
      </c>
      <c r="N175" s="26">
        <v>2</v>
      </c>
      <c r="O175" s="26"/>
      <c r="P175" s="26">
        <v>8</v>
      </c>
      <c r="Q175" s="70">
        <v>4</v>
      </c>
      <c r="R175" s="26">
        <v>98</v>
      </c>
    </row>
    <row r="176" spans="1:18" x14ac:dyDescent="0.35">
      <c r="A176" s="69">
        <v>23210006</v>
      </c>
      <c r="B176" s="69" t="s">
        <v>1037</v>
      </c>
      <c r="C176" s="69" t="s">
        <v>1038</v>
      </c>
      <c r="D176" s="69">
        <v>9423273222</v>
      </c>
      <c r="E176" s="69" t="s">
        <v>1039</v>
      </c>
      <c r="F176" s="69" t="s">
        <v>1040</v>
      </c>
      <c r="G176" s="26"/>
      <c r="H176" s="26"/>
      <c r="I176" s="26">
        <v>42</v>
      </c>
      <c r="J176" s="26">
        <v>23</v>
      </c>
      <c r="K176" s="26"/>
      <c r="L176" s="26"/>
      <c r="M176" s="26">
        <v>20</v>
      </c>
      <c r="N176" s="26"/>
      <c r="O176" s="26">
        <v>9</v>
      </c>
      <c r="P176" s="26">
        <v>0</v>
      </c>
      <c r="Q176" s="70">
        <v>0</v>
      </c>
      <c r="R176" s="26">
        <v>94</v>
      </c>
    </row>
    <row r="177" spans="1:18" x14ac:dyDescent="0.35">
      <c r="A177" s="69">
        <v>23210007</v>
      </c>
      <c r="B177" s="69" t="s">
        <v>1041</v>
      </c>
      <c r="C177" s="69" t="s">
        <v>1042</v>
      </c>
      <c r="D177" s="69">
        <v>9421220635</v>
      </c>
      <c r="E177" s="69" t="s">
        <v>1043</v>
      </c>
      <c r="F177" s="69" t="s">
        <v>1040</v>
      </c>
      <c r="G177" s="26">
        <v>14</v>
      </c>
      <c r="H177" s="26">
        <v>4</v>
      </c>
      <c r="I177" s="26">
        <v>88</v>
      </c>
      <c r="J177" s="26">
        <v>209</v>
      </c>
      <c r="K177" s="26">
        <v>15</v>
      </c>
      <c r="L177" s="26"/>
      <c r="M177" s="26">
        <v>19</v>
      </c>
      <c r="N177" s="26">
        <v>12</v>
      </c>
      <c r="O177" s="26">
        <v>13</v>
      </c>
      <c r="P177" s="26">
        <v>14</v>
      </c>
      <c r="Q177" s="70">
        <v>7</v>
      </c>
      <c r="R177" s="26">
        <v>395</v>
      </c>
    </row>
    <row r="178" spans="1:18" x14ac:dyDescent="0.35">
      <c r="A178" s="69">
        <v>23210008</v>
      </c>
      <c r="B178" s="69" t="s">
        <v>1044</v>
      </c>
      <c r="C178" s="69" t="s">
        <v>1045</v>
      </c>
      <c r="D178" s="69">
        <v>9850810100</v>
      </c>
      <c r="E178" s="69" t="s">
        <v>1046</v>
      </c>
      <c r="F178" s="69" t="s">
        <v>1040</v>
      </c>
      <c r="G178" s="26"/>
      <c r="H178" s="26"/>
      <c r="I178" s="26"/>
      <c r="J178" s="26">
        <v>125</v>
      </c>
      <c r="K178" s="26">
        <v>42</v>
      </c>
      <c r="L178" s="26"/>
      <c r="M178" s="26"/>
      <c r="N178" s="26">
        <v>2</v>
      </c>
      <c r="O178" s="26">
        <v>21</v>
      </c>
      <c r="P178" s="26">
        <v>0</v>
      </c>
      <c r="Q178" s="70">
        <v>0</v>
      </c>
      <c r="R178" s="26">
        <v>190</v>
      </c>
    </row>
    <row r="179" spans="1:18" x14ac:dyDescent="0.35">
      <c r="A179" s="69">
        <v>23210228</v>
      </c>
      <c r="B179" s="69" t="s">
        <v>1047</v>
      </c>
      <c r="C179" s="69" t="s">
        <v>1048</v>
      </c>
      <c r="D179" s="69">
        <v>9011034867</v>
      </c>
      <c r="E179" s="69" t="s">
        <v>1049</v>
      </c>
      <c r="F179" s="69" t="s">
        <v>1040</v>
      </c>
      <c r="G179" s="26">
        <v>7</v>
      </c>
      <c r="H179" s="26">
        <v>3</v>
      </c>
      <c r="I179" s="26">
        <v>12</v>
      </c>
      <c r="J179" s="26">
        <v>21</v>
      </c>
      <c r="K179" s="26">
        <v>14</v>
      </c>
      <c r="L179" s="26">
        <v>10</v>
      </c>
      <c r="M179" s="26">
        <v>6</v>
      </c>
      <c r="N179" s="26">
        <v>11</v>
      </c>
      <c r="O179" s="26">
        <v>4</v>
      </c>
      <c r="P179" s="26">
        <v>0</v>
      </c>
      <c r="Q179" s="70">
        <v>0</v>
      </c>
      <c r="R179" s="26">
        <v>88</v>
      </c>
    </row>
    <row r="180" spans="1:18" x14ac:dyDescent="0.35">
      <c r="A180" s="69">
        <v>23210235</v>
      </c>
      <c r="B180" s="69" t="s">
        <v>1050</v>
      </c>
      <c r="C180" s="69" t="s">
        <v>1051</v>
      </c>
      <c r="D180" s="69">
        <v>9673798777</v>
      </c>
      <c r="E180" s="69" t="s">
        <v>1052</v>
      </c>
      <c r="F180" s="69" t="s">
        <v>1040</v>
      </c>
      <c r="G180" s="26"/>
      <c r="H180" s="26"/>
      <c r="I180" s="26"/>
      <c r="J180" s="26">
        <v>10</v>
      </c>
      <c r="K180" s="26"/>
      <c r="L180" s="26"/>
      <c r="M180" s="26"/>
      <c r="N180" s="26"/>
      <c r="O180" s="26">
        <v>3</v>
      </c>
      <c r="P180" s="26">
        <v>0</v>
      </c>
      <c r="Q180" s="70">
        <v>0</v>
      </c>
      <c r="R180" s="26">
        <v>13</v>
      </c>
    </row>
    <row r="181" spans="1:18" x14ac:dyDescent="0.35">
      <c r="A181" s="69">
        <v>23210237</v>
      </c>
      <c r="B181" s="69" t="s">
        <v>1053</v>
      </c>
      <c r="C181" s="69" t="s">
        <v>1054</v>
      </c>
      <c r="D181" s="69">
        <v>9921777304</v>
      </c>
      <c r="E181" s="69" t="s">
        <v>1055</v>
      </c>
      <c r="F181" s="69" t="s">
        <v>1040</v>
      </c>
      <c r="G181" s="26">
        <v>20</v>
      </c>
      <c r="H181" s="26">
        <v>11</v>
      </c>
      <c r="I181" s="26">
        <v>25</v>
      </c>
      <c r="J181" s="26">
        <v>62</v>
      </c>
      <c r="K181" s="26">
        <v>6</v>
      </c>
      <c r="L181" s="26">
        <v>5</v>
      </c>
      <c r="M181" s="26">
        <v>12</v>
      </c>
      <c r="N181" s="26">
        <v>9</v>
      </c>
      <c r="O181" s="26">
        <v>10</v>
      </c>
      <c r="P181" s="26">
        <v>3</v>
      </c>
      <c r="Q181" s="70">
        <v>2</v>
      </c>
      <c r="R181" s="26">
        <v>165</v>
      </c>
    </row>
    <row r="182" spans="1:18" x14ac:dyDescent="0.35">
      <c r="A182" s="69">
        <v>23210239</v>
      </c>
      <c r="B182" s="69" t="s">
        <v>1056</v>
      </c>
      <c r="C182" s="69" t="s">
        <v>1057</v>
      </c>
      <c r="D182" s="69">
        <v>9422409492</v>
      </c>
      <c r="E182" s="69" t="s">
        <v>1058</v>
      </c>
      <c r="F182" s="69" t="s">
        <v>1040</v>
      </c>
      <c r="G182" s="26">
        <v>6</v>
      </c>
      <c r="H182" s="26"/>
      <c r="I182" s="26"/>
      <c r="J182" s="26">
        <v>36</v>
      </c>
      <c r="K182" s="26">
        <v>6</v>
      </c>
      <c r="L182" s="26">
        <v>6</v>
      </c>
      <c r="M182" s="26">
        <v>3</v>
      </c>
      <c r="N182" s="26">
        <v>1</v>
      </c>
      <c r="O182" s="26">
        <v>1</v>
      </c>
      <c r="P182" s="26">
        <v>1</v>
      </c>
      <c r="Q182" s="70">
        <v>0</v>
      </c>
      <c r="R182" s="26">
        <v>60</v>
      </c>
    </row>
    <row r="183" spans="1:18" x14ac:dyDescent="0.35">
      <c r="A183" s="69">
        <v>23210245</v>
      </c>
      <c r="B183" s="69" t="s">
        <v>1059</v>
      </c>
      <c r="C183" s="69" t="s">
        <v>1060</v>
      </c>
      <c r="D183" s="69">
        <v>9403944156</v>
      </c>
      <c r="E183" s="69" t="s">
        <v>1061</v>
      </c>
      <c r="F183" s="69" t="s">
        <v>1040</v>
      </c>
      <c r="G183" s="26"/>
      <c r="H183" s="26"/>
      <c r="I183" s="26"/>
      <c r="J183" s="26">
        <v>38</v>
      </c>
      <c r="K183" s="26">
        <v>5</v>
      </c>
      <c r="L183" s="26">
        <v>1</v>
      </c>
      <c r="M183" s="26">
        <v>1</v>
      </c>
      <c r="N183" s="26"/>
      <c r="O183" s="26">
        <v>2</v>
      </c>
      <c r="P183" s="26">
        <v>2</v>
      </c>
      <c r="Q183" s="70">
        <v>0</v>
      </c>
      <c r="R183" s="26">
        <v>49</v>
      </c>
    </row>
    <row r="184" spans="1:18" x14ac:dyDescent="0.35">
      <c r="A184" s="69">
        <v>23210246</v>
      </c>
      <c r="B184" s="69" t="s">
        <v>1062</v>
      </c>
      <c r="C184" s="69" t="s">
        <v>1063</v>
      </c>
      <c r="D184" s="69">
        <v>9765982798</v>
      </c>
      <c r="E184" s="69" t="s">
        <v>1064</v>
      </c>
      <c r="F184" s="69" t="s">
        <v>1040</v>
      </c>
      <c r="G184" s="26">
        <v>22</v>
      </c>
      <c r="H184" s="26">
        <v>6</v>
      </c>
      <c r="I184" s="26">
        <v>133</v>
      </c>
      <c r="J184" s="26">
        <v>113</v>
      </c>
      <c r="K184" s="26">
        <v>6</v>
      </c>
      <c r="L184" s="26">
        <v>3</v>
      </c>
      <c r="M184" s="26">
        <v>21</v>
      </c>
      <c r="N184" s="26">
        <v>20</v>
      </c>
      <c r="O184" s="26">
        <v>21</v>
      </c>
      <c r="P184" s="26">
        <v>13</v>
      </c>
      <c r="Q184" s="70">
        <v>20</v>
      </c>
      <c r="R184" s="26">
        <v>378</v>
      </c>
    </row>
    <row r="185" spans="1:18" x14ac:dyDescent="0.35">
      <c r="A185" s="69">
        <v>23210248</v>
      </c>
      <c r="B185" s="69" t="s">
        <v>1065</v>
      </c>
      <c r="C185" s="69" t="s">
        <v>1066</v>
      </c>
      <c r="D185" s="69">
        <v>9527465494</v>
      </c>
      <c r="E185" s="69" t="s">
        <v>1067</v>
      </c>
      <c r="F185" s="69" t="s">
        <v>1040</v>
      </c>
      <c r="G185" s="26">
        <v>9</v>
      </c>
      <c r="H185" s="26">
        <v>1</v>
      </c>
      <c r="I185" s="26">
        <v>25</v>
      </c>
      <c r="J185" s="26">
        <v>23</v>
      </c>
      <c r="K185" s="26">
        <v>5</v>
      </c>
      <c r="L185" s="26"/>
      <c r="M185" s="26">
        <v>7</v>
      </c>
      <c r="N185" s="26">
        <v>5</v>
      </c>
      <c r="O185" s="26">
        <v>3</v>
      </c>
      <c r="P185" s="26">
        <v>3</v>
      </c>
      <c r="Q185" s="70">
        <v>0</v>
      </c>
      <c r="R185" s="26">
        <v>81</v>
      </c>
    </row>
    <row r="186" spans="1:18" x14ac:dyDescent="0.35">
      <c r="A186" s="69">
        <v>23210252</v>
      </c>
      <c r="B186" s="69" t="s">
        <v>1068</v>
      </c>
      <c r="C186" s="69" t="s">
        <v>1069</v>
      </c>
      <c r="D186" s="69">
        <v>8605111818</v>
      </c>
      <c r="E186" s="69" t="s">
        <v>1070</v>
      </c>
      <c r="F186" s="69" t="s">
        <v>1040</v>
      </c>
      <c r="G186" s="26">
        <v>3</v>
      </c>
      <c r="H186" s="26">
        <v>7</v>
      </c>
      <c r="I186" s="26"/>
      <c r="J186" s="26">
        <v>110</v>
      </c>
      <c r="K186" s="26">
        <v>5</v>
      </c>
      <c r="L186" s="26"/>
      <c r="M186" s="26"/>
      <c r="N186" s="26">
        <v>1</v>
      </c>
      <c r="O186" s="26">
        <v>1</v>
      </c>
      <c r="P186" s="26">
        <v>1</v>
      </c>
      <c r="Q186" s="70">
        <v>0</v>
      </c>
      <c r="R186" s="26">
        <v>128</v>
      </c>
    </row>
    <row r="187" spans="1:18" x14ac:dyDescent="0.35">
      <c r="A187" s="69">
        <v>23210256</v>
      </c>
      <c r="B187" s="69" t="s">
        <v>1071</v>
      </c>
      <c r="C187" s="69" t="s">
        <v>1072</v>
      </c>
      <c r="D187" s="69">
        <v>9960378465</v>
      </c>
      <c r="E187" s="69" t="s">
        <v>1073</v>
      </c>
      <c r="F187" s="69" t="s">
        <v>1040</v>
      </c>
      <c r="G187" s="26"/>
      <c r="H187" s="26">
        <v>9</v>
      </c>
      <c r="I187" s="26"/>
      <c r="J187" s="26">
        <v>40</v>
      </c>
      <c r="K187" s="26"/>
      <c r="L187" s="26"/>
      <c r="M187" s="26"/>
      <c r="N187" s="26">
        <v>2</v>
      </c>
      <c r="O187" s="26">
        <v>6</v>
      </c>
      <c r="P187" s="26">
        <v>2</v>
      </c>
      <c r="Q187" s="70">
        <v>1</v>
      </c>
      <c r="R187" s="26">
        <v>60</v>
      </c>
    </row>
    <row r="188" spans="1:18" x14ac:dyDescent="0.35">
      <c r="A188" s="69">
        <v>24210001</v>
      </c>
      <c r="B188" s="69" t="s">
        <v>1074</v>
      </c>
      <c r="C188" s="69" t="s">
        <v>1075</v>
      </c>
      <c r="D188" s="69">
        <v>9850237149</v>
      </c>
      <c r="E188" s="69" t="s">
        <v>1076</v>
      </c>
      <c r="F188" s="69" t="s">
        <v>229</v>
      </c>
      <c r="G188" s="26">
        <v>4</v>
      </c>
      <c r="H188" s="26"/>
      <c r="I188" s="26"/>
      <c r="J188" s="26">
        <v>8</v>
      </c>
      <c r="K188" s="26">
        <v>13</v>
      </c>
      <c r="L188" s="26">
        <v>4</v>
      </c>
      <c r="M188" s="26">
        <v>11</v>
      </c>
      <c r="N188" s="26">
        <v>0</v>
      </c>
      <c r="O188" s="26">
        <v>4</v>
      </c>
      <c r="P188" s="26">
        <v>0</v>
      </c>
      <c r="Q188" s="70">
        <v>2</v>
      </c>
      <c r="R188" s="26">
        <v>46</v>
      </c>
    </row>
    <row r="189" spans="1:18" x14ac:dyDescent="0.35">
      <c r="A189" s="69">
        <v>24210004</v>
      </c>
      <c r="B189" s="69" t="s">
        <v>1077</v>
      </c>
      <c r="C189" s="69" t="s">
        <v>1078</v>
      </c>
      <c r="D189" s="69">
        <v>9405529077</v>
      </c>
      <c r="E189" s="69" t="s">
        <v>1079</v>
      </c>
      <c r="F189" s="69" t="s">
        <v>229</v>
      </c>
      <c r="G189" s="26">
        <v>42</v>
      </c>
      <c r="H189" s="26">
        <v>17</v>
      </c>
      <c r="I189" s="26">
        <v>53</v>
      </c>
      <c r="J189" s="26">
        <v>83</v>
      </c>
      <c r="K189" s="26">
        <v>47</v>
      </c>
      <c r="L189" s="26">
        <v>13</v>
      </c>
      <c r="M189" s="26">
        <v>24</v>
      </c>
      <c r="N189" s="26">
        <v>13</v>
      </c>
      <c r="O189" s="26">
        <v>27</v>
      </c>
      <c r="P189" s="26">
        <v>23</v>
      </c>
      <c r="Q189" s="70">
        <v>10</v>
      </c>
      <c r="R189" s="26">
        <v>352</v>
      </c>
    </row>
    <row r="190" spans="1:18" x14ac:dyDescent="0.35">
      <c r="A190" s="69">
        <v>24210005</v>
      </c>
      <c r="B190" s="69" t="s">
        <v>1080</v>
      </c>
      <c r="C190" s="69" t="s">
        <v>1081</v>
      </c>
      <c r="D190" s="69">
        <v>9423120951</v>
      </c>
      <c r="E190" s="69" t="s">
        <v>1082</v>
      </c>
      <c r="F190" s="69" t="s">
        <v>229</v>
      </c>
      <c r="G190" s="26">
        <v>5</v>
      </c>
      <c r="H190" s="26">
        <v>7</v>
      </c>
      <c r="I190" s="26"/>
      <c r="J190" s="26">
        <v>9</v>
      </c>
      <c r="K190" s="26">
        <v>7</v>
      </c>
      <c r="L190" s="26"/>
      <c r="M190" s="26"/>
      <c r="N190" s="26">
        <v>15</v>
      </c>
      <c r="O190" s="26">
        <v>11</v>
      </c>
      <c r="P190" s="26">
        <v>1</v>
      </c>
      <c r="Q190" s="70">
        <v>3</v>
      </c>
      <c r="R190" s="26">
        <v>58</v>
      </c>
    </row>
    <row r="191" spans="1:18" x14ac:dyDescent="0.35">
      <c r="A191" s="69">
        <v>24210007</v>
      </c>
      <c r="B191" s="69" t="s">
        <v>1083</v>
      </c>
      <c r="C191" s="69" t="s">
        <v>1084</v>
      </c>
      <c r="D191" s="69">
        <v>9422140622</v>
      </c>
      <c r="E191" s="69" t="s">
        <v>1085</v>
      </c>
      <c r="F191" s="69" t="s">
        <v>229</v>
      </c>
      <c r="G191" s="26">
        <v>45</v>
      </c>
      <c r="H191" s="26">
        <v>10</v>
      </c>
      <c r="I191" s="26">
        <v>76</v>
      </c>
      <c r="J191" s="26">
        <v>87</v>
      </c>
      <c r="K191" s="26">
        <v>29</v>
      </c>
      <c r="L191" s="26"/>
      <c r="M191" s="26">
        <v>20</v>
      </c>
      <c r="N191" s="26">
        <v>14</v>
      </c>
      <c r="O191" s="26">
        <v>10</v>
      </c>
      <c r="P191" s="26">
        <v>20</v>
      </c>
      <c r="Q191" s="70">
        <v>10</v>
      </c>
      <c r="R191" s="26">
        <v>321</v>
      </c>
    </row>
    <row r="192" spans="1:18" x14ac:dyDescent="0.35">
      <c r="A192" s="69">
        <v>24210014</v>
      </c>
      <c r="B192" s="69" t="s">
        <v>1086</v>
      </c>
      <c r="C192" s="69" t="s">
        <v>1087</v>
      </c>
      <c r="D192" s="69">
        <v>9422140795</v>
      </c>
      <c r="E192" s="69" t="s">
        <v>1088</v>
      </c>
      <c r="F192" s="69" t="s">
        <v>229</v>
      </c>
      <c r="G192" s="26">
        <v>18</v>
      </c>
      <c r="H192" s="26">
        <v>5</v>
      </c>
      <c r="I192" s="26">
        <v>25</v>
      </c>
      <c r="J192" s="26">
        <v>60</v>
      </c>
      <c r="K192" s="26">
        <v>20</v>
      </c>
      <c r="L192" s="26">
        <v>12</v>
      </c>
      <c r="M192" s="26">
        <v>14</v>
      </c>
      <c r="N192" s="26">
        <v>7</v>
      </c>
      <c r="O192" s="26">
        <v>1</v>
      </c>
      <c r="P192" s="26">
        <v>8</v>
      </c>
      <c r="Q192" s="70">
        <v>0</v>
      </c>
      <c r="R192" s="26">
        <v>170</v>
      </c>
    </row>
    <row r="193" spans="1:18" x14ac:dyDescent="0.35">
      <c r="A193" s="69">
        <v>24210015</v>
      </c>
      <c r="B193" s="69" t="s">
        <v>1089</v>
      </c>
      <c r="C193" s="69" t="s">
        <v>1090</v>
      </c>
      <c r="D193" s="69">
        <v>9767986381</v>
      </c>
      <c r="E193" s="69" t="s">
        <v>1091</v>
      </c>
      <c r="F193" s="69" t="s">
        <v>229</v>
      </c>
      <c r="G193" s="26">
        <v>43</v>
      </c>
      <c r="H193" s="26"/>
      <c r="I193" s="26"/>
      <c r="J193" s="26">
        <v>167</v>
      </c>
      <c r="K193" s="26">
        <v>31</v>
      </c>
      <c r="L193" s="26">
        <v>5</v>
      </c>
      <c r="M193" s="26">
        <v>9</v>
      </c>
      <c r="N193" s="26"/>
      <c r="O193" s="26">
        <v>12</v>
      </c>
      <c r="P193" s="26">
        <v>11</v>
      </c>
      <c r="Q193" s="70">
        <v>4</v>
      </c>
      <c r="R193" s="26">
        <v>282</v>
      </c>
    </row>
    <row r="194" spans="1:18" x14ac:dyDescent="0.35">
      <c r="A194" s="69">
        <v>24210016</v>
      </c>
      <c r="B194" s="69" t="s">
        <v>1092</v>
      </c>
      <c r="C194" s="69" t="s">
        <v>1093</v>
      </c>
      <c r="D194" s="69">
        <v>9421152211</v>
      </c>
      <c r="E194" s="69" t="s">
        <v>1094</v>
      </c>
      <c r="F194" s="69" t="s">
        <v>229</v>
      </c>
      <c r="G194" s="26">
        <v>50</v>
      </c>
      <c r="H194" s="26">
        <v>4</v>
      </c>
      <c r="I194" s="26">
        <v>14</v>
      </c>
      <c r="J194" s="26">
        <v>46</v>
      </c>
      <c r="K194" s="26">
        <v>18</v>
      </c>
      <c r="L194" s="26">
        <v>8</v>
      </c>
      <c r="M194" s="26">
        <v>12</v>
      </c>
      <c r="N194" s="26">
        <v>8</v>
      </c>
      <c r="O194" s="26">
        <v>16</v>
      </c>
      <c r="P194" s="26">
        <v>16</v>
      </c>
      <c r="Q194" s="70">
        <v>1</v>
      </c>
      <c r="R194" s="26">
        <v>193</v>
      </c>
    </row>
    <row r="195" spans="1:18" x14ac:dyDescent="0.35">
      <c r="A195" s="69">
        <v>24210038</v>
      </c>
      <c r="B195" s="69" t="s">
        <v>1095</v>
      </c>
      <c r="C195" s="69" t="s">
        <v>1096</v>
      </c>
      <c r="D195" s="69">
        <v>9373767790</v>
      </c>
      <c r="E195" s="69" t="s">
        <v>1097</v>
      </c>
      <c r="F195" s="69" t="s">
        <v>229</v>
      </c>
      <c r="G195" s="26">
        <v>135</v>
      </c>
      <c r="H195" s="26">
        <v>12</v>
      </c>
      <c r="I195" s="26">
        <v>90</v>
      </c>
      <c r="J195" s="26">
        <v>75</v>
      </c>
      <c r="K195" s="26">
        <v>54</v>
      </c>
      <c r="L195" s="26">
        <v>7</v>
      </c>
      <c r="M195" s="26">
        <v>38</v>
      </c>
      <c r="N195" s="26">
        <v>41</v>
      </c>
      <c r="O195" s="26">
        <v>32</v>
      </c>
      <c r="P195" s="26">
        <v>20</v>
      </c>
      <c r="Q195" s="70">
        <v>12</v>
      </c>
      <c r="R195" s="26">
        <v>516</v>
      </c>
    </row>
    <row r="196" spans="1:18" x14ac:dyDescent="0.35">
      <c r="A196" s="69">
        <v>24210039</v>
      </c>
      <c r="B196" s="69" t="s">
        <v>1098</v>
      </c>
      <c r="C196" s="69" t="s">
        <v>1099</v>
      </c>
      <c r="D196" s="69">
        <v>9422143041</v>
      </c>
      <c r="E196" s="69" t="s">
        <v>1100</v>
      </c>
      <c r="F196" s="69" t="s">
        <v>229</v>
      </c>
      <c r="G196" s="26">
        <v>89</v>
      </c>
      <c r="H196" s="26">
        <v>11</v>
      </c>
      <c r="I196" s="26">
        <v>9</v>
      </c>
      <c r="J196" s="26">
        <v>68</v>
      </c>
      <c r="K196" s="26">
        <v>42</v>
      </c>
      <c r="L196" s="26">
        <v>16</v>
      </c>
      <c r="M196" s="26">
        <v>12</v>
      </c>
      <c r="N196" s="26">
        <v>14</v>
      </c>
      <c r="O196" s="26"/>
      <c r="P196" s="26">
        <v>18</v>
      </c>
      <c r="Q196" s="70">
        <v>6</v>
      </c>
      <c r="R196" s="26">
        <v>285</v>
      </c>
    </row>
    <row r="197" spans="1:18" x14ac:dyDescent="0.35">
      <c r="A197" s="69">
        <v>24210040</v>
      </c>
      <c r="B197" s="69" t="s">
        <v>1098</v>
      </c>
      <c r="C197" s="69" t="s">
        <v>1101</v>
      </c>
      <c r="D197" s="69">
        <v>9422903838</v>
      </c>
      <c r="E197" s="69" t="s">
        <v>1102</v>
      </c>
      <c r="F197" s="69" t="s">
        <v>229</v>
      </c>
      <c r="G197" s="26">
        <v>68</v>
      </c>
      <c r="H197" s="26">
        <v>52</v>
      </c>
      <c r="I197" s="26">
        <v>105</v>
      </c>
      <c r="J197" s="26">
        <v>157</v>
      </c>
      <c r="K197" s="26">
        <v>46</v>
      </c>
      <c r="L197" s="26"/>
      <c r="M197" s="26">
        <v>56</v>
      </c>
      <c r="N197" s="26">
        <v>29</v>
      </c>
      <c r="O197" s="26">
        <v>43</v>
      </c>
      <c r="P197" s="26">
        <v>28</v>
      </c>
      <c r="Q197" s="70">
        <v>24</v>
      </c>
      <c r="R197" s="26">
        <v>608</v>
      </c>
    </row>
    <row r="198" spans="1:18" x14ac:dyDescent="0.35">
      <c r="A198" s="69">
        <v>24210043</v>
      </c>
      <c r="B198" s="69" t="s">
        <v>1103</v>
      </c>
      <c r="C198" s="69" t="s">
        <v>1104</v>
      </c>
      <c r="D198" s="69">
        <v>9371168469</v>
      </c>
      <c r="E198" s="69" t="s">
        <v>1105</v>
      </c>
      <c r="F198" s="69" t="s">
        <v>229</v>
      </c>
      <c r="G198" s="26">
        <v>247</v>
      </c>
      <c r="H198" s="26">
        <v>17</v>
      </c>
      <c r="I198" s="26">
        <v>190</v>
      </c>
      <c r="J198" s="26">
        <v>104</v>
      </c>
      <c r="K198" s="26">
        <v>33</v>
      </c>
      <c r="L198" s="26"/>
      <c r="M198" s="26">
        <v>61</v>
      </c>
      <c r="N198" s="26">
        <v>55</v>
      </c>
      <c r="O198" s="26"/>
      <c r="P198" s="26">
        <v>55</v>
      </c>
      <c r="Q198" s="70">
        <v>17</v>
      </c>
      <c r="R198" s="26">
        <v>779</v>
      </c>
    </row>
    <row r="199" spans="1:18" x14ac:dyDescent="0.35">
      <c r="A199" s="69">
        <v>24210053</v>
      </c>
      <c r="B199" s="69" t="s">
        <v>1106</v>
      </c>
      <c r="C199" s="69" t="s">
        <v>1107</v>
      </c>
      <c r="D199" s="69">
        <v>9422140654</v>
      </c>
      <c r="E199" s="69" t="s">
        <v>1108</v>
      </c>
      <c r="F199" s="69" t="s">
        <v>229</v>
      </c>
      <c r="G199" s="26"/>
      <c r="H199" s="26">
        <v>5</v>
      </c>
      <c r="I199" s="26"/>
      <c r="J199" s="26">
        <v>62</v>
      </c>
      <c r="K199" s="26"/>
      <c r="L199" s="26">
        <v>7</v>
      </c>
      <c r="M199" s="26">
        <v>5</v>
      </c>
      <c r="N199" s="26">
        <v>12</v>
      </c>
      <c r="O199" s="26">
        <v>9</v>
      </c>
      <c r="P199" s="26">
        <v>9</v>
      </c>
      <c r="Q199" s="70">
        <v>1</v>
      </c>
      <c r="R199" s="26">
        <v>110</v>
      </c>
    </row>
    <row r="200" spans="1:18" x14ac:dyDescent="0.35">
      <c r="A200" s="69">
        <v>24210054</v>
      </c>
      <c r="B200" s="69" t="s">
        <v>1109</v>
      </c>
      <c r="C200" s="69" t="s">
        <v>1110</v>
      </c>
      <c r="D200" s="69">
        <v>9975636651</v>
      </c>
      <c r="E200" s="69" t="s">
        <v>1111</v>
      </c>
      <c r="F200" s="69" t="s">
        <v>229</v>
      </c>
      <c r="G200" s="26">
        <v>57</v>
      </c>
      <c r="H200" s="26">
        <v>25</v>
      </c>
      <c r="I200" s="26">
        <v>5</v>
      </c>
      <c r="J200" s="26">
        <v>228</v>
      </c>
      <c r="K200" s="26">
        <v>21</v>
      </c>
      <c r="L200" s="26"/>
      <c r="M200" s="26">
        <v>64</v>
      </c>
      <c r="N200" s="26">
        <v>42</v>
      </c>
      <c r="O200" s="26">
        <v>21</v>
      </c>
      <c r="P200" s="26">
        <v>20</v>
      </c>
      <c r="Q200" s="70">
        <v>3</v>
      </c>
      <c r="R200" s="26">
        <v>486</v>
      </c>
    </row>
    <row r="201" spans="1:18" x14ac:dyDescent="0.35">
      <c r="A201" s="69">
        <v>24210055</v>
      </c>
      <c r="B201" s="69" t="s">
        <v>1098</v>
      </c>
      <c r="C201" s="69" t="s">
        <v>1112</v>
      </c>
      <c r="D201" s="69">
        <v>9422142870</v>
      </c>
      <c r="E201" s="69" t="s">
        <v>1113</v>
      </c>
      <c r="F201" s="69" t="s">
        <v>229</v>
      </c>
      <c r="G201" s="26">
        <v>53</v>
      </c>
      <c r="H201" s="26"/>
      <c r="I201" s="26"/>
      <c r="J201" s="26"/>
      <c r="K201" s="26"/>
      <c r="L201" s="26"/>
      <c r="M201" s="26">
        <v>11</v>
      </c>
      <c r="N201" s="26"/>
      <c r="O201" s="26">
        <v>17</v>
      </c>
      <c r="P201" s="26">
        <v>0</v>
      </c>
      <c r="Q201" s="70">
        <v>8</v>
      </c>
      <c r="R201" s="26">
        <v>89</v>
      </c>
    </row>
    <row r="202" spans="1:18" x14ac:dyDescent="0.35">
      <c r="A202" s="69">
        <v>24210056</v>
      </c>
      <c r="B202" s="69" t="s">
        <v>1114</v>
      </c>
      <c r="C202" s="69" t="s">
        <v>1115</v>
      </c>
      <c r="D202" s="69">
        <v>9960085232</v>
      </c>
      <c r="E202" s="69" t="s">
        <v>1116</v>
      </c>
      <c r="F202" s="69" t="s">
        <v>229</v>
      </c>
      <c r="G202" s="26">
        <v>24</v>
      </c>
      <c r="H202" s="26"/>
      <c r="I202" s="26">
        <v>42</v>
      </c>
      <c r="J202" s="26">
        <v>54</v>
      </c>
      <c r="K202" s="26">
        <v>19</v>
      </c>
      <c r="L202" s="26">
        <v>6</v>
      </c>
      <c r="M202" s="26">
        <v>7</v>
      </c>
      <c r="N202" s="26">
        <v>9</v>
      </c>
      <c r="O202" s="26">
        <v>4</v>
      </c>
      <c r="P202" s="26">
        <v>4</v>
      </c>
      <c r="Q202" s="70">
        <v>8</v>
      </c>
      <c r="R202" s="26">
        <v>177</v>
      </c>
    </row>
    <row r="203" spans="1:18" x14ac:dyDescent="0.35">
      <c r="A203" s="69">
        <v>24210057</v>
      </c>
      <c r="B203" s="69" t="s">
        <v>1117</v>
      </c>
      <c r="C203" s="69" t="s">
        <v>1118</v>
      </c>
      <c r="D203" s="69">
        <v>9890929939</v>
      </c>
      <c r="E203" s="69" t="s">
        <v>1119</v>
      </c>
      <c r="F203" s="69" t="s">
        <v>229</v>
      </c>
      <c r="G203" s="26">
        <v>24</v>
      </c>
      <c r="H203" s="26">
        <v>11</v>
      </c>
      <c r="I203" s="26">
        <v>36</v>
      </c>
      <c r="J203" s="26">
        <v>196</v>
      </c>
      <c r="K203" s="26">
        <v>45</v>
      </c>
      <c r="L203" s="26">
        <v>18</v>
      </c>
      <c r="M203" s="26">
        <v>33</v>
      </c>
      <c r="N203" s="26">
        <v>10</v>
      </c>
      <c r="O203" s="26">
        <v>17</v>
      </c>
      <c r="P203" s="26">
        <v>13</v>
      </c>
      <c r="Q203" s="70">
        <v>2</v>
      </c>
      <c r="R203" s="26">
        <v>405</v>
      </c>
    </row>
    <row r="204" spans="1:18" x14ac:dyDescent="0.35">
      <c r="A204" s="69">
        <v>24210066</v>
      </c>
      <c r="B204" s="69" t="s">
        <v>1120</v>
      </c>
      <c r="C204" s="69" t="s">
        <v>1121</v>
      </c>
      <c r="D204" s="69">
        <v>9021464471</v>
      </c>
      <c r="E204" s="69" t="s">
        <v>1122</v>
      </c>
      <c r="F204" s="69" t="s">
        <v>229</v>
      </c>
      <c r="G204" s="26">
        <v>10</v>
      </c>
      <c r="H204" s="26">
        <v>85</v>
      </c>
      <c r="I204" s="26">
        <v>1</v>
      </c>
      <c r="J204" s="26">
        <v>188</v>
      </c>
      <c r="K204" s="26">
        <v>36</v>
      </c>
      <c r="L204" s="26">
        <v>24</v>
      </c>
      <c r="M204" s="26"/>
      <c r="N204" s="26">
        <v>6</v>
      </c>
      <c r="O204" s="26">
        <v>41</v>
      </c>
      <c r="P204" s="26">
        <v>24</v>
      </c>
      <c r="Q204" s="70">
        <v>15</v>
      </c>
      <c r="R204" s="26">
        <v>430</v>
      </c>
    </row>
    <row r="205" spans="1:18" x14ac:dyDescent="0.35">
      <c r="A205" s="69">
        <v>24210070</v>
      </c>
      <c r="B205" s="69" t="s">
        <v>1123</v>
      </c>
      <c r="C205" s="69" t="s">
        <v>1124</v>
      </c>
      <c r="D205" s="69">
        <v>9970336372</v>
      </c>
      <c r="E205" s="69" t="s">
        <v>1125</v>
      </c>
      <c r="F205" s="69" t="s">
        <v>229</v>
      </c>
      <c r="G205" s="26">
        <v>33</v>
      </c>
      <c r="H205" s="26"/>
      <c r="I205" s="26">
        <v>50</v>
      </c>
      <c r="J205" s="26">
        <v>88</v>
      </c>
      <c r="K205" s="26">
        <v>60</v>
      </c>
      <c r="L205" s="26"/>
      <c r="M205" s="26">
        <v>45</v>
      </c>
      <c r="N205" s="26"/>
      <c r="O205" s="26">
        <v>23</v>
      </c>
      <c r="P205" s="26">
        <v>13</v>
      </c>
      <c r="Q205" s="70">
        <v>6</v>
      </c>
      <c r="R205" s="26">
        <v>318</v>
      </c>
    </row>
    <row r="206" spans="1:18" x14ac:dyDescent="0.35">
      <c r="A206" s="69">
        <v>24210076</v>
      </c>
      <c r="B206" s="69" t="s">
        <v>1126</v>
      </c>
      <c r="C206" s="69" t="s">
        <v>1127</v>
      </c>
      <c r="D206" s="69">
        <v>9921585857</v>
      </c>
      <c r="E206" s="69" t="s">
        <v>1128</v>
      </c>
      <c r="F206" s="69" t="s">
        <v>229</v>
      </c>
      <c r="G206" s="26">
        <v>5</v>
      </c>
      <c r="H206" s="26">
        <v>1</v>
      </c>
      <c r="I206" s="26">
        <v>13</v>
      </c>
      <c r="J206" s="26">
        <v>41</v>
      </c>
      <c r="K206" s="26">
        <v>4</v>
      </c>
      <c r="L206" s="26"/>
      <c r="M206" s="26">
        <v>1</v>
      </c>
      <c r="N206" s="26">
        <v>3</v>
      </c>
      <c r="O206" s="26">
        <v>5</v>
      </c>
      <c r="P206" s="26">
        <v>4</v>
      </c>
      <c r="Q206" s="70">
        <v>7</v>
      </c>
      <c r="R206" s="26">
        <v>84</v>
      </c>
    </row>
    <row r="207" spans="1:18" x14ac:dyDescent="0.35">
      <c r="A207" s="69">
        <v>24210095</v>
      </c>
      <c r="B207" s="69" t="s">
        <v>1129</v>
      </c>
      <c r="C207" s="69" t="s">
        <v>1130</v>
      </c>
      <c r="D207" s="69">
        <v>9890304992</v>
      </c>
      <c r="E207" s="69" t="s">
        <v>1131</v>
      </c>
      <c r="F207" s="69" t="s">
        <v>229</v>
      </c>
      <c r="G207" s="26">
        <v>26</v>
      </c>
      <c r="H207" s="26">
        <v>6</v>
      </c>
      <c r="I207" s="26">
        <v>53</v>
      </c>
      <c r="J207" s="26">
        <v>51</v>
      </c>
      <c r="K207" s="26">
        <v>27</v>
      </c>
      <c r="L207" s="26">
        <v>23</v>
      </c>
      <c r="M207" s="26">
        <v>20</v>
      </c>
      <c r="N207" s="26">
        <v>11</v>
      </c>
      <c r="O207" s="26">
        <v>12</v>
      </c>
      <c r="P207" s="26">
        <v>7</v>
      </c>
      <c r="Q207" s="70">
        <v>6</v>
      </c>
      <c r="R207" s="26">
        <v>242</v>
      </c>
    </row>
    <row r="208" spans="1:18" x14ac:dyDescent="0.35">
      <c r="A208" s="69">
        <v>24210097</v>
      </c>
      <c r="B208" s="69" t="s">
        <v>1132</v>
      </c>
      <c r="C208" s="69" t="s">
        <v>1133</v>
      </c>
      <c r="D208" s="69">
        <v>9890722212</v>
      </c>
      <c r="E208" s="69" t="s">
        <v>1134</v>
      </c>
      <c r="F208" s="69" t="s">
        <v>229</v>
      </c>
      <c r="G208" s="26">
        <v>58</v>
      </c>
      <c r="H208" s="26">
        <v>13</v>
      </c>
      <c r="I208" s="26">
        <v>13</v>
      </c>
      <c r="J208" s="26">
        <v>96</v>
      </c>
      <c r="K208" s="26">
        <v>21</v>
      </c>
      <c r="L208" s="26">
        <v>9</v>
      </c>
      <c r="M208" s="26">
        <v>33</v>
      </c>
      <c r="N208" s="26">
        <v>41</v>
      </c>
      <c r="O208" s="26">
        <v>26</v>
      </c>
      <c r="P208" s="26">
        <v>25</v>
      </c>
      <c r="Q208" s="70">
        <v>6</v>
      </c>
      <c r="R208" s="26">
        <v>341</v>
      </c>
    </row>
    <row r="209" spans="1:18" x14ac:dyDescent="0.35">
      <c r="A209" s="69">
        <v>24210102</v>
      </c>
      <c r="B209" s="69" t="s">
        <v>1135</v>
      </c>
      <c r="C209" s="69" t="s">
        <v>1136</v>
      </c>
      <c r="D209" s="69">
        <v>9970032332</v>
      </c>
      <c r="E209" s="69" t="s">
        <v>1137</v>
      </c>
      <c r="F209" s="69" t="s">
        <v>229</v>
      </c>
      <c r="G209" s="26"/>
      <c r="H209" s="26">
        <v>21</v>
      </c>
      <c r="I209" s="26">
        <v>21</v>
      </c>
      <c r="J209" s="26">
        <v>29</v>
      </c>
      <c r="K209" s="26">
        <v>16</v>
      </c>
      <c r="L209" s="26"/>
      <c r="M209" s="26">
        <v>15</v>
      </c>
      <c r="N209" s="26">
        <v>12</v>
      </c>
      <c r="O209" s="26">
        <v>6</v>
      </c>
      <c r="P209" s="26">
        <v>5</v>
      </c>
      <c r="Q209" s="70">
        <v>2</v>
      </c>
      <c r="R209" s="26">
        <v>127</v>
      </c>
    </row>
    <row r="210" spans="1:18" x14ac:dyDescent="0.35">
      <c r="A210" s="69">
        <v>24210103</v>
      </c>
      <c r="B210" s="69" t="s">
        <v>1138</v>
      </c>
      <c r="C210" s="69" t="s">
        <v>1139</v>
      </c>
      <c r="D210" s="69">
        <v>9371168469</v>
      </c>
      <c r="E210" s="69" t="s">
        <v>1140</v>
      </c>
      <c r="F210" s="69" t="s">
        <v>229</v>
      </c>
      <c r="G210" s="26">
        <v>7</v>
      </c>
      <c r="H210" s="26"/>
      <c r="I210" s="26">
        <v>7</v>
      </c>
      <c r="J210" s="26">
        <v>21</v>
      </c>
      <c r="K210" s="26"/>
      <c r="L210" s="26"/>
      <c r="M210" s="26">
        <v>26</v>
      </c>
      <c r="N210" s="26">
        <v>7</v>
      </c>
      <c r="O210" s="26"/>
      <c r="P210" s="26">
        <v>10</v>
      </c>
      <c r="Q210" s="70">
        <v>0</v>
      </c>
      <c r="R210" s="26">
        <v>78</v>
      </c>
    </row>
    <row r="211" spans="1:18" x14ac:dyDescent="0.35">
      <c r="A211" s="69">
        <v>24210106</v>
      </c>
      <c r="B211" s="69" t="s">
        <v>1141</v>
      </c>
      <c r="C211" s="69" t="s">
        <v>1142</v>
      </c>
      <c r="D211" s="69">
        <v>9423890868</v>
      </c>
      <c r="E211" s="69" t="s">
        <v>1143</v>
      </c>
      <c r="F211" s="69" t="s">
        <v>229</v>
      </c>
      <c r="G211" s="26">
        <v>7</v>
      </c>
      <c r="H211" s="26">
        <v>1</v>
      </c>
      <c r="I211" s="26"/>
      <c r="J211" s="26">
        <v>22</v>
      </c>
      <c r="K211" s="26">
        <v>5</v>
      </c>
      <c r="L211" s="26"/>
      <c r="M211" s="26">
        <v>2</v>
      </c>
      <c r="N211" s="26">
        <v>7</v>
      </c>
      <c r="O211" s="26">
        <v>1</v>
      </c>
      <c r="P211" s="26">
        <v>13</v>
      </c>
      <c r="Q211" s="70">
        <v>1</v>
      </c>
      <c r="R211" s="26">
        <v>59</v>
      </c>
    </row>
    <row r="212" spans="1:18" x14ac:dyDescent="0.35">
      <c r="A212" s="69">
        <v>25210002</v>
      </c>
      <c r="B212" s="69" t="s">
        <v>1144</v>
      </c>
      <c r="C212" s="69" t="s">
        <v>1145</v>
      </c>
      <c r="D212" s="69">
        <v>9850383281</v>
      </c>
      <c r="E212" s="69" t="s">
        <v>1146</v>
      </c>
      <c r="F212" s="69" t="s">
        <v>1147</v>
      </c>
      <c r="G212" s="26">
        <v>80</v>
      </c>
      <c r="H212" s="26"/>
      <c r="I212" s="26">
        <v>52</v>
      </c>
      <c r="J212" s="26">
        <v>344</v>
      </c>
      <c r="K212" s="26">
        <v>35</v>
      </c>
      <c r="L212" s="26"/>
      <c r="M212" s="26">
        <v>48</v>
      </c>
      <c r="N212" s="26">
        <v>34</v>
      </c>
      <c r="O212" s="26">
        <v>24</v>
      </c>
      <c r="P212" s="26">
        <v>58</v>
      </c>
      <c r="Q212" s="70">
        <v>14</v>
      </c>
      <c r="R212" s="26">
        <v>689</v>
      </c>
    </row>
    <row r="213" spans="1:18" x14ac:dyDescent="0.35">
      <c r="A213" s="69">
        <v>25210015</v>
      </c>
      <c r="B213" s="69" t="s">
        <v>1148</v>
      </c>
      <c r="C213" s="69" t="s">
        <v>1149</v>
      </c>
      <c r="D213" s="69">
        <v>9423141617</v>
      </c>
      <c r="E213" s="69" t="s">
        <v>1150</v>
      </c>
      <c r="F213" s="69" t="s">
        <v>1147</v>
      </c>
      <c r="G213" s="26">
        <v>41</v>
      </c>
      <c r="H213" s="26">
        <v>4</v>
      </c>
      <c r="I213" s="26"/>
      <c r="J213" s="26">
        <v>44</v>
      </c>
      <c r="K213" s="26">
        <v>12</v>
      </c>
      <c r="L213" s="26">
        <v>12</v>
      </c>
      <c r="M213" s="26">
        <v>18</v>
      </c>
      <c r="N213" s="26">
        <v>10</v>
      </c>
      <c r="O213" s="26">
        <v>3</v>
      </c>
      <c r="P213" s="26">
        <v>3</v>
      </c>
      <c r="Q213" s="70">
        <v>2</v>
      </c>
      <c r="R213" s="26">
        <v>149</v>
      </c>
    </row>
    <row r="214" spans="1:18" x14ac:dyDescent="0.35">
      <c r="A214" s="69">
        <v>26210001</v>
      </c>
      <c r="B214" s="69" t="s">
        <v>1151</v>
      </c>
      <c r="C214" s="69" t="s">
        <v>1152</v>
      </c>
      <c r="D214" s="69">
        <v>9326643275</v>
      </c>
      <c r="E214" s="69" t="s">
        <v>1153</v>
      </c>
      <c r="F214" s="69" t="s">
        <v>232</v>
      </c>
      <c r="G214" s="26">
        <v>33</v>
      </c>
      <c r="H214" s="26"/>
      <c r="I214" s="26">
        <v>50</v>
      </c>
      <c r="J214" s="26">
        <v>26</v>
      </c>
      <c r="K214" s="26"/>
      <c r="L214" s="26">
        <v>16</v>
      </c>
      <c r="M214" s="26"/>
      <c r="N214" s="26">
        <v>13</v>
      </c>
      <c r="O214" s="26"/>
      <c r="P214" s="26">
        <v>19</v>
      </c>
      <c r="Q214" s="70">
        <v>5</v>
      </c>
      <c r="R214" s="26">
        <v>162</v>
      </c>
    </row>
    <row r="215" spans="1:18" x14ac:dyDescent="0.35">
      <c r="A215" s="69">
        <v>26210002</v>
      </c>
      <c r="B215" s="69" t="s">
        <v>831</v>
      </c>
      <c r="C215" s="69" t="s">
        <v>1154</v>
      </c>
      <c r="D215" s="69">
        <v>9860774336</v>
      </c>
      <c r="E215" s="69" t="s">
        <v>1155</v>
      </c>
      <c r="F215" s="69" t="s">
        <v>232</v>
      </c>
      <c r="G215" s="26">
        <v>63</v>
      </c>
      <c r="H215" s="26">
        <v>26</v>
      </c>
      <c r="I215" s="26">
        <v>55</v>
      </c>
      <c r="J215" s="26">
        <v>134</v>
      </c>
      <c r="K215" s="26">
        <v>24</v>
      </c>
      <c r="L215" s="26">
        <v>15</v>
      </c>
      <c r="M215" s="26">
        <v>42</v>
      </c>
      <c r="N215" s="26">
        <v>20</v>
      </c>
      <c r="O215" s="26">
        <v>22</v>
      </c>
      <c r="P215" s="26">
        <v>16</v>
      </c>
      <c r="Q215" s="70">
        <v>13</v>
      </c>
      <c r="R215" s="26">
        <v>430</v>
      </c>
    </row>
    <row r="216" spans="1:18" x14ac:dyDescent="0.35">
      <c r="A216" s="69">
        <v>26210003</v>
      </c>
      <c r="B216" s="69" t="s">
        <v>1156</v>
      </c>
      <c r="C216" s="69" t="s">
        <v>1157</v>
      </c>
      <c r="D216" s="69">
        <v>9422218573</v>
      </c>
      <c r="E216" s="69" t="s">
        <v>1158</v>
      </c>
      <c r="F216" s="69" t="s">
        <v>232</v>
      </c>
      <c r="G216" s="26"/>
      <c r="H216" s="26"/>
      <c r="I216" s="26">
        <v>8</v>
      </c>
      <c r="J216" s="26">
        <v>38</v>
      </c>
      <c r="K216" s="26">
        <v>5</v>
      </c>
      <c r="L216" s="26"/>
      <c r="M216" s="26">
        <v>18</v>
      </c>
      <c r="N216" s="26"/>
      <c r="O216" s="26">
        <v>10</v>
      </c>
      <c r="P216" s="26">
        <v>15</v>
      </c>
      <c r="Q216" s="70">
        <v>6</v>
      </c>
      <c r="R216" s="26">
        <v>100</v>
      </c>
    </row>
    <row r="217" spans="1:18" x14ac:dyDescent="0.35">
      <c r="A217" s="69">
        <v>26210025</v>
      </c>
      <c r="B217" s="69" t="s">
        <v>1159</v>
      </c>
      <c r="C217" s="69" t="s">
        <v>1160</v>
      </c>
      <c r="D217" s="69">
        <v>9423460426</v>
      </c>
      <c r="E217" s="69" t="s">
        <v>1161</v>
      </c>
      <c r="F217" s="69" t="s">
        <v>232</v>
      </c>
      <c r="G217" s="26">
        <v>16</v>
      </c>
      <c r="H217" s="26"/>
      <c r="I217" s="26">
        <v>3</v>
      </c>
      <c r="J217" s="26">
        <v>45</v>
      </c>
      <c r="K217" s="26">
        <v>17</v>
      </c>
      <c r="L217" s="26"/>
      <c r="M217" s="26">
        <v>10</v>
      </c>
      <c r="N217" s="26"/>
      <c r="O217" s="26">
        <v>7</v>
      </c>
      <c r="P217" s="26">
        <v>0</v>
      </c>
      <c r="Q217" s="70">
        <v>0</v>
      </c>
      <c r="R217" s="26">
        <v>98</v>
      </c>
    </row>
    <row r="218" spans="1:18" x14ac:dyDescent="0.35">
      <c r="A218" s="69">
        <v>26210033</v>
      </c>
      <c r="B218" s="69" t="s">
        <v>1162</v>
      </c>
      <c r="C218" s="69" t="s">
        <v>1163</v>
      </c>
      <c r="D218" s="69">
        <v>9420220701</v>
      </c>
      <c r="E218" s="69" t="s">
        <v>1164</v>
      </c>
      <c r="F218" s="69" t="s">
        <v>232</v>
      </c>
      <c r="G218" s="26">
        <v>20</v>
      </c>
      <c r="H218" s="26">
        <v>29</v>
      </c>
      <c r="I218" s="26"/>
      <c r="J218" s="26">
        <v>48</v>
      </c>
      <c r="K218" s="26">
        <v>12</v>
      </c>
      <c r="L218" s="26"/>
      <c r="M218" s="26">
        <v>35</v>
      </c>
      <c r="N218" s="26">
        <v>11</v>
      </c>
      <c r="O218" s="26">
        <v>0</v>
      </c>
      <c r="P218" s="26">
        <v>22</v>
      </c>
      <c r="Q218" s="70">
        <v>3</v>
      </c>
      <c r="R218" s="26">
        <v>180</v>
      </c>
    </row>
    <row r="219" spans="1:18" x14ac:dyDescent="0.35">
      <c r="A219" s="69">
        <v>26210041</v>
      </c>
      <c r="B219" s="69" t="s">
        <v>1165</v>
      </c>
      <c r="C219" s="69" t="s">
        <v>1166</v>
      </c>
      <c r="D219" s="69">
        <v>9423157955</v>
      </c>
      <c r="E219" s="69" t="s">
        <v>1167</v>
      </c>
      <c r="F219" s="69" t="s">
        <v>232</v>
      </c>
      <c r="G219" s="26">
        <v>16</v>
      </c>
      <c r="H219" s="26"/>
      <c r="I219" s="26"/>
      <c r="J219" s="26">
        <v>49</v>
      </c>
      <c r="K219" s="26">
        <v>12</v>
      </c>
      <c r="L219" s="26"/>
      <c r="M219" s="26">
        <v>13</v>
      </c>
      <c r="N219" s="26">
        <v>0</v>
      </c>
      <c r="O219" s="26">
        <v>12</v>
      </c>
      <c r="P219" s="26">
        <v>3</v>
      </c>
      <c r="Q219" s="70">
        <v>0</v>
      </c>
      <c r="R219" s="26">
        <v>105</v>
      </c>
    </row>
    <row r="220" spans="1:18" x14ac:dyDescent="0.35">
      <c r="A220" s="69">
        <v>26210042</v>
      </c>
      <c r="B220" s="69" t="s">
        <v>1168</v>
      </c>
      <c r="C220" s="69" t="s">
        <v>1169</v>
      </c>
      <c r="D220" s="69">
        <v>9404513711</v>
      </c>
      <c r="E220" s="69" t="s">
        <v>1170</v>
      </c>
      <c r="F220" s="69" t="s">
        <v>232</v>
      </c>
      <c r="G220" s="26">
        <v>28</v>
      </c>
      <c r="H220" s="26">
        <v>5</v>
      </c>
      <c r="I220" s="26"/>
      <c r="J220" s="26">
        <v>72</v>
      </c>
      <c r="K220" s="26">
        <v>10</v>
      </c>
      <c r="L220" s="26"/>
      <c r="M220" s="26">
        <v>22</v>
      </c>
      <c r="N220" s="26"/>
      <c r="O220" s="26">
        <v>14</v>
      </c>
      <c r="P220" s="26">
        <v>0</v>
      </c>
      <c r="Q220" s="70">
        <v>15</v>
      </c>
      <c r="R220" s="26">
        <v>166</v>
      </c>
    </row>
    <row r="221" spans="1:18" x14ac:dyDescent="0.35">
      <c r="A221" s="69">
        <v>26210047</v>
      </c>
      <c r="B221" s="69" t="s">
        <v>1171</v>
      </c>
      <c r="C221" s="69" t="s">
        <v>1172</v>
      </c>
      <c r="D221" s="69">
        <v>9404444888</v>
      </c>
      <c r="E221" s="69" t="s">
        <v>1173</v>
      </c>
      <c r="F221" s="69" t="s">
        <v>232</v>
      </c>
      <c r="G221" s="26">
        <v>37</v>
      </c>
      <c r="H221" s="26"/>
      <c r="I221" s="26">
        <v>24</v>
      </c>
      <c r="J221" s="26">
        <v>21</v>
      </c>
      <c r="K221" s="26">
        <v>25</v>
      </c>
      <c r="L221" s="26"/>
      <c r="M221" s="26">
        <v>17</v>
      </c>
      <c r="N221" s="26">
        <v>7</v>
      </c>
      <c r="O221" s="26">
        <v>7</v>
      </c>
      <c r="P221" s="26">
        <v>8</v>
      </c>
      <c r="Q221" s="70">
        <v>3</v>
      </c>
      <c r="R221" s="26">
        <v>149</v>
      </c>
    </row>
    <row r="222" spans="1:18" x14ac:dyDescent="0.35">
      <c r="A222" s="69">
        <v>26210052</v>
      </c>
      <c r="B222" s="69" t="s">
        <v>1174</v>
      </c>
      <c r="C222" s="69" t="s">
        <v>1175</v>
      </c>
      <c r="D222" s="69">
        <v>9423458088</v>
      </c>
      <c r="E222" s="69" t="s">
        <v>1176</v>
      </c>
      <c r="F222" s="69" t="s">
        <v>232</v>
      </c>
      <c r="G222" s="26">
        <v>24</v>
      </c>
      <c r="H222" s="26"/>
      <c r="I222" s="26"/>
      <c r="J222" s="26">
        <v>77</v>
      </c>
      <c r="K222" s="26"/>
      <c r="L222" s="26">
        <v>7</v>
      </c>
      <c r="M222" s="26">
        <v>6</v>
      </c>
      <c r="N222" s="26">
        <v>0</v>
      </c>
      <c r="O222" s="26">
        <v>3</v>
      </c>
      <c r="P222" s="26">
        <v>2</v>
      </c>
      <c r="Q222" s="70">
        <v>4</v>
      </c>
      <c r="R222" s="26">
        <v>123</v>
      </c>
    </row>
    <row r="223" spans="1:18" x14ac:dyDescent="0.35">
      <c r="A223" s="69">
        <v>26210055</v>
      </c>
      <c r="B223" s="69" t="s">
        <v>1177</v>
      </c>
      <c r="C223" s="69" t="s">
        <v>1178</v>
      </c>
      <c r="D223" s="69">
        <v>9423459800</v>
      </c>
      <c r="E223" s="69" t="s">
        <v>1179</v>
      </c>
      <c r="F223" s="69" t="s">
        <v>232</v>
      </c>
      <c r="G223" s="26">
        <v>81</v>
      </c>
      <c r="H223" s="26"/>
      <c r="I223" s="26">
        <v>68</v>
      </c>
      <c r="J223" s="26">
        <v>92</v>
      </c>
      <c r="K223" s="26">
        <v>30</v>
      </c>
      <c r="L223" s="26">
        <v>19</v>
      </c>
      <c r="M223" s="26"/>
      <c r="N223" s="26">
        <v>50</v>
      </c>
      <c r="O223" s="26"/>
      <c r="P223" s="26">
        <v>26</v>
      </c>
      <c r="Q223" s="70">
        <v>7</v>
      </c>
      <c r="R223" s="26">
        <v>373</v>
      </c>
    </row>
    <row r="224" spans="1:18" x14ac:dyDescent="0.35">
      <c r="A224" s="69">
        <v>26210061</v>
      </c>
      <c r="B224" s="69" t="s">
        <v>1180</v>
      </c>
      <c r="C224" s="69" t="s">
        <v>1181</v>
      </c>
      <c r="D224" s="69">
        <v>9921096777</v>
      </c>
      <c r="E224" s="69" t="s">
        <v>1182</v>
      </c>
      <c r="F224" s="69" t="s">
        <v>232</v>
      </c>
      <c r="G224" s="26"/>
      <c r="H224" s="26">
        <v>12</v>
      </c>
      <c r="I224" s="26"/>
      <c r="J224" s="26">
        <v>57</v>
      </c>
      <c r="K224" s="26"/>
      <c r="L224" s="26">
        <v>0</v>
      </c>
      <c r="M224" s="26"/>
      <c r="N224" s="26">
        <v>19</v>
      </c>
      <c r="O224" s="26">
        <v>0</v>
      </c>
      <c r="P224" s="26">
        <v>11</v>
      </c>
      <c r="Q224" s="70">
        <v>0</v>
      </c>
      <c r="R224" s="26">
        <v>99</v>
      </c>
    </row>
    <row r="225" spans="1:18" x14ac:dyDescent="0.35">
      <c r="A225" s="69">
        <v>26210063</v>
      </c>
      <c r="B225" s="69" t="s">
        <v>1183</v>
      </c>
      <c r="C225" s="69" t="s">
        <v>1184</v>
      </c>
      <c r="D225" s="69">
        <v>9145523008</v>
      </c>
      <c r="E225" s="69" t="s">
        <v>1185</v>
      </c>
      <c r="F225" s="69" t="s">
        <v>232</v>
      </c>
      <c r="G225" s="26"/>
      <c r="H225" s="26"/>
      <c r="I225" s="26">
        <v>15</v>
      </c>
      <c r="J225" s="26">
        <v>61</v>
      </c>
      <c r="K225" s="26">
        <v>1</v>
      </c>
      <c r="L225" s="26"/>
      <c r="M225" s="26">
        <v>18</v>
      </c>
      <c r="N225" s="26">
        <v>10</v>
      </c>
      <c r="O225" s="26">
        <v>11</v>
      </c>
      <c r="P225" s="26">
        <v>5</v>
      </c>
      <c r="Q225" s="70">
        <v>9</v>
      </c>
      <c r="R225" s="26">
        <v>130</v>
      </c>
    </row>
    <row r="226" spans="1:18" x14ac:dyDescent="0.35">
      <c r="A226" s="69">
        <v>26210066</v>
      </c>
      <c r="B226" s="69" t="s">
        <v>1186</v>
      </c>
      <c r="C226" s="69" t="s">
        <v>1187</v>
      </c>
      <c r="D226" s="69">
        <v>9823324652</v>
      </c>
      <c r="E226" s="69" t="s">
        <v>1188</v>
      </c>
      <c r="F226" s="69" t="s">
        <v>232</v>
      </c>
      <c r="G226" s="26">
        <v>32</v>
      </c>
      <c r="H226" s="26"/>
      <c r="I226" s="26">
        <v>50</v>
      </c>
      <c r="J226" s="26">
        <v>30</v>
      </c>
      <c r="K226" s="26"/>
      <c r="L226" s="26"/>
      <c r="M226" s="26">
        <v>25</v>
      </c>
      <c r="N226" s="26">
        <v>10</v>
      </c>
      <c r="O226" s="26">
        <v>21</v>
      </c>
      <c r="P226" s="26">
        <v>8</v>
      </c>
      <c r="Q226" s="70">
        <v>14</v>
      </c>
      <c r="R226" s="26">
        <v>190</v>
      </c>
    </row>
    <row r="227" spans="1:18" x14ac:dyDescent="0.35">
      <c r="A227" s="69">
        <v>26210068</v>
      </c>
      <c r="B227" s="69" t="s">
        <v>1159</v>
      </c>
      <c r="C227" s="69" t="s">
        <v>1189</v>
      </c>
      <c r="D227" s="69">
        <v>9975890033</v>
      </c>
      <c r="E227" s="69" t="s">
        <v>1190</v>
      </c>
      <c r="F227" s="69" t="s">
        <v>232</v>
      </c>
      <c r="G227" s="26"/>
      <c r="H227" s="26">
        <v>3</v>
      </c>
      <c r="I227" s="26">
        <v>13</v>
      </c>
      <c r="J227" s="26">
        <v>18</v>
      </c>
      <c r="K227" s="26"/>
      <c r="L227" s="26"/>
      <c r="M227" s="26">
        <v>21</v>
      </c>
      <c r="N227" s="26"/>
      <c r="O227" s="26">
        <v>7</v>
      </c>
      <c r="P227" s="26">
        <v>11</v>
      </c>
      <c r="Q227" s="70">
        <v>6</v>
      </c>
      <c r="R227" s="26">
        <v>79</v>
      </c>
    </row>
    <row r="228" spans="1:18" x14ac:dyDescent="0.35">
      <c r="A228" s="69">
        <v>26210069</v>
      </c>
      <c r="B228" s="69" t="s">
        <v>1191</v>
      </c>
      <c r="C228" s="69" t="s">
        <v>1192</v>
      </c>
      <c r="D228" s="69">
        <v>9423658232</v>
      </c>
      <c r="E228" s="69" t="s">
        <v>1193</v>
      </c>
      <c r="F228" s="69" t="s">
        <v>232</v>
      </c>
      <c r="G228" s="26">
        <v>14</v>
      </c>
      <c r="H228" s="26"/>
      <c r="I228" s="26"/>
      <c r="J228" s="26">
        <v>63</v>
      </c>
      <c r="K228" s="26">
        <v>10</v>
      </c>
      <c r="L228" s="26">
        <v>1</v>
      </c>
      <c r="M228" s="26">
        <v>3</v>
      </c>
      <c r="N228" s="26">
        <v>0</v>
      </c>
      <c r="O228" s="26">
        <v>4</v>
      </c>
      <c r="P228" s="26">
        <v>0</v>
      </c>
      <c r="Q228" s="70">
        <v>0</v>
      </c>
      <c r="R228" s="26">
        <v>95</v>
      </c>
    </row>
    <row r="229" spans="1:18" x14ac:dyDescent="0.35">
      <c r="A229" s="69">
        <v>26210070</v>
      </c>
      <c r="B229" s="69" t="s">
        <v>1165</v>
      </c>
      <c r="C229" s="69" t="s">
        <v>1194</v>
      </c>
      <c r="D229" s="69">
        <v>9423157955</v>
      </c>
      <c r="E229" s="69" t="s">
        <v>1195</v>
      </c>
      <c r="F229" s="69" t="s">
        <v>232</v>
      </c>
      <c r="G229" s="26">
        <v>21</v>
      </c>
      <c r="H229" s="26">
        <v>1</v>
      </c>
      <c r="I229" s="26"/>
      <c r="J229" s="26">
        <v>36</v>
      </c>
      <c r="K229" s="26">
        <v>10</v>
      </c>
      <c r="L229" s="26"/>
      <c r="M229" s="26">
        <v>7</v>
      </c>
      <c r="N229" s="26">
        <v>1</v>
      </c>
      <c r="O229" s="26">
        <v>5</v>
      </c>
      <c r="P229" s="26">
        <v>2</v>
      </c>
      <c r="Q229" s="70">
        <v>0</v>
      </c>
      <c r="R229" s="26">
        <v>83</v>
      </c>
    </row>
    <row r="230" spans="1:18" x14ac:dyDescent="0.35">
      <c r="A230" s="69">
        <v>26210072</v>
      </c>
      <c r="B230" s="69" t="s">
        <v>1186</v>
      </c>
      <c r="C230" s="69" t="s">
        <v>1196</v>
      </c>
      <c r="D230" s="69">
        <v>9420220701</v>
      </c>
      <c r="E230" s="69" t="s">
        <v>1197</v>
      </c>
      <c r="F230" s="69" t="s">
        <v>232</v>
      </c>
      <c r="G230" s="26">
        <v>23</v>
      </c>
      <c r="H230" s="26">
        <v>13</v>
      </c>
      <c r="I230" s="26">
        <v>7</v>
      </c>
      <c r="J230" s="26">
        <v>40</v>
      </c>
      <c r="K230" s="26"/>
      <c r="L230" s="26"/>
      <c r="M230" s="26">
        <v>18</v>
      </c>
      <c r="N230" s="26">
        <v>9</v>
      </c>
      <c r="O230" s="26"/>
      <c r="P230" s="26">
        <v>12</v>
      </c>
      <c r="Q230" s="70">
        <v>6</v>
      </c>
      <c r="R230" s="26">
        <v>128</v>
      </c>
    </row>
    <row r="231" spans="1:18" x14ac:dyDescent="0.35">
      <c r="A231" s="69">
        <v>26210079</v>
      </c>
      <c r="B231" s="69" t="s">
        <v>1198</v>
      </c>
      <c r="C231" s="69" t="s">
        <v>1199</v>
      </c>
      <c r="D231" s="69">
        <v>9421421080</v>
      </c>
      <c r="E231" s="69" t="s">
        <v>1200</v>
      </c>
      <c r="F231" s="69" t="s">
        <v>232</v>
      </c>
      <c r="G231" s="26"/>
      <c r="H231" s="26"/>
      <c r="I231" s="26">
        <v>31</v>
      </c>
      <c r="J231" s="26">
        <v>27</v>
      </c>
      <c r="K231" s="26"/>
      <c r="L231" s="26">
        <v>15</v>
      </c>
      <c r="M231" s="26">
        <v>0</v>
      </c>
      <c r="N231" s="26">
        <v>2</v>
      </c>
      <c r="O231" s="26">
        <v>8</v>
      </c>
      <c r="P231" s="26">
        <v>0</v>
      </c>
      <c r="Q231" s="70">
        <v>6</v>
      </c>
      <c r="R231" s="26">
        <v>89</v>
      </c>
    </row>
    <row r="232" spans="1:18" x14ac:dyDescent="0.35">
      <c r="A232" s="69">
        <v>26210113</v>
      </c>
      <c r="B232" s="69" t="s">
        <v>1201</v>
      </c>
      <c r="C232" s="69" t="s">
        <v>1202</v>
      </c>
      <c r="D232" s="69">
        <v>9766259548</v>
      </c>
      <c r="E232" s="69" t="s">
        <v>1203</v>
      </c>
      <c r="F232" s="69" t="s">
        <v>232</v>
      </c>
      <c r="G232" s="26">
        <v>6</v>
      </c>
      <c r="H232" s="26"/>
      <c r="I232" s="26">
        <v>10</v>
      </c>
      <c r="J232" s="26">
        <v>7</v>
      </c>
      <c r="K232" s="26">
        <v>2</v>
      </c>
      <c r="L232" s="26">
        <v>1</v>
      </c>
      <c r="M232" s="26">
        <v>3</v>
      </c>
      <c r="N232" s="26">
        <v>5</v>
      </c>
      <c r="O232" s="26">
        <v>1</v>
      </c>
      <c r="P232" s="26">
        <v>6</v>
      </c>
      <c r="Q232" s="70">
        <v>0</v>
      </c>
      <c r="R232" s="26">
        <v>41</v>
      </c>
    </row>
    <row r="233" spans="1:18" x14ac:dyDescent="0.35">
      <c r="A233" s="69">
        <v>27210004</v>
      </c>
      <c r="B233" s="69" t="s">
        <v>1204</v>
      </c>
      <c r="C233" s="69" t="s">
        <v>1205</v>
      </c>
      <c r="D233" s="69">
        <v>9822058459</v>
      </c>
      <c r="E233" s="69" t="s">
        <v>1206</v>
      </c>
      <c r="F233" s="69" t="s">
        <v>206</v>
      </c>
      <c r="G233" s="26">
        <v>33</v>
      </c>
      <c r="H233" s="26">
        <v>6</v>
      </c>
      <c r="I233" s="26">
        <v>35</v>
      </c>
      <c r="J233" s="26">
        <v>49</v>
      </c>
      <c r="K233" s="26">
        <v>5</v>
      </c>
      <c r="L233" s="26"/>
      <c r="M233" s="26">
        <v>30</v>
      </c>
      <c r="N233" s="26">
        <v>2</v>
      </c>
      <c r="O233" s="26"/>
      <c r="P233" s="26">
        <v>10</v>
      </c>
      <c r="Q233" s="70">
        <v>2</v>
      </c>
      <c r="R233" s="26">
        <v>172</v>
      </c>
    </row>
    <row r="234" spans="1:18" x14ac:dyDescent="0.35">
      <c r="A234" s="69">
        <v>27210005</v>
      </c>
      <c r="B234" s="69" t="s">
        <v>1207</v>
      </c>
      <c r="C234" s="69" t="s">
        <v>1208</v>
      </c>
      <c r="D234" s="69">
        <v>9881084080</v>
      </c>
      <c r="E234" s="69" t="s">
        <v>1209</v>
      </c>
      <c r="F234" s="69" t="s">
        <v>206</v>
      </c>
      <c r="G234" s="26">
        <v>62</v>
      </c>
      <c r="H234" s="26">
        <v>17</v>
      </c>
      <c r="I234" s="26">
        <v>156</v>
      </c>
      <c r="J234" s="26">
        <v>117</v>
      </c>
      <c r="K234" s="26">
        <v>31</v>
      </c>
      <c r="L234" s="26">
        <v>28</v>
      </c>
      <c r="M234" s="26">
        <v>54</v>
      </c>
      <c r="N234" s="26">
        <v>31</v>
      </c>
      <c r="O234" s="26">
        <v>40</v>
      </c>
      <c r="P234" s="26">
        <v>11</v>
      </c>
      <c r="Q234" s="70">
        <v>10</v>
      </c>
      <c r="R234" s="26">
        <v>557</v>
      </c>
    </row>
    <row r="235" spans="1:18" x14ac:dyDescent="0.35">
      <c r="A235" s="69">
        <v>27210006</v>
      </c>
      <c r="B235" s="69" t="s">
        <v>1210</v>
      </c>
      <c r="C235" s="69" t="s">
        <v>1211</v>
      </c>
      <c r="D235" s="69">
        <v>8888228222</v>
      </c>
      <c r="E235" s="69" t="s">
        <v>1212</v>
      </c>
      <c r="F235" s="69" t="s">
        <v>206</v>
      </c>
      <c r="G235" s="26">
        <v>23</v>
      </c>
      <c r="H235" s="26"/>
      <c r="I235" s="26"/>
      <c r="J235" s="26">
        <v>74</v>
      </c>
      <c r="K235" s="26">
        <v>25</v>
      </c>
      <c r="L235" s="26">
        <v>39</v>
      </c>
      <c r="M235" s="26">
        <v>30</v>
      </c>
      <c r="N235" s="26">
        <v>4</v>
      </c>
      <c r="O235" s="26">
        <v>11</v>
      </c>
      <c r="P235" s="26">
        <v>19</v>
      </c>
      <c r="Q235" s="70">
        <v>10</v>
      </c>
      <c r="R235" s="26">
        <v>235</v>
      </c>
    </row>
    <row r="236" spans="1:18" x14ac:dyDescent="0.35">
      <c r="A236" s="69">
        <v>27210007</v>
      </c>
      <c r="B236" s="69" t="s">
        <v>1213</v>
      </c>
      <c r="C236" s="69" t="s">
        <v>1214</v>
      </c>
      <c r="D236" s="69">
        <v>9890024228</v>
      </c>
      <c r="E236" s="69" t="s">
        <v>1215</v>
      </c>
      <c r="F236" s="69" t="s">
        <v>206</v>
      </c>
      <c r="G236" s="26">
        <v>15</v>
      </c>
      <c r="H236" s="26"/>
      <c r="I236" s="26"/>
      <c r="J236" s="26">
        <v>58</v>
      </c>
      <c r="K236" s="26">
        <v>70</v>
      </c>
      <c r="L236" s="26">
        <v>27</v>
      </c>
      <c r="M236" s="26">
        <v>16</v>
      </c>
      <c r="N236" s="26">
        <v>8</v>
      </c>
      <c r="O236" s="26"/>
      <c r="P236" s="26">
        <v>11</v>
      </c>
      <c r="Q236" s="70">
        <v>2</v>
      </c>
      <c r="R236" s="26">
        <v>207</v>
      </c>
    </row>
    <row r="237" spans="1:18" x14ac:dyDescent="0.35">
      <c r="A237" s="69">
        <v>27210008</v>
      </c>
      <c r="B237" s="69" t="s">
        <v>1216</v>
      </c>
      <c r="C237" s="69" t="s">
        <v>1217</v>
      </c>
      <c r="D237" s="69">
        <v>9145646084</v>
      </c>
      <c r="E237" s="69" t="s">
        <v>1218</v>
      </c>
      <c r="F237" s="69" t="s">
        <v>206</v>
      </c>
      <c r="G237" s="26">
        <v>21</v>
      </c>
      <c r="H237" s="26">
        <v>2</v>
      </c>
      <c r="I237" s="26">
        <v>37</v>
      </c>
      <c r="J237" s="26">
        <v>51</v>
      </c>
      <c r="K237" s="26">
        <v>26</v>
      </c>
      <c r="L237" s="26">
        <v>7</v>
      </c>
      <c r="M237" s="26">
        <v>25</v>
      </c>
      <c r="N237" s="26">
        <v>12</v>
      </c>
      <c r="O237" s="26">
        <v>2</v>
      </c>
      <c r="P237" s="26">
        <v>7</v>
      </c>
      <c r="Q237" s="70">
        <v>4</v>
      </c>
      <c r="R237" s="26">
        <v>194</v>
      </c>
    </row>
    <row r="238" spans="1:18" x14ac:dyDescent="0.35">
      <c r="A238" s="69">
        <v>27210009</v>
      </c>
      <c r="B238" s="69" t="s">
        <v>1219</v>
      </c>
      <c r="C238" s="69" t="s">
        <v>1220</v>
      </c>
      <c r="D238" s="69">
        <v>9822846414</v>
      </c>
      <c r="E238" s="69" t="s">
        <v>1221</v>
      </c>
      <c r="F238" s="69" t="s">
        <v>206</v>
      </c>
      <c r="G238" s="26">
        <v>18</v>
      </c>
      <c r="H238" s="26">
        <v>6</v>
      </c>
      <c r="I238" s="26">
        <v>67</v>
      </c>
      <c r="J238" s="26">
        <v>51</v>
      </c>
      <c r="K238" s="26">
        <v>18</v>
      </c>
      <c r="L238" s="26">
        <v>14</v>
      </c>
      <c r="M238" s="26">
        <v>21</v>
      </c>
      <c r="N238" s="26">
        <v>13</v>
      </c>
      <c r="O238" s="26">
        <v>5</v>
      </c>
      <c r="P238" s="26">
        <v>9</v>
      </c>
      <c r="Q238" s="70">
        <v>10</v>
      </c>
      <c r="R238" s="26">
        <v>232</v>
      </c>
    </row>
    <row r="239" spans="1:18" x14ac:dyDescent="0.35">
      <c r="A239" s="69">
        <v>27210010</v>
      </c>
      <c r="B239" s="69" t="s">
        <v>1222</v>
      </c>
      <c r="C239" s="69" t="s">
        <v>1223</v>
      </c>
      <c r="D239" s="69">
        <v>9822592724</v>
      </c>
      <c r="E239" s="69" t="s">
        <v>1224</v>
      </c>
      <c r="F239" s="69" t="s">
        <v>206</v>
      </c>
      <c r="G239" s="26">
        <v>22</v>
      </c>
      <c r="H239" s="26">
        <v>9</v>
      </c>
      <c r="I239" s="26">
        <v>64</v>
      </c>
      <c r="J239" s="26">
        <v>45</v>
      </c>
      <c r="K239" s="26">
        <v>20</v>
      </c>
      <c r="L239" s="26">
        <v>6</v>
      </c>
      <c r="M239" s="26">
        <v>11</v>
      </c>
      <c r="N239" s="26">
        <v>7</v>
      </c>
      <c r="O239" s="26">
        <v>6</v>
      </c>
      <c r="P239" s="26">
        <v>8</v>
      </c>
      <c r="Q239" s="70">
        <v>6</v>
      </c>
      <c r="R239" s="26">
        <v>204</v>
      </c>
    </row>
    <row r="240" spans="1:18" x14ac:dyDescent="0.35">
      <c r="A240" s="69">
        <v>27210011</v>
      </c>
      <c r="B240" s="69" t="s">
        <v>1225</v>
      </c>
      <c r="C240" s="69" t="s">
        <v>1226</v>
      </c>
      <c r="D240" s="69">
        <v>9850659934</v>
      </c>
      <c r="E240" s="69" t="s">
        <v>1227</v>
      </c>
      <c r="F240" s="69" t="s">
        <v>206</v>
      </c>
      <c r="G240" s="26"/>
      <c r="H240" s="26">
        <v>5</v>
      </c>
      <c r="I240" s="26"/>
      <c r="J240" s="26">
        <v>14</v>
      </c>
      <c r="K240" s="26">
        <v>19</v>
      </c>
      <c r="L240" s="26"/>
      <c r="M240" s="26"/>
      <c r="N240" s="26"/>
      <c r="O240" s="26">
        <v>4</v>
      </c>
      <c r="P240" s="26">
        <v>0</v>
      </c>
      <c r="Q240" s="70">
        <v>0</v>
      </c>
      <c r="R240" s="26">
        <v>42</v>
      </c>
    </row>
    <row r="241" spans="1:18" x14ac:dyDescent="0.35">
      <c r="A241" s="69">
        <v>27210012</v>
      </c>
      <c r="B241" s="69" t="s">
        <v>1228</v>
      </c>
      <c r="C241" s="69" t="s">
        <v>1229</v>
      </c>
      <c r="D241" s="69">
        <v>9822001598</v>
      </c>
      <c r="E241" s="69" t="s">
        <v>1215</v>
      </c>
      <c r="F241" s="69" t="s">
        <v>206</v>
      </c>
      <c r="G241" s="26">
        <v>31</v>
      </c>
      <c r="H241" s="26">
        <v>7</v>
      </c>
      <c r="I241" s="26"/>
      <c r="J241" s="26">
        <v>67</v>
      </c>
      <c r="K241" s="26"/>
      <c r="L241" s="26"/>
      <c r="M241" s="26">
        <v>24</v>
      </c>
      <c r="N241" s="26">
        <v>11</v>
      </c>
      <c r="O241" s="26"/>
      <c r="P241" s="26">
        <v>27</v>
      </c>
      <c r="Q241" s="70">
        <v>7</v>
      </c>
      <c r="R241" s="26">
        <v>174</v>
      </c>
    </row>
    <row r="242" spans="1:18" x14ac:dyDescent="0.35">
      <c r="A242" s="69">
        <v>27210014</v>
      </c>
      <c r="B242" s="69" t="s">
        <v>1186</v>
      </c>
      <c r="C242" s="69" t="s">
        <v>1230</v>
      </c>
      <c r="D242" s="69">
        <v>9822868779</v>
      </c>
      <c r="E242" s="69" t="s">
        <v>1231</v>
      </c>
      <c r="F242" s="69" t="s">
        <v>206</v>
      </c>
      <c r="G242" s="26">
        <v>17</v>
      </c>
      <c r="H242" s="26"/>
      <c r="I242" s="26"/>
      <c r="J242" s="26">
        <v>94</v>
      </c>
      <c r="K242" s="26">
        <v>30</v>
      </c>
      <c r="L242" s="26">
        <v>20</v>
      </c>
      <c r="M242" s="26">
        <v>22</v>
      </c>
      <c r="N242" s="26">
        <v>6</v>
      </c>
      <c r="O242" s="26">
        <v>6</v>
      </c>
      <c r="P242" s="26">
        <v>13</v>
      </c>
      <c r="Q242" s="70">
        <v>0</v>
      </c>
      <c r="R242" s="26">
        <v>208</v>
      </c>
    </row>
    <row r="243" spans="1:18" x14ac:dyDescent="0.35">
      <c r="A243" s="69">
        <v>27210017</v>
      </c>
      <c r="B243" s="69" t="s">
        <v>1232</v>
      </c>
      <c r="C243" s="69" t="s">
        <v>1233</v>
      </c>
      <c r="D243" s="69">
        <v>9881444470</v>
      </c>
      <c r="E243" s="69" t="s">
        <v>1234</v>
      </c>
      <c r="F243" s="69" t="s">
        <v>206</v>
      </c>
      <c r="G243" s="26">
        <v>39</v>
      </c>
      <c r="H243" s="26">
        <v>19</v>
      </c>
      <c r="I243" s="26">
        <v>284</v>
      </c>
      <c r="J243" s="26">
        <v>95</v>
      </c>
      <c r="K243" s="26">
        <v>28</v>
      </c>
      <c r="L243" s="26"/>
      <c r="M243" s="26">
        <v>48</v>
      </c>
      <c r="N243" s="26">
        <v>24</v>
      </c>
      <c r="O243" s="26">
        <v>12</v>
      </c>
      <c r="P243" s="26">
        <v>28</v>
      </c>
      <c r="Q243" s="70">
        <v>10</v>
      </c>
      <c r="R243" s="26">
        <v>587</v>
      </c>
    </row>
    <row r="244" spans="1:18" x14ac:dyDescent="0.35">
      <c r="A244" s="69">
        <v>27210018</v>
      </c>
      <c r="B244" s="69" t="s">
        <v>1235</v>
      </c>
      <c r="C244" s="69" t="s">
        <v>1236</v>
      </c>
      <c r="D244" s="69">
        <v>9960003479</v>
      </c>
      <c r="E244" s="69" t="s">
        <v>1237</v>
      </c>
      <c r="F244" s="69" t="s">
        <v>206</v>
      </c>
      <c r="G244" s="26">
        <v>57</v>
      </c>
      <c r="H244" s="26">
        <v>10</v>
      </c>
      <c r="I244" s="26">
        <v>51</v>
      </c>
      <c r="J244" s="26">
        <v>539</v>
      </c>
      <c r="K244" s="26">
        <v>50</v>
      </c>
      <c r="L244" s="26"/>
      <c r="M244" s="26">
        <v>61</v>
      </c>
      <c r="N244" s="26">
        <v>27</v>
      </c>
      <c r="O244" s="26">
        <v>12</v>
      </c>
      <c r="P244" s="26">
        <v>48</v>
      </c>
      <c r="Q244" s="70">
        <v>12</v>
      </c>
      <c r="R244" s="26">
        <v>867</v>
      </c>
    </row>
    <row r="245" spans="1:18" x14ac:dyDescent="0.35">
      <c r="A245" s="69">
        <v>27210020</v>
      </c>
      <c r="B245" s="69" t="s">
        <v>1238</v>
      </c>
      <c r="C245" s="69" t="s">
        <v>1239</v>
      </c>
      <c r="D245" s="69">
        <v>9822977601</v>
      </c>
      <c r="E245" s="69" t="s">
        <v>1240</v>
      </c>
      <c r="F245" s="69" t="s">
        <v>206</v>
      </c>
      <c r="G245" s="26">
        <v>34</v>
      </c>
      <c r="H245" s="26">
        <v>16</v>
      </c>
      <c r="I245" s="26">
        <v>107</v>
      </c>
      <c r="J245" s="26">
        <v>132</v>
      </c>
      <c r="K245" s="26">
        <v>44</v>
      </c>
      <c r="L245" s="26">
        <v>23</v>
      </c>
      <c r="M245" s="26">
        <v>23</v>
      </c>
      <c r="N245" s="26">
        <v>20</v>
      </c>
      <c r="O245" s="26">
        <v>23</v>
      </c>
      <c r="P245" s="26">
        <v>9</v>
      </c>
      <c r="Q245" s="70">
        <v>12</v>
      </c>
      <c r="R245" s="26">
        <v>443</v>
      </c>
    </row>
    <row r="246" spans="1:18" x14ac:dyDescent="0.35">
      <c r="A246" s="69">
        <v>27210023</v>
      </c>
      <c r="B246" s="69" t="s">
        <v>1241</v>
      </c>
      <c r="C246" s="69" t="s">
        <v>1242</v>
      </c>
      <c r="D246" s="69">
        <v>8805983045</v>
      </c>
      <c r="E246" s="69" t="s">
        <v>1243</v>
      </c>
      <c r="F246" s="69" t="s">
        <v>206</v>
      </c>
      <c r="G246" s="26"/>
      <c r="H246" s="26">
        <v>43</v>
      </c>
      <c r="I246" s="26">
        <v>82</v>
      </c>
      <c r="J246" s="26">
        <v>100</v>
      </c>
      <c r="K246" s="26">
        <v>30</v>
      </c>
      <c r="L246" s="26">
        <v>34</v>
      </c>
      <c r="M246" s="26">
        <v>17</v>
      </c>
      <c r="N246" s="26">
        <v>16</v>
      </c>
      <c r="O246" s="26">
        <v>0</v>
      </c>
      <c r="P246" s="26">
        <v>22</v>
      </c>
      <c r="Q246" s="70">
        <v>7</v>
      </c>
      <c r="R246" s="26">
        <v>351</v>
      </c>
    </row>
    <row r="247" spans="1:18" x14ac:dyDescent="0.35">
      <c r="A247" s="69">
        <v>27210029</v>
      </c>
      <c r="B247" s="69" t="s">
        <v>1244</v>
      </c>
      <c r="C247" s="69" t="s">
        <v>1245</v>
      </c>
      <c r="D247" s="69">
        <v>9766876050</v>
      </c>
      <c r="E247" s="69" t="s">
        <v>1246</v>
      </c>
      <c r="F247" s="69" t="s">
        <v>206</v>
      </c>
      <c r="G247" s="26">
        <v>26</v>
      </c>
      <c r="H247" s="26">
        <v>6</v>
      </c>
      <c r="I247" s="26">
        <v>52</v>
      </c>
      <c r="J247" s="26">
        <v>79</v>
      </c>
      <c r="K247" s="26">
        <v>52</v>
      </c>
      <c r="L247" s="26">
        <v>19</v>
      </c>
      <c r="M247" s="26">
        <v>18</v>
      </c>
      <c r="N247" s="26">
        <v>16</v>
      </c>
      <c r="O247" s="26">
        <v>22</v>
      </c>
      <c r="P247" s="26">
        <v>17</v>
      </c>
      <c r="Q247" s="70">
        <v>3</v>
      </c>
      <c r="R247" s="26">
        <v>310</v>
      </c>
    </row>
    <row r="248" spans="1:18" x14ac:dyDescent="0.35">
      <c r="A248" s="69">
        <v>27210030</v>
      </c>
      <c r="B248" s="69" t="s">
        <v>1247</v>
      </c>
      <c r="C248" s="69" t="s">
        <v>1248</v>
      </c>
      <c r="D248" s="69">
        <v>9226157973</v>
      </c>
      <c r="E248" s="69" t="s">
        <v>1249</v>
      </c>
      <c r="F248" s="69" t="s">
        <v>206</v>
      </c>
      <c r="G248" s="26">
        <v>103</v>
      </c>
      <c r="H248" s="26"/>
      <c r="I248" s="26">
        <v>52</v>
      </c>
      <c r="J248" s="26">
        <v>473</v>
      </c>
      <c r="K248" s="26">
        <v>40</v>
      </c>
      <c r="L248" s="26">
        <v>30</v>
      </c>
      <c r="M248" s="26">
        <v>61</v>
      </c>
      <c r="N248" s="26">
        <v>44</v>
      </c>
      <c r="O248" s="26">
        <v>26</v>
      </c>
      <c r="P248" s="26">
        <v>57</v>
      </c>
      <c r="Q248" s="70">
        <v>26</v>
      </c>
      <c r="R248" s="26">
        <v>912</v>
      </c>
    </row>
    <row r="249" spans="1:18" x14ac:dyDescent="0.35">
      <c r="A249" s="69">
        <v>27210031</v>
      </c>
      <c r="B249" s="69" t="s">
        <v>1250</v>
      </c>
      <c r="C249" s="69" t="s">
        <v>1251</v>
      </c>
      <c r="D249" s="69">
        <v>9422543536</v>
      </c>
      <c r="E249" s="69" t="s">
        <v>1252</v>
      </c>
      <c r="F249" s="69" t="s">
        <v>206</v>
      </c>
      <c r="G249" s="26"/>
      <c r="H249" s="26"/>
      <c r="I249" s="26">
        <v>24</v>
      </c>
      <c r="J249" s="26">
        <v>44</v>
      </c>
      <c r="K249" s="26"/>
      <c r="L249" s="26"/>
      <c r="M249" s="26">
        <v>25</v>
      </c>
      <c r="N249" s="26">
        <v>3</v>
      </c>
      <c r="O249" s="26"/>
      <c r="P249" s="26">
        <v>0</v>
      </c>
      <c r="Q249" s="70">
        <v>5</v>
      </c>
      <c r="R249" s="26">
        <v>101</v>
      </c>
    </row>
    <row r="250" spans="1:18" x14ac:dyDescent="0.35">
      <c r="A250" s="69">
        <v>27210032</v>
      </c>
      <c r="B250" s="69" t="s">
        <v>1253</v>
      </c>
      <c r="C250" s="69" t="s">
        <v>1254</v>
      </c>
      <c r="D250" s="69">
        <v>9922460840</v>
      </c>
      <c r="E250" s="69" t="s">
        <v>1255</v>
      </c>
      <c r="F250" s="69" t="s">
        <v>206</v>
      </c>
      <c r="G250" s="26">
        <v>18</v>
      </c>
      <c r="H250" s="26">
        <v>4</v>
      </c>
      <c r="I250" s="26">
        <v>62</v>
      </c>
      <c r="J250" s="26">
        <v>119</v>
      </c>
      <c r="K250" s="26">
        <v>43</v>
      </c>
      <c r="L250" s="26">
        <v>22</v>
      </c>
      <c r="M250" s="26">
        <v>20</v>
      </c>
      <c r="N250" s="26">
        <v>21</v>
      </c>
      <c r="O250" s="26">
        <v>12</v>
      </c>
      <c r="P250" s="26">
        <v>6</v>
      </c>
      <c r="Q250" s="70">
        <v>0</v>
      </c>
      <c r="R250" s="26">
        <v>327</v>
      </c>
    </row>
    <row r="251" spans="1:18" x14ac:dyDescent="0.35">
      <c r="A251" s="69">
        <v>27210034</v>
      </c>
      <c r="B251" s="69" t="s">
        <v>1256</v>
      </c>
      <c r="C251" s="69" t="s">
        <v>1257</v>
      </c>
      <c r="D251" s="69">
        <v>9370313766</v>
      </c>
      <c r="E251" s="69" t="s">
        <v>1258</v>
      </c>
      <c r="F251" s="69" t="s">
        <v>206</v>
      </c>
      <c r="G251" s="26">
        <v>72</v>
      </c>
      <c r="H251" s="26">
        <v>10</v>
      </c>
      <c r="I251" s="26"/>
      <c r="J251" s="26">
        <v>180</v>
      </c>
      <c r="K251" s="26"/>
      <c r="L251" s="26"/>
      <c r="M251" s="26">
        <v>45</v>
      </c>
      <c r="N251" s="26">
        <v>18</v>
      </c>
      <c r="O251" s="26">
        <v>0</v>
      </c>
      <c r="P251" s="26">
        <v>18</v>
      </c>
      <c r="Q251" s="70">
        <v>12</v>
      </c>
      <c r="R251" s="26">
        <v>355</v>
      </c>
    </row>
    <row r="252" spans="1:18" x14ac:dyDescent="0.35">
      <c r="A252" s="69">
        <v>27210035</v>
      </c>
      <c r="B252" s="69" t="s">
        <v>1259</v>
      </c>
      <c r="C252" s="69" t="s">
        <v>1260</v>
      </c>
      <c r="D252" s="69">
        <v>9881498006</v>
      </c>
      <c r="E252" s="69" t="s">
        <v>1261</v>
      </c>
      <c r="F252" s="69" t="s">
        <v>206</v>
      </c>
      <c r="G252" s="26">
        <v>12</v>
      </c>
      <c r="H252" s="26">
        <v>5</v>
      </c>
      <c r="I252" s="26">
        <v>65</v>
      </c>
      <c r="J252" s="26">
        <v>203</v>
      </c>
      <c r="K252" s="26">
        <v>40</v>
      </c>
      <c r="L252" s="26">
        <v>8</v>
      </c>
      <c r="M252" s="26">
        <v>40</v>
      </c>
      <c r="N252" s="26">
        <v>3</v>
      </c>
      <c r="O252" s="26">
        <v>4</v>
      </c>
      <c r="P252" s="26">
        <v>10</v>
      </c>
      <c r="Q252" s="70">
        <v>1</v>
      </c>
      <c r="R252" s="26">
        <v>391</v>
      </c>
    </row>
    <row r="253" spans="1:18" x14ac:dyDescent="0.35">
      <c r="A253" s="69">
        <v>27210044</v>
      </c>
      <c r="B253" s="69" t="s">
        <v>1262</v>
      </c>
      <c r="C253" s="69" t="s">
        <v>1263</v>
      </c>
      <c r="D253" s="69">
        <v>9850083764</v>
      </c>
      <c r="E253" s="69" t="s">
        <v>1264</v>
      </c>
      <c r="F253" s="69" t="s">
        <v>206</v>
      </c>
      <c r="G253" s="26">
        <v>39</v>
      </c>
      <c r="H253" s="26">
        <v>7</v>
      </c>
      <c r="I253" s="26"/>
      <c r="J253" s="26">
        <v>112</v>
      </c>
      <c r="K253" s="26">
        <v>18</v>
      </c>
      <c r="L253" s="26">
        <v>18</v>
      </c>
      <c r="M253" s="26">
        <v>18</v>
      </c>
      <c r="N253" s="26">
        <v>19</v>
      </c>
      <c r="O253" s="26">
        <v>9</v>
      </c>
      <c r="P253" s="26">
        <v>8</v>
      </c>
      <c r="Q253" s="70">
        <v>0</v>
      </c>
      <c r="R253" s="26">
        <v>248</v>
      </c>
    </row>
    <row r="254" spans="1:18" x14ac:dyDescent="0.35">
      <c r="A254" s="69">
        <v>27210049</v>
      </c>
      <c r="B254" s="69" t="s">
        <v>1265</v>
      </c>
      <c r="C254" s="69" t="s">
        <v>1266</v>
      </c>
      <c r="D254" s="69">
        <v>9850852030</v>
      </c>
      <c r="E254" s="69" t="s">
        <v>1267</v>
      </c>
      <c r="F254" s="69" t="s">
        <v>206</v>
      </c>
      <c r="G254" s="26">
        <v>6</v>
      </c>
      <c r="H254" s="26">
        <v>7</v>
      </c>
      <c r="I254" s="26">
        <v>8</v>
      </c>
      <c r="J254" s="26">
        <v>57</v>
      </c>
      <c r="K254" s="26">
        <v>30</v>
      </c>
      <c r="L254" s="26">
        <v>19</v>
      </c>
      <c r="M254" s="26">
        <v>17</v>
      </c>
      <c r="N254" s="26">
        <v>8</v>
      </c>
      <c r="O254" s="26">
        <v>5</v>
      </c>
      <c r="P254" s="26">
        <v>6</v>
      </c>
      <c r="Q254" s="70">
        <v>4</v>
      </c>
      <c r="R254" s="26">
        <v>167</v>
      </c>
    </row>
    <row r="255" spans="1:18" x14ac:dyDescent="0.35">
      <c r="A255" s="69">
        <v>27210050</v>
      </c>
      <c r="B255" s="69" t="s">
        <v>1268</v>
      </c>
      <c r="C255" s="69" t="s">
        <v>1269</v>
      </c>
      <c r="D255" s="69">
        <v>9822245765</v>
      </c>
      <c r="E255" s="69" t="s">
        <v>1270</v>
      </c>
      <c r="F255" s="69" t="s">
        <v>206</v>
      </c>
      <c r="G255" s="26">
        <v>29</v>
      </c>
      <c r="H255" s="26">
        <v>6</v>
      </c>
      <c r="I255" s="26">
        <v>75</v>
      </c>
      <c r="J255" s="26">
        <v>130</v>
      </c>
      <c r="K255" s="26">
        <v>45</v>
      </c>
      <c r="L255" s="26">
        <v>16</v>
      </c>
      <c r="M255" s="26">
        <v>36</v>
      </c>
      <c r="N255" s="26">
        <v>11</v>
      </c>
      <c r="O255" s="26">
        <v>11</v>
      </c>
      <c r="P255" s="26">
        <v>13</v>
      </c>
      <c r="Q255" s="70">
        <v>3</v>
      </c>
      <c r="R255" s="26">
        <v>375</v>
      </c>
    </row>
    <row r="256" spans="1:18" x14ac:dyDescent="0.35">
      <c r="A256" s="69">
        <v>27210110</v>
      </c>
      <c r="B256" s="69" t="s">
        <v>1271</v>
      </c>
      <c r="C256" s="69" t="s">
        <v>1272</v>
      </c>
      <c r="D256" s="69">
        <v>9822748684</v>
      </c>
      <c r="E256" s="69" t="s">
        <v>1273</v>
      </c>
      <c r="F256" s="69" t="s">
        <v>206</v>
      </c>
      <c r="G256" s="26">
        <v>32</v>
      </c>
      <c r="H256" s="26">
        <v>5</v>
      </c>
      <c r="I256" s="26">
        <v>70</v>
      </c>
      <c r="J256" s="26">
        <v>100</v>
      </c>
      <c r="K256" s="26">
        <v>16</v>
      </c>
      <c r="L256" s="26">
        <v>16</v>
      </c>
      <c r="M256" s="26">
        <v>16</v>
      </c>
      <c r="N256" s="26">
        <v>10</v>
      </c>
      <c r="O256" s="26">
        <v>20</v>
      </c>
      <c r="P256" s="26">
        <v>22</v>
      </c>
      <c r="Q256" s="70">
        <v>35</v>
      </c>
      <c r="R256" s="26">
        <v>342</v>
      </c>
    </row>
    <row r="257" spans="1:18" x14ac:dyDescent="0.35">
      <c r="A257" s="69">
        <v>27210194</v>
      </c>
      <c r="B257" s="69" t="s">
        <v>1274</v>
      </c>
      <c r="C257" s="69" t="s">
        <v>1275</v>
      </c>
      <c r="D257" s="69">
        <v>9970087666</v>
      </c>
      <c r="E257" s="69" t="s">
        <v>1276</v>
      </c>
      <c r="F257" s="69" t="s">
        <v>206</v>
      </c>
      <c r="G257" s="26"/>
      <c r="H257" s="26"/>
      <c r="I257" s="26">
        <v>32</v>
      </c>
      <c r="J257" s="26">
        <v>20</v>
      </c>
      <c r="K257" s="26">
        <v>9</v>
      </c>
      <c r="L257" s="26"/>
      <c r="M257" s="26">
        <v>4</v>
      </c>
      <c r="N257" s="26">
        <v>3</v>
      </c>
      <c r="O257" s="26">
        <v>14</v>
      </c>
      <c r="P257" s="26">
        <v>0</v>
      </c>
      <c r="Q257" s="70">
        <v>10</v>
      </c>
      <c r="R257" s="26">
        <v>92</v>
      </c>
    </row>
    <row r="258" spans="1:18" x14ac:dyDescent="0.35">
      <c r="A258" s="69">
        <v>27210200</v>
      </c>
      <c r="B258" s="69" t="s">
        <v>1268</v>
      </c>
      <c r="C258" s="69" t="s">
        <v>1277</v>
      </c>
      <c r="D258" s="69">
        <v>9881737826</v>
      </c>
      <c r="E258" s="69" t="s">
        <v>1278</v>
      </c>
      <c r="F258" s="69" t="s">
        <v>206</v>
      </c>
      <c r="G258" s="26">
        <v>20</v>
      </c>
      <c r="H258" s="26"/>
      <c r="I258" s="26">
        <v>20</v>
      </c>
      <c r="J258" s="26">
        <v>38</v>
      </c>
      <c r="K258" s="26">
        <v>19</v>
      </c>
      <c r="L258" s="26">
        <v>14</v>
      </c>
      <c r="M258" s="26">
        <v>11</v>
      </c>
      <c r="N258" s="26">
        <v>10</v>
      </c>
      <c r="O258" s="26">
        <v>7</v>
      </c>
      <c r="P258" s="26">
        <v>8</v>
      </c>
      <c r="Q258" s="70">
        <v>2</v>
      </c>
      <c r="R258" s="26">
        <v>149</v>
      </c>
    </row>
    <row r="259" spans="1:18" x14ac:dyDescent="0.35">
      <c r="A259" s="69">
        <v>27210201</v>
      </c>
      <c r="B259" s="69" t="s">
        <v>1279</v>
      </c>
      <c r="C259" s="69" t="s">
        <v>1280</v>
      </c>
      <c r="D259" s="69">
        <v>9881146304</v>
      </c>
      <c r="E259" s="69" t="s">
        <v>1281</v>
      </c>
      <c r="F259" s="69" t="s">
        <v>206</v>
      </c>
      <c r="G259" s="26">
        <v>7</v>
      </c>
      <c r="H259" s="26">
        <v>3</v>
      </c>
      <c r="I259" s="26"/>
      <c r="J259" s="26">
        <v>54</v>
      </c>
      <c r="K259" s="26">
        <v>14</v>
      </c>
      <c r="L259" s="26">
        <v>10</v>
      </c>
      <c r="M259" s="26">
        <v>16</v>
      </c>
      <c r="N259" s="26">
        <v>10</v>
      </c>
      <c r="O259" s="26">
        <v>4</v>
      </c>
      <c r="P259" s="26">
        <v>0</v>
      </c>
      <c r="Q259" s="70">
        <v>0</v>
      </c>
      <c r="R259" s="26">
        <v>118</v>
      </c>
    </row>
    <row r="260" spans="1:18" x14ac:dyDescent="0.35">
      <c r="A260" s="69">
        <v>27210204</v>
      </c>
      <c r="B260" s="69" t="s">
        <v>1282</v>
      </c>
      <c r="C260" s="69" t="s">
        <v>1283</v>
      </c>
      <c r="D260" s="69">
        <v>9860291323</v>
      </c>
      <c r="E260" s="69" t="s">
        <v>1284</v>
      </c>
      <c r="F260" s="69" t="s">
        <v>206</v>
      </c>
      <c r="G260" s="26">
        <v>19</v>
      </c>
      <c r="H260" s="26">
        <v>6</v>
      </c>
      <c r="I260" s="26">
        <v>28</v>
      </c>
      <c r="J260" s="26">
        <v>41</v>
      </c>
      <c r="K260" s="26">
        <v>37</v>
      </c>
      <c r="L260" s="26">
        <v>21</v>
      </c>
      <c r="M260" s="26">
        <v>19</v>
      </c>
      <c r="N260" s="26">
        <v>9</v>
      </c>
      <c r="O260" s="26">
        <v>16</v>
      </c>
      <c r="P260" s="26">
        <v>4</v>
      </c>
      <c r="Q260" s="70">
        <v>2</v>
      </c>
      <c r="R260" s="26">
        <v>202</v>
      </c>
    </row>
    <row r="261" spans="1:18" x14ac:dyDescent="0.35">
      <c r="A261" s="69">
        <v>27210207</v>
      </c>
      <c r="B261" s="69" t="s">
        <v>1285</v>
      </c>
      <c r="C261" s="69" t="s">
        <v>1286</v>
      </c>
      <c r="D261" s="69">
        <v>9764407399</v>
      </c>
      <c r="E261" s="69" t="s">
        <v>1287</v>
      </c>
      <c r="F261" s="69" t="s">
        <v>206</v>
      </c>
      <c r="G261" s="26">
        <v>23</v>
      </c>
      <c r="H261" s="26"/>
      <c r="I261" s="26">
        <v>71</v>
      </c>
      <c r="J261" s="26">
        <v>63</v>
      </c>
      <c r="K261" s="26">
        <v>21</v>
      </c>
      <c r="L261" s="26">
        <v>15</v>
      </c>
      <c r="M261" s="26">
        <v>18</v>
      </c>
      <c r="N261" s="26">
        <v>19</v>
      </c>
      <c r="O261" s="26">
        <v>7</v>
      </c>
      <c r="P261" s="26">
        <v>15</v>
      </c>
      <c r="Q261" s="70">
        <v>4</v>
      </c>
      <c r="R261" s="26">
        <v>256</v>
      </c>
    </row>
    <row r="262" spans="1:18" x14ac:dyDescent="0.35">
      <c r="A262" s="69">
        <v>27210213</v>
      </c>
      <c r="B262" s="69" t="s">
        <v>1288</v>
      </c>
      <c r="C262" s="69" t="s">
        <v>1289</v>
      </c>
      <c r="D262" s="69">
        <v>9272717772</v>
      </c>
      <c r="E262" s="69" t="s">
        <v>1290</v>
      </c>
      <c r="F262" s="69" t="s">
        <v>206</v>
      </c>
      <c r="G262" s="26">
        <v>12</v>
      </c>
      <c r="H262" s="26">
        <v>8</v>
      </c>
      <c r="I262" s="26">
        <v>53</v>
      </c>
      <c r="J262" s="26">
        <v>32</v>
      </c>
      <c r="K262" s="26">
        <v>25</v>
      </c>
      <c r="L262" s="26">
        <v>4</v>
      </c>
      <c r="M262" s="26">
        <v>11</v>
      </c>
      <c r="N262" s="26">
        <v>5</v>
      </c>
      <c r="O262" s="26">
        <v>7</v>
      </c>
      <c r="P262" s="26">
        <v>9</v>
      </c>
      <c r="Q262" s="70">
        <v>0</v>
      </c>
      <c r="R262" s="26">
        <v>166</v>
      </c>
    </row>
    <row r="263" spans="1:18" x14ac:dyDescent="0.35">
      <c r="A263" s="69">
        <v>27210214</v>
      </c>
      <c r="B263" s="69" t="s">
        <v>1291</v>
      </c>
      <c r="C263" s="69" t="s">
        <v>1292</v>
      </c>
      <c r="D263" s="69">
        <v>9422005297</v>
      </c>
      <c r="E263" s="69" t="s">
        <v>1293</v>
      </c>
      <c r="F263" s="69" t="s">
        <v>206</v>
      </c>
      <c r="G263" s="26">
        <v>17</v>
      </c>
      <c r="H263" s="26">
        <v>5</v>
      </c>
      <c r="I263" s="26">
        <v>44</v>
      </c>
      <c r="J263" s="26">
        <v>28</v>
      </c>
      <c r="K263" s="26">
        <v>27</v>
      </c>
      <c r="L263" s="26">
        <v>15</v>
      </c>
      <c r="M263" s="26">
        <v>14</v>
      </c>
      <c r="N263" s="26">
        <v>9</v>
      </c>
      <c r="O263" s="26">
        <v>8</v>
      </c>
      <c r="P263" s="26">
        <v>7</v>
      </c>
      <c r="Q263" s="70">
        <v>3</v>
      </c>
      <c r="R263" s="26">
        <v>177</v>
      </c>
    </row>
    <row r="264" spans="1:18" x14ac:dyDescent="0.35">
      <c r="A264" s="69">
        <v>27210272</v>
      </c>
      <c r="B264" s="69" t="s">
        <v>1294</v>
      </c>
      <c r="C264" s="69" t="s">
        <v>1295</v>
      </c>
      <c r="D264" s="69">
        <v>9028591981</v>
      </c>
      <c r="E264" s="69" t="s">
        <v>1296</v>
      </c>
      <c r="F264" s="69" t="s">
        <v>206</v>
      </c>
      <c r="G264" s="26"/>
      <c r="H264" s="26"/>
      <c r="I264" s="26"/>
      <c r="J264" s="26">
        <v>10</v>
      </c>
      <c r="K264" s="26">
        <v>13</v>
      </c>
      <c r="L264" s="26"/>
      <c r="M264" s="26">
        <v>2</v>
      </c>
      <c r="N264" s="26"/>
      <c r="O264" s="26">
        <v>2</v>
      </c>
      <c r="P264" s="26">
        <v>0</v>
      </c>
      <c r="Q264" s="70">
        <v>1</v>
      </c>
      <c r="R264" s="26">
        <v>28</v>
      </c>
    </row>
    <row r="265" spans="1:18" x14ac:dyDescent="0.35">
      <c r="A265" s="69">
        <v>27210273</v>
      </c>
      <c r="B265" s="69" t="s">
        <v>1297</v>
      </c>
      <c r="C265" s="69" t="s">
        <v>1298</v>
      </c>
      <c r="D265" s="69">
        <v>9850552477</v>
      </c>
      <c r="E265" s="69" t="s">
        <v>1299</v>
      </c>
      <c r="F265" s="69" t="s">
        <v>206</v>
      </c>
      <c r="G265" s="26">
        <v>2</v>
      </c>
      <c r="H265" s="26"/>
      <c r="I265" s="26">
        <v>33</v>
      </c>
      <c r="J265" s="26">
        <v>31</v>
      </c>
      <c r="K265" s="26"/>
      <c r="L265" s="26"/>
      <c r="M265" s="26">
        <v>17</v>
      </c>
      <c r="N265" s="26">
        <v>8</v>
      </c>
      <c r="O265" s="26">
        <v>1</v>
      </c>
      <c r="P265" s="26">
        <v>0</v>
      </c>
      <c r="Q265" s="70">
        <v>7</v>
      </c>
      <c r="R265" s="26">
        <v>99</v>
      </c>
    </row>
    <row r="266" spans="1:18" x14ac:dyDescent="0.35">
      <c r="A266" s="69">
        <v>27210285</v>
      </c>
      <c r="B266" s="69" t="s">
        <v>1300</v>
      </c>
      <c r="C266" s="69" t="s">
        <v>1301</v>
      </c>
      <c r="D266" s="69">
        <v>9922843946</v>
      </c>
      <c r="E266" s="69" t="s">
        <v>1302</v>
      </c>
      <c r="F266" s="69" t="s">
        <v>206</v>
      </c>
      <c r="G266" s="26">
        <v>5</v>
      </c>
      <c r="H266" s="26">
        <v>2</v>
      </c>
      <c r="I266" s="26">
        <v>50</v>
      </c>
      <c r="J266" s="26">
        <v>38</v>
      </c>
      <c r="K266" s="26">
        <v>15</v>
      </c>
      <c r="L266" s="26"/>
      <c r="M266" s="26">
        <v>1</v>
      </c>
      <c r="N266" s="26">
        <v>5</v>
      </c>
      <c r="O266" s="26"/>
      <c r="P266" s="26">
        <v>2</v>
      </c>
      <c r="Q266" s="70">
        <v>1</v>
      </c>
      <c r="R266" s="26">
        <v>119</v>
      </c>
    </row>
    <row r="267" spans="1:18" x14ac:dyDescent="0.35">
      <c r="A267" s="69">
        <v>27210288</v>
      </c>
      <c r="B267" s="69" t="s">
        <v>1303</v>
      </c>
      <c r="C267" s="69" t="s">
        <v>1304</v>
      </c>
      <c r="D267" s="69">
        <v>9689675343</v>
      </c>
      <c r="E267" s="69" t="s">
        <v>1305</v>
      </c>
      <c r="F267" s="69" t="s">
        <v>206</v>
      </c>
      <c r="G267" s="26">
        <v>22</v>
      </c>
      <c r="H267" s="26"/>
      <c r="I267" s="26"/>
      <c r="J267" s="26">
        <v>70</v>
      </c>
      <c r="K267" s="26">
        <v>11</v>
      </c>
      <c r="L267" s="26"/>
      <c r="M267" s="26">
        <v>6</v>
      </c>
      <c r="N267" s="26">
        <v>9</v>
      </c>
      <c r="O267" s="26">
        <v>0</v>
      </c>
      <c r="P267" s="26">
        <v>25</v>
      </c>
      <c r="Q267" s="70">
        <v>0</v>
      </c>
      <c r="R267" s="26">
        <v>143</v>
      </c>
    </row>
    <row r="268" spans="1:18" x14ac:dyDescent="0.35">
      <c r="A268" s="69">
        <v>27210305</v>
      </c>
      <c r="B268" s="69" t="s">
        <v>1306</v>
      </c>
      <c r="C268" s="69" t="s">
        <v>1307</v>
      </c>
      <c r="D268" s="69">
        <v>9764165325</v>
      </c>
      <c r="E268" s="69" t="s">
        <v>1308</v>
      </c>
      <c r="F268" s="69" t="s">
        <v>206</v>
      </c>
      <c r="G268" s="26">
        <v>9</v>
      </c>
      <c r="H268" s="26">
        <v>8</v>
      </c>
      <c r="I268" s="26">
        <v>17</v>
      </c>
      <c r="J268" s="26">
        <v>24</v>
      </c>
      <c r="K268" s="26">
        <v>16</v>
      </c>
      <c r="L268" s="26">
        <v>6</v>
      </c>
      <c r="M268" s="26">
        <v>10</v>
      </c>
      <c r="N268" s="26">
        <v>6</v>
      </c>
      <c r="O268" s="26">
        <v>1</v>
      </c>
      <c r="P268" s="26">
        <v>3</v>
      </c>
      <c r="Q268" s="70">
        <v>1</v>
      </c>
      <c r="R268" s="26">
        <v>101</v>
      </c>
    </row>
    <row r="269" spans="1:18" x14ac:dyDescent="0.35">
      <c r="A269" s="69">
        <v>27210319</v>
      </c>
      <c r="B269" s="69" t="s">
        <v>1309</v>
      </c>
      <c r="C269" s="69" t="s">
        <v>1310</v>
      </c>
      <c r="D269" s="69">
        <v>9881161363</v>
      </c>
      <c r="E269" s="69" t="s">
        <v>1311</v>
      </c>
      <c r="F269" s="69" t="s">
        <v>206</v>
      </c>
      <c r="G269" s="26">
        <v>86</v>
      </c>
      <c r="H269" s="26">
        <v>6</v>
      </c>
      <c r="I269" s="26"/>
      <c r="J269" s="26">
        <v>80</v>
      </c>
      <c r="K269" s="26">
        <v>16</v>
      </c>
      <c r="L269" s="26">
        <v>20</v>
      </c>
      <c r="M269" s="26">
        <v>18</v>
      </c>
      <c r="N269" s="26">
        <v>8</v>
      </c>
      <c r="O269" s="26"/>
      <c r="P269" s="26">
        <v>16</v>
      </c>
      <c r="Q269" s="70">
        <v>1</v>
      </c>
      <c r="R269" s="26">
        <v>251</v>
      </c>
    </row>
    <row r="270" spans="1:18" x14ac:dyDescent="0.35">
      <c r="A270" s="69">
        <v>27210323</v>
      </c>
      <c r="B270" s="69" t="s">
        <v>1312</v>
      </c>
      <c r="C270" s="69" t="s">
        <v>1313</v>
      </c>
      <c r="D270" s="69">
        <v>9923795356</v>
      </c>
      <c r="E270" s="69" t="s">
        <v>1314</v>
      </c>
      <c r="F270" s="69" t="s">
        <v>206</v>
      </c>
      <c r="G270" s="26">
        <v>36</v>
      </c>
      <c r="H270" s="26"/>
      <c r="I270" s="26"/>
      <c r="J270" s="26">
        <v>227</v>
      </c>
      <c r="K270" s="26">
        <v>43</v>
      </c>
      <c r="L270" s="26">
        <v>28</v>
      </c>
      <c r="M270" s="26">
        <v>0</v>
      </c>
      <c r="N270" s="26">
        <v>35</v>
      </c>
      <c r="O270" s="26">
        <v>10</v>
      </c>
      <c r="P270" s="26">
        <v>15</v>
      </c>
      <c r="Q270" s="70">
        <v>0</v>
      </c>
      <c r="R270" s="26">
        <v>394</v>
      </c>
    </row>
    <row r="271" spans="1:18" x14ac:dyDescent="0.35">
      <c r="A271" s="69">
        <v>27210327</v>
      </c>
      <c r="B271" s="69" t="s">
        <v>1315</v>
      </c>
      <c r="C271" s="69" t="s">
        <v>1316</v>
      </c>
      <c r="D271" s="69">
        <v>9822428171</v>
      </c>
      <c r="E271" s="69" t="s">
        <v>1317</v>
      </c>
      <c r="F271" s="69" t="s">
        <v>206</v>
      </c>
      <c r="G271" s="26"/>
      <c r="H271" s="26"/>
      <c r="I271" s="26"/>
      <c r="J271" s="26">
        <v>50</v>
      </c>
      <c r="K271" s="26">
        <v>55</v>
      </c>
      <c r="L271" s="26">
        <v>7</v>
      </c>
      <c r="M271" s="26"/>
      <c r="N271" s="26">
        <v>4</v>
      </c>
      <c r="O271" s="26"/>
      <c r="P271" s="26">
        <v>0</v>
      </c>
      <c r="Q271" s="70">
        <v>6</v>
      </c>
      <c r="R271" s="26">
        <v>122</v>
      </c>
    </row>
    <row r="272" spans="1:18" x14ac:dyDescent="0.35">
      <c r="A272" s="69">
        <v>27210330</v>
      </c>
      <c r="B272" s="69" t="s">
        <v>1318</v>
      </c>
      <c r="C272" s="69" t="s">
        <v>1319</v>
      </c>
      <c r="D272" s="69">
        <v>9762211515</v>
      </c>
      <c r="E272" s="69" t="s">
        <v>1320</v>
      </c>
      <c r="F272" s="69" t="s">
        <v>206</v>
      </c>
      <c r="G272" s="26">
        <v>12</v>
      </c>
      <c r="H272" s="26">
        <v>1</v>
      </c>
      <c r="I272" s="26">
        <v>15</v>
      </c>
      <c r="J272" s="26">
        <v>38</v>
      </c>
      <c r="K272" s="26">
        <v>2</v>
      </c>
      <c r="L272" s="26">
        <v>2</v>
      </c>
      <c r="M272" s="26">
        <v>11</v>
      </c>
      <c r="N272" s="26">
        <v>5</v>
      </c>
      <c r="O272" s="26">
        <v>3</v>
      </c>
      <c r="P272" s="26">
        <v>1</v>
      </c>
      <c r="Q272" s="70">
        <v>0</v>
      </c>
      <c r="R272" s="26">
        <v>90</v>
      </c>
    </row>
    <row r="273" spans="1:18" x14ac:dyDescent="0.35">
      <c r="A273" s="69">
        <v>27210331</v>
      </c>
      <c r="B273" s="69" t="s">
        <v>1321</v>
      </c>
      <c r="C273" s="69" t="s">
        <v>1322</v>
      </c>
      <c r="D273" s="69">
        <v>9881172491</v>
      </c>
      <c r="E273" s="69" t="s">
        <v>1323</v>
      </c>
      <c r="F273" s="69" t="s">
        <v>206</v>
      </c>
      <c r="G273" s="26">
        <v>10</v>
      </c>
      <c r="H273" s="26">
        <v>3</v>
      </c>
      <c r="I273" s="26">
        <v>4</v>
      </c>
      <c r="J273" s="26">
        <v>105</v>
      </c>
      <c r="K273" s="26">
        <v>21</v>
      </c>
      <c r="L273" s="26">
        <v>6</v>
      </c>
      <c r="M273" s="26">
        <v>7</v>
      </c>
      <c r="N273" s="26">
        <v>24</v>
      </c>
      <c r="O273" s="26">
        <v>7</v>
      </c>
      <c r="P273" s="26">
        <v>7</v>
      </c>
      <c r="Q273" s="70">
        <v>1</v>
      </c>
      <c r="R273" s="26">
        <v>195</v>
      </c>
    </row>
    <row r="274" spans="1:18" x14ac:dyDescent="0.35">
      <c r="A274" s="69">
        <v>27210332</v>
      </c>
      <c r="B274" s="69" t="s">
        <v>1324</v>
      </c>
      <c r="C274" s="69" t="s">
        <v>1325</v>
      </c>
      <c r="D274" s="69">
        <v>9762201624</v>
      </c>
      <c r="E274" s="69" t="s">
        <v>1326</v>
      </c>
      <c r="F274" s="69" t="s">
        <v>206</v>
      </c>
      <c r="G274" s="26"/>
      <c r="H274" s="26"/>
      <c r="I274" s="26"/>
      <c r="J274" s="26">
        <v>34</v>
      </c>
      <c r="K274" s="26">
        <v>24</v>
      </c>
      <c r="L274" s="26">
        <v>4</v>
      </c>
      <c r="M274" s="26"/>
      <c r="N274" s="26">
        <v>15</v>
      </c>
      <c r="O274" s="26">
        <v>11</v>
      </c>
      <c r="P274" s="26">
        <v>9</v>
      </c>
      <c r="Q274" s="70">
        <v>0</v>
      </c>
      <c r="R274" s="26">
        <v>97</v>
      </c>
    </row>
    <row r="275" spans="1:18" x14ac:dyDescent="0.35">
      <c r="A275" s="69">
        <v>27210346</v>
      </c>
      <c r="B275" s="69" t="s">
        <v>1327</v>
      </c>
      <c r="C275" s="69" t="s">
        <v>1328</v>
      </c>
      <c r="D275" s="69">
        <v>9922025163</v>
      </c>
      <c r="E275" s="69" t="s">
        <v>1329</v>
      </c>
      <c r="F275" s="69" t="s">
        <v>206</v>
      </c>
      <c r="G275" s="26"/>
      <c r="H275" s="26"/>
      <c r="I275" s="26">
        <v>2</v>
      </c>
      <c r="J275" s="26">
        <v>55</v>
      </c>
      <c r="K275" s="26">
        <v>2</v>
      </c>
      <c r="L275" s="26"/>
      <c r="M275" s="26">
        <v>6</v>
      </c>
      <c r="N275" s="26"/>
      <c r="O275" s="26"/>
      <c r="P275" s="26">
        <v>0</v>
      </c>
      <c r="Q275" s="70">
        <v>0</v>
      </c>
      <c r="R275" s="26">
        <v>65</v>
      </c>
    </row>
    <row r="276" spans="1:18" x14ac:dyDescent="0.35">
      <c r="A276" s="69">
        <v>27210348</v>
      </c>
      <c r="B276" s="69" t="s">
        <v>1330</v>
      </c>
      <c r="C276" s="69" t="s">
        <v>1331</v>
      </c>
      <c r="D276" s="69">
        <v>9579607039</v>
      </c>
      <c r="E276" s="69" t="s">
        <v>1332</v>
      </c>
      <c r="F276" s="69" t="s">
        <v>206</v>
      </c>
      <c r="G276" s="26"/>
      <c r="H276" s="26"/>
      <c r="I276" s="26">
        <v>63</v>
      </c>
      <c r="J276" s="26">
        <v>36</v>
      </c>
      <c r="K276" s="26">
        <v>7</v>
      </c>
      <c r="L276" s="26">
        <v>4</v>
      </c>
      <c r="M276" s="26">
        <v>3</v>
      </c>
      <c r="N276" s="26">
        <v>6</v>
      </c>
      <c r="O276" s="26">
        <v>8</v>
      </c>
      <c r="P276" s="26">
        <v>1</v>
      </c>
      <c r="Q276" s="70">
        <v>3</v>
      </c>
      <c r="R276" s="26">
        <v>131</v>
      </c>
    </row>
    <row r="277" spans="1:18" x14ac:dyDescent="0.35">
      <c r="A277" s="69">
        <v>27210352</v>
      </c>
      <c r="B277" s="69" t="s">
        <v>1333</v>
      </c>
      <c r="C277" s="69" t="s">
        <v>1334</v>
      </c>
      <c r="D277" s="69">
        <v>9767820980</v>
      </c>
      <c r="E277" s="69" t="s">
        <v>1335</v>
      </c>
      <c r="F277" s="69" t="s">
        <v>206</v>
      </c>
      <c r="G277" s="26">
        <v>27</v>
      </c>
      <c r="H277" s="26">
        <v>4</v>
      </c>
      <c r="I277" s="26"/>
      <c r="J277" s="26">
        <v>45</v>
      </c>
      <c r="K277" s="26">
        <v>14</v>
      </c>
      <c r="L277" s="26">
        <v>4</v>
      </c>
      <c r="M277" s="26">
        <v>24</v>
      </c>
      <c r="N277" s="26">
        <v>18</v>
      </c>
      <c r="O277" s="26">
        <v>14</v>
      </c>
      <c r="P277" s="26">
        <v>25</v>
      </c>
      <c r="Q277" s="70">
        <v>4</v>
      </c>
      <c r="R277" s="26">
        <v>179</v>
      </c>
    </row>
    <row r="278" spans="1:18" x14ac:dyDescent="0.35">
      <c r="A278" s="69">
        <v>27210354</v>
      </c>
      <c r="B278" s="69" t="s">
        <v>1336</v>
      </c>
      <c r="C278" s="69" t="s">
        <v>1337</v>
      </c>
      <c r="D278" s="69">
        <v>9657718100</v>
      </c>
      <c r="E278" s="69" t="s">
        <v>1338</v>
      </c>
      <c r="F278" s="69" t="s">
        <v>206</v>
      </c>
      <c r="G278" s="26"/>
      <c r="H278" s="26"/>
      <c r="I278" s="26"/>
      <c r="J278" s="26"/>
      <c r="K278" s="26"/>
      <c r="L278" s="26"/>
      <c r="M278" s="26"/>
      <c r="N278" s="26"/>
      <c r="O278" s="26"/>
      <c r="P278" s="26">
        <v>0</v>
      </c>
      <c r="Q278" s="70">
        <v>0</v>
      </c>
      <c r="R278" s="26">
        <v>0</v>
      </c>
    </row>
    <row r="279" spans="1:18" x14ac:dyDescent="0.35">
      <c r="A279" s="69">
        <v>27210356</v>
      </c>
      <c r="B279" s="69" t="s">
        <v>1339</v>
      </c>
      <c r="C279" s="69" t="s">
        <v>1340</v>
      </c>
      <c r="D279" s="69">
        <v>9890470097</v>
      </c>
      <c r="E279" s="69" t="s">
        <v>1341</v>
      </c>
      <c r="F279" s="69" t="s">
        <v>206</v>
      </c>
      <c r="G279" s="26">
        <v>13</v>
      </c>
      <c r="H279" s="26">
        <v>2</v>
      </c>
      <c r="I279" s="26">
        <v>1</v>
      </c>
      <c r="J279" s="26"/>
      <c r="K279" s="26"/>
      <c r="L279" s="26"/>
      <c r="M279" s="26"/>
      <c r="N279" s="26"/>
      <c r="O279" s="26">
        <v>0</v>
      </c>
      <c r="P279" s="26">
        <v>0</v>
      </c>
      <c r="Q279" s="70">
        <v>0</v>
      </c>
      <c r="R279" s="26">
        <v>16</v>
      </c>
    </row>
    <row r="280" spans="1:18" x14ac:dyDescent="0.35">
      <c r="A280" s="69">
        <v>27210366</v>
      </c>
      <c r="B280" s="69" t="s">
        <v>1342</v>
      </c>
      <c r="C280" s="69" t="s">
        <v>1343</v>
      </c>
      <c r="D280" s="69">
        <v>8600051435</v>
      </c>
      <c r="E280" s="69" t="s">
        <v>1344</v>
      </c>
      <c r="F280" s="69" t="s">
        <v>206</v>
      </c>
      <c r="G280" s="26">
        <v>12</v>
      </c>
      <c r="H280" s="26"/>
      <c r="I280" s="26"/>
      <c r="J280" s="26">
        <v>37</v>
      </c>
      <c r="K280" s="26"/>
      <c r="L280" s="26"/>
      <c r="M280" s="26"/>
      <c r="N280" s="26">
        <v>5</v>
      </c>
      <c r="O280" s="26"/>
      <c r="P280" s="26">
        <v>0</v>
      </c>
      <c r="Q280" s="70">
        <v>3</v>
      </c>
      <c r="R280" s="26">
        <v>57</v>
      </c>
    </row>
    <row r="281" spans="1:18" x14ac:dyDescent="0.35">
      <c r="A281" s="69">
        <v>27210372</v>
      </c>
      <c r="B281" s="69" t="s">
        <v>1345</v>
      </c>
      <c r="C281" s="69" t="s">
        <v>1346</v>
      </c>
      <c r="D281" s="69">
        <v>9766998165</v>
      </c>
      <c r="E281" s="69" t="s">
        <v>1347</v>
      </c>
      <c r="F281" s="69" t="s">
        <v>206</v>
      </c>
      <c r="G281" s="26"/>
      <c r="H281" s="26">
        <v>2</v>
      </c>
      <c r="I281" s="26">
        <v>10</v>
      </c>
      <c r="J281" s="26">
        <v>15</v>
      </c>
      <c r="K281" s="26">
        <v>10</v>
      </c>
      <c r="L281" s="26">
        <v>2</v>
      </c>
      <c r="M281" s="26"/>
      <c r="N281" s="26"/>
      <c r="O281" s="26"/>
      <c r="P281" s="26">
        <v>0</v>
      </c>
      <c r="Q281" s="70">
        <v>0</v>
      </c>
      <c r="R281" s="26">
        <v>39</v>
      </c>
    </row>
    <row r="282" spans="1:18" x14ac:dyDescent="0.35">
      <c r="A282" s="69">
        <v>28210001</v>
      </c>
      <c r="B282" s="69" t="s">
        <v>1348</v>
      </c>
      <c r="C282" s="69" t="s">
        <v>1349</v>
      </c>
      <c r="D282" s="69">
        <v>9869628779</v>
      </c>
      <c r="E282" s="69" t="s">
        <v>1350</v>
      </c>
      <c r="F282" s="69" t="s">
        <v>203</v>
      </c>
      <c r="G282" s="26">
        <v>48</v>
      </c>
      <c r="H282" s="26">
        <v>12</v>
      </c>
      <c r="I282" s="26">
        <v>63</v>
      </c>
      <c r="J282" s="26">
        <v>64</v>
      </c>
      <c r="K282" s="26">
        <v>51</v>
      </c>
      <c r="L282" s="26">
        <v>2</v>
      </c>
      <c r="M282" s="26">
        <v>66</v>
      </c>
      <c r="N282" s="26">
        <v>26</v>
      </c>
      <c r="O282" s="26">
        <v>13</v>
      </c>
      <c r="P282" s="26">
        <v>53</v>
      </c>
      <c r="Q282" s="70">
        <v>20</v>
      </c>
      <c r="R282" s="26">
        <v>418</v>
      </c>
    </row>
    <row r="283" spans="1:18" x14ac:dyDescent="0.35">
      <c r="A283" s="69">
        <v>28210006</v>
      </c>
      <c r="B283" s="69" t="s">
        <v>1177</v>
      </c>
      <c r="C283" s="69" t="s">
        <v>1351</v>
      </c>
      <c r="D283" s="69">
        <v>9869966788</v>
      </c>
      <c r="E283" s="69" t="s">
        <v>1352</v>
      </c>
      <c r="F283" s="69" t="s">
        <v>203</v>
      </c>
      <c r="G283" s="26">
        <v>5</v>
      </c>
      <c r="H283" s="26"/>
      <c r="I283" s="26">
        <v>18</v>
      </c>
      <c r="J283" s="26">
        <v>30</v>
      </c>
      <c r="K283" s="26"/>
      <c r="L283" s="26">
        <v>5</v>
      </c>
      <c r="M283" s="26">
        <v>1</v>
      </c>
      <c r="N283" s="26"/>
      <c r="O283" s="26"/>
      <c r="P283" s="26">
        <v>4</v>
      </c>
      <c r="Q283" s="70">
        <v>0</v>
      </c>
      <c r="R283" s="26">
        <v>63</v>
      </c>
    </row>
    <row r="284" spans="1:18" x14ac:dyDescent="0.35">
      <c r="A284" s="69">
        <v>28210007</v>
      </c>
      <c r="B284" s="69" t="s">
        <v>935</v>
      </c>
      <c r="C284" s="69" t="s">
        <v>1353</v>
      </c>
      <c r="D284" s="69">
        <v>9819803579</v>
      </c>
      <c r="E284" s="69" t="s">
        <v>1354</v>
      </c>
      <c r="F284" s="69" t="s">
        <v>203</v>
      </c>
      <c r="G284" s="26">
        <v>30</v>
      </c>
      <c r="H284" s="26">
        <v>7</v>
      </c>
      <c r="I284" s="26">
        <v>51</v>
      </c>
      <c r="J284" s="26">
        <v>37</v>
      </c>
      <c r="K284" s="26">
        <v>17</v>
      </c>
      <c r="L284" s="26">
        <v>13</v>
      </c>
      <c r="M284" s="26">
        <v>20</v>
      </c>
      <c r="N284" s="26">
        <v>10</v>
      </c>
      <c r="O284" s="26">
        <v>11</v>
      </c>
      <c r="P284" s="26">
        <v>10</v>
      </c>
      <c r="Q284" s="70">
        <v>0</v>
      </c>
      <c r="R284" s="26">
        <v>206</v>
      </c>
    </row>
    <row r="285" spans="1:18" x14ac:dyDescent="0.35">
      <c r="A285" s="69">
        <v>28210008</v>
      </c>
      <c r="B285" s="69" t="s">
        <v>935</v>
      </c>
      <c r="C285" s="69" t="s">
        <v>1355</v>
      </c>
      <c r="D285" s="69">
        <v>9869214286</v>
      </c>
      <c r="E285" s="69" t="s">
        <v>1356</v>
      </c>
      <c r="F285" s="69" t="s">
        <v>203</v>
      </c>
      <c r="G285" s="26">
        <v>57</v>
      </c>
      <c r="H285" s="26"/>
      <c r="I285" s="26">
        <v>53</v>
      </c>
      <c r="J285" s="26">
        <v>62</v>
      </c>
      <c r="K285" s="26">
        <v>25</v>
      </c>
      <c r="L285" s="26">
        <v>41</v>
      </c>
      <c r="M285" s="26">
        <v>24</v>
      </c>
      <c r="N285" s="26">
        <v>20</v>
      </c>
      <c r="O285" s="26">
        <v>10</v>
      </c>
      <c r="P285" s="26">
        <v>25</v>
      </c>
      <c r="Q285" s="70">
        <v>12</v>
      </c>
      <c r="R285" s="26">
        <v>329</v>
      </c>
    </row>
    <row r="286" spans="1:18" x14ac:dyDescent="0.35">
      <c r="A286" s="69">
        <v>28210021</v>
      </c>
      <c r="B286" s="69" t="s">
        <v>935</v>
      </c>
      <c r="C286" s="69" t="s">
        <v>1357</v>
      </c>
      <c r="D286" s="69">
        <v>9702177187</v>
      </c>
      <c r="E286" s="69" t="s">
        <v>1358</v>
      </c>
      <c r="F286" s="69" t="s">
        <v>203</v>
      </c>
      <c r="G286" s="26">
        <v>93</v>
      </c>
      <c r="H286" s="26"/>
      <c r="I286" s="26">
        <v>50</v>
      </c>
      <c r="J286" s="26">
        <v>190</v>
      </c>
      <c r="K286" s="26">
        <v>168</v>
      </c>
      <c r="L286" s="26">
        <v>65</v>
      </c>
      <c r="M286" s="26"/>
      <c r="N286" s="26">
        <v>189</v>
      </c>
      <c r="O286" s="26">
        <v>65</v>
      </c>
      <c r="P286" s="26">
        <v>83</v>
      </c>
      <c r="Q286" s="70">
        <v>31</v>
      </c>
      <c r="R286" s="26">
        <v>934</v>
      </c>
    </row>
    <row r="287" spans="1:18" x14ac:dyDescent="0.35">
      <c r="A287" s="69">
        <v>28210082</v>
      </c>
      <c r="B287" s="69" t="s">
        <v>935</v>
      </c>
      <c r="C287" s="69" t="s">
        <v>1359</v>
      </c>
      <c r="D287" s="69">
        <v>9987334056</v>
      </c>
      <c r="E287" s="69" t="s">
        <v>1360</v>
      </c>
      <c r="F287" s="69" t="s">
        <v>203</v>
      </c>
      <c r="G287" s="26">
        <v>30</v>
      </c>
      <c r="H287" s="26"/>
      <c r="I287" s="26">
        <v>50</v>
      </c>
      <c r="J287" s="26"/>
      <c r="K287" s="26">
        <v>124</v>
      </c>
      <c r="L287" s="26"/>
      <c r="M287" s="26">
        <v>94</v>
      </c>
      <c r="N287" s="26">
        <v>27</v>
      </c>
      <c r="O287" s="26"/>
      <c r="P287" s="26">
        <v>26</v>
      </c>
      <c r="Q287" s="70">
        <v>7</v>
      </c>
      <c r="R287" s="26">
        <v>358</v>
      </c>
    </row>
    <row r="288" spans="1:18" x14ac:dyDescent="0.35">
      <c r="A288" s="69">
        <v>28210083</v>
      </c>
      <c r="B288" s="69" t="s">
        <v>935</v>
      </c>
      <c r="C288" s="69" t="s">
        <v>1361</v>
      </c>
      <c r="D288" s="69">
        <v>9322219070</v>
      </c>
      <c r="E288" s="69" t="s">
        <v>1362</v>
      </c>
      <c r="F288" s="69" t="s">
        <v>203</v>
      </c>
      <c r="G288" s="26">
        <v>48</v>
      </c>
      <c r="H288" s="26"/>
      <c r="I288" s="26">
        <v>50</v>
      </c>
      <c r="J288" s="26">
        <v>135</v>
      </c>
      <c r="K288" s="26">
        <v>83</v>
      </c>
      <c r="L288" s="26">
        <v>51</v>
      </c>
      <c r="M288" s="26">
        <v>43</v>
      </c>
      <c r="N288" s="26">
        <v>36</v>
      </c>
      <c r="O288" s="26">
        <v>36</v>
      </c>
      <c r="P288" s="26">
        <v>34</v>
      </c>
      <c r="Q288" s="70">
        <v>34</v>
      </c>
      <c r="R288" s="26">
        <v>550</v>
      </c>
    </row>
    <row r="289" spans="1:18" x14ac:dyDescent="0.35">
      <c r="A289" s="69">
        <v>28210096</v>
      </c>
      <c r="B289" s="69" t="s">
        <v>935</v>
      </c>
      <c r="C289" s="69" t="s">
        <v>1363</v>
      </c>
      <c r="D289" s="69">
        <v>9702676637</v>
      </c>
      <c r="E289" s="69" t="s">
        <v>1364</v>
      </c>
      <c r="F289" s="69" t="s">
        <v>203</v>
      </c>
      <c r="G289" s="26">
        <v>18</v>
      </c>
      <c r="H289" s="26"/>
      <c r="I289" s="26">
        <v>39</v>
      </c>
      <c r="J289" s="26">
        <v>32</v>
      </c>
      <c r="K289" s="26">
        <v>22</v>
      </c>
      <c r="L289" s="26">
        <v>24</v>
      </c>
      <c r="M289" s="26">
        <v>24</v>
      </c>
      <c r="N289" s="26">
        <v>13</v>
      </c>
      <c r="O289" s="26">
        <v>10</v>
      </c>
      <c r="P289" s="26">
        <v>14</v>
      </c>
      <c r="Q289" s="70">
        <v>9</v>
      </c>
      <c r="R289" s="26">
        <v>205</v>
      </c>
    </row>
    <row r="290" spans="1:18" x14ac:dyDescent="0.35">
      <c r="A290" s="69">
        <v>28210104</v>
      </c>
      <c r="B290" s="69" t="s">
        <v>935</v>
      </c>
      <c r="C290" s="69" t="s">
        <v>1365</v>
      </c>
      <c r="D290" s="69">
        <v>9820994920</v>
      </c>
      <c r="E290" s="69" t="s">
        <v>1366</v>
      </c>
      <c r="F290" s="69" t="s">
        <v>203</v>
      </c>
      <c r="G290" s="26">
        <v>15</v>
      </c>
      <c r="H290" s="26"/>
      <c r="I290" s="26"/>
      <c r="J290" s="26">
        <v>50</v>
      </c>
      <c r="K290" s="26">
        <v>7</v>
      </c>
      <c r="L290" s="26"/>
      <c r="M290" s="26">
        <v>21</v>
      </c>
      <c r="N290" s="26"/>
      <c r="O290" s="26"/>
      <c r="P290" s="26">
        <v>17</v>
      </c>
      <c r="Q290" s="70">
        <v>0</v>
      </c>
      <c r="R290" s="26">
        <v>110</v>
      </c>
    </row>
    <row r="291" spans="1:18" x14ac:dyDescent="0.35">
      <c r="A291" s="69">
        <v>29210090</v>
      </c>
      <c r="B291" s="69" t="s">
        <v>1367</v>
      </c>
      <c r="C291" s="69" t="s">
        <v>1368</v>
      </c>
      <c r="D291" s="69">
        <v>9422570088</v>
      </c>
      <c r="E291" s="69" t="s">
        <v>1369</v>
      </c>
      <c r="F291" s="69" t="s">
        <v>1370</v>
      </c>
      <c r="G291" s="26">
        <v>22</v>
      </c>
      <c r="H291" s="26">
        <v>11</v>
      </c>
      <c r="I291" s="26">
        <v>141</v>
      </c>
      <c r="J291" s="26">
        <v>78</v>
      </c>
      <c r="K291" s="26">
        <v>18</v>
      </c>
      <c r="L291" s="26">
        <v>16</v>
      </c>
      <c r="M291" s="26">
        <v>23</v>
      </c>
      <c r="N291" s="26">
        <v>30</v>
      </c>
      <c r="O291" s="26">
        <v>12</v>
      </c>
      <c r="P291" s="26">
        <v>32</v>
      </c>
      <c r="Q291" s="70">
        <v>27</v>
      </c>
      <c r="R291" s="26">
        <v>410</v>
      </c>
    </row>
    <row r="292" spans="1:18" x14ac:dyDescent="0.35">
      <c r="A292" s="69">
        <v>31210002</v>
      </c>
      <c r="B292" s="69" t="s">
        <v>1371</v>
      </c>
      <c r="C292" s="69" t="s">
        <v>1372</v>
      </c>
      <c r="D292" s="69">
        <v>9423493101</v>
      </c>
      <c r="E292" s="69" t="s">
        <v>1373</v>
      </c>
      <c r="F292" s="69" t="s">
        <v>1374</v>
      </c>
      <c r="G292" s="26">
        <v>63</v>
      </c>
      <c r="H292" s="26"/>
      <c r="I292" s="26"/>
      <c r="J292" s="26">
        <v>53</v>
      </c>
      <c r="K292" s="26"/>
      <c r="L292" s="26"/>
      <c r="M292" s="26">
        <v>3</v>
      </c>
      <c r="N292" s="26">
        <v>6</v>
      </c>
      <c r="O292" s="26"/>
      <c r="P292" s="26">
        <v>9</v>
      </c>
      <c r="Q292" s="70">
        <v>0</v>
      </c>
      <c r="R292" s="26">
        <v>134</v>
      </c>
    </row>
    <row r="293" spans="1:18" x14ac:dyDescent="0.35">
      <c r="A293" s="69">
        <v>31210046</v>
      </c>
      <c r="B293" s="69" t="s">
        <v>1375</v>
      </c>
      <c r="C293" s="69" t="s">
        <v>1376</v>
      </c>
      <c r="D293" s="69">
        <v>9422260700</v>
      </c>
      <c r="E293" s="69" t="s">
        <v>1377</v>
      </c>
      <c r="F293" s="69" t="s">
        <v>1374</v>
      </c>
      <c r="G293" s="26">
        <v>73</v>
      </c>
      <c r="H293" s="26">
        <v>16</v>
      </c>
      <c r="I293" s="26"/>
      <c r="J293" s="26">
        <v>56</v>
      </c>
      <c r="K293" s="26">
        <v>28</v>
      </c>
      <c r="L293" s="26">
        <v>10</v>
      </c>
      <c r="M293" s="26">
        <v>7</v>
      </c>
      <c r="N293" s="26">
        <v>12</v>
      </c>
      <c r="O293" s="26">
        <v>13</v>
      </c>
      <c r="P293" s="26">
        <v>5</v>
      </c>
      <c r="Q293" s="70">
        <v>5</v>
      </c>
      <c r="R293" s="26">
        <v>225</v>
      </c>
    </row>
    <row r="294" spans="1:18" x14ac:dyDescent="0.35">
      <c r="A294" s="69">
        <v>31210049</v>
      </c>
      <c r="B294" s="69" t="s">
        <v>1378</v>
      </c>
      <c r="C294" s="69" t="s">
        <v>1379</v>
      </c>
      <c r="D294" s="69">
        <v>9423497141</v>
      </c>
      <c r="E294" s="69" t="s">
        <v>1380</v>
      </c>
      <c r="F294" s="69" t="s">
        <v>1374</v>
      </c>
      <c r="G294" s="26">
        <v>6</v>
      </c>
      <c r="H294" s="26"/>
      <c r="I294" s="26"/>
      <c r="J294" s="26">
        <v>7</v>
      </c>
      <c r="K294" s="26"/>
      <c r="L294" s="26">
        <v>0</v>
      </c>
      <c r="M294" s="26">
        <v>7</v>
      </c>
      <c r="N294" s="26">
        <v>2</v>
      </c>
      <c r="O294" s="26"/>
      <c r="P294" s="26">
        <v>1</v>
      </c>
      <c r="Q294" s="70">
        <v>1</v>
      </c>
      <c r="R294" s="26">
        <v>24</v>
      </c>
    </row>
    <row r="295" spans="1:18" x14ac:dyDescent="0.35">
      <c r="A295" s="69">
        <v>31210050</v>
      </c>
      <c r="B295" s="69" t="s">
        <v>790</v>
      </c>
      <c r="C295" s="69" t="s">
        <v>1381</v>
      </c>
      <c r="D295" s="69">
        <v>9923252575</v>
      </c>
      <c r="E295" s="69" t="s">
        <v>1382</v>
      </c>
      <c r="F295" s="69" t="s">
        <v>1374</v>
      </c>
      <c r="G295" s="26">
        <v>31</v>
      </c>
      <c r="H295" s="26">
        <v>11</v>
      </c>
      <c r="I295" s="26"/>
      <c r="J295" s="26">
        <v>63</v>
      </c>
      <c r="K295" s="26">
        <v>33</v>
      </c>
      <c r="L295" s="26"/>
      <c r="M295" s="26">
        <v>10</v>
      </c>
      <c r="N295" s="26">
        <v>12</v>
      </c>
      <c r="O295" s="26">
        <v>11</v>
      </c>
      <c r="P295" s="26">
        <v>12</v>
      </c>
      <c r="Q295" s="70">
        <v>7</v>
      </c>
      <c r="R295" s="26">
        <v>190</v>
      </c>
    </row>
    <row r="296" spans="1:18" x14ac:dyDescent="0.35">
      <c r="A296" s="69">
        <v>32210002</v>
      </c>
      <c r="B296" s="69" t="s">
        <v>1383</v>
      </c>
      <c r="C296" s="69" t="s">
        <v>1384</v>
      </c>
      <c r="D296" s="69">
        <v>9423565685</v>
      </c>
      <c r="E296" s="69" t="s">
        <v>1385</v>
      </c>
      <c r="F296" s="69" t="s">
        <v>1386</v>
      </c>
      <c r="G296" s="26">
        <v>20</v>
      </c>
      <c r="H296" s="26">
        <v>5</v>
      </c>
      <c r="I296" s="26"/>
      <c r="J296" s="26">
        <v>140</v>
      </c>
      <c r="K296" s="26">
        <v>68</v>
      </c>
      <c r="L296" s="26">
        <v>24</v>
      </c>
      <c r="M296" s="26">
        <v>15</v>
      </c>
      <c r="N296" s="26">
        <v>17</v>
      </c>
      <c r="O296" s="26">
        <v>15</v>
      </c>
      <c r="P296" s="26">
        <v>13</v>
      </c>
      <c r="Q296" s="70">
        <v>7</v>
      </c>
      <c r="R296" s="26">
        <v>324</v>
      </c>
    </row>
    <row r="297" spans="1:18" x14ac:dyDescent="0.35">
      <c r="A297" s="69">
        <v>32210003</v>
      </c>
      <c r="B297" s="69" t="s">
        <v>1387</v>
      </c>
      <c r="C297" s="69" t="s">
        <v>1388</v>
      </c>
      <c r="D297" s="69">
        <v>9890943474</v>
      </c>
      <c r="E297" s="69" t="s">
        <v>1389</v>
      </c>
      <c r="F297" s="69" t="s">
        <v>1386</v>
      </c>
      <c r="G297" s="26">
        <v>31</v>
      </c>
      <c r="H297" s="26">
        <v>13</v>
      </c>
      <c r="I297" s="26">
        <v>71</v>
      </c>
      <c r="J297" s="26">
        <v>86</v>
      </c>
      <c r="K297" s="26">
        <v>26</v>
      </c>
      <c r="L297" s="26">
        <v>23</v>
      </c>
      <c r="M297" s="26">
        <v>16</v>
      </c>
      <c r="N297" s="26">
        <v>14</v>
      </c>
      <c r="O297" s="26">
        <v>13</v>
      </c>
      <c r="P297" s="26">
        <v>9</v>
      </c>
      <c r="Q297" s="70">
        <v>9</v>
      </c>
      <c r="R297" s="26">
        <v>311</v>
      </c>
    </row>
    <row r="298" spans="1:18" x14ac:dyDescent="0.35">
      <c r="A298" s="69">
        <v>32210004</v>
      </c>
      <c r="B298" s="69" t="s">
        <v>1390</v>
      </c>
      <c r="C298" s="69" t="s">
        <v>1391</v>
      </c>
      <c r="D298" s="69">
        <v>9730124101</v>
      </c>
      <c r="E298" s="69" t="s">
        <v>1392</v>
      </c>
      <c r="F298" s="69" t="s">
        <v>1386</v>
      </c>
      <c r="G298" s="26">
        <v>31</v>
      </c>
      <c r="H298" s="26">
        <v>2</v>
      </c>
      <c r="I298" s="26"/>
      <c r="J298" s="26">
        <v>133</v>
      </c>
      <c r="K298" s="26">
        <v>10</v>
      </c>
      <c r="L298" s="26"/>
      <c r="M298" s="26">
        <v>20</v>
      </c>
      <c r="N298" s="26">
        <v>24</v>
      </c>
      <c r="O298" s="26">
        <v>1</v>
      </c>
      <c r="P298" s="26">
        <v>26</v>
      </c>
      <c r="Q298" s="70">
        <v>4</v>
      </c>
      <c r="R298" s="26">
        <v>251</v>
      </c>
    </row>
    <row r="299" spans="1:18" x14ac:dyDescent="0.35">
      <c r="A299" s="69">
        <v>32210057</v>
      </c>
      <c r="B299" s="69" t="s">
        <v>1393</v>
      </c>
      <c r="C299" s="69" t="s">
        <v>1394</v>
      </c>
      <c r="D299" s="69">
        <v>9421493560</v>
      </c>
      <c r="E299" s="69" t="s">
        <v>1395</v>
      </c>
      <c r="F299" s="69" t="s">
        <v>1386</v>
      </c>
      <c r="G299" s="26">
        <v>12</v>
      </c>
      <c r="H299" s="26">
        <v>4</v>
      </c>
      <c r="I299" s="26">
        <v>14</v>
      </c>
      <c r="J299" s="26">
        <v>9</v>
      </c>
      <c r="K299" s="26"/>
      <c r="L299" s="26">
        <v>7</v>
      </c>
      <c r="M299" s="26">
        <v>2</v>
      </c>
      <c r="N299" s="26">
        <v>3</v>
      </c>
      <c r="O299" s="26">
        <v>2</v>
      </c>
      <c r="P299" s="26">
        <v>2</v>
      </c>
      <c r="Q299" s="70">
        <v>3</v>
      </c>
      <c r="R299" s="26">
        <v>58</v>
      </c>
    </row>
    <row r="300" spans="1:18" x14ac:dyDescent="0.35">
      <c r="A300" s="69">
        <v>32210062</v>
      </c>
      <c r="B300" s="69" t="s">
        <v>1396</v>
      </c>
      <c r="C300" s="69" t="s">
        <v>1397</v>
      </c>
      <c r="D300" s="69">
        <v>9922865679</v>
      </c>
      <c r="E300" s="69" t="s">
        <v>1398</v>
      </c>
      <c r="F300" s="69" t="s">
        <v>1386</v>
      </c>
      <c r="G300" s="26"/>
      <c r="H300" s="26">
        <v>39</v>
      </c>
      <c r="I300" s="26">
        <v>51</v>
      </c>
      <c r="J300" s="26"/>
      <c r="K300" s="26">
        <v>46</v>
      </c>
      <c r="L300" s="26"/>
      <c r="M300" s="26">
        <v>13</v>
      </c>
      <c r="N300" s="26">
        <v>10</v>
      </c>
      <c r="O300" s="26"/>
      <c r="P300" s="26">
        <v>8</v>
      </c>
      <c r="Q300" s="70">
        <v>4</v>
      </c>
      <c r="R300" s="26">
        <v>171</v>
      </c>
    </row>
    <row r="301" spans="1:18" x14ac:dyDescent="0.35">
      <c r="A301" s="69">
        <v>32210095</v>
      </c>
      <c r="B301" s="69" t="s">
        <v>1399</v>
      </c>
      <c r="C301" s="69" t="s">
        <v>1400</v>
      </c>
      <c r="D301" s="69">
        <v>9767607478</v>
      </c>
      <c r="E301" s="69" t="s">
        <v>1401</v>
      </c>
      <c r="F301" s="69" t="s">
        <v>1386</v>
      </c>
      <c r="G301" s="26">
        <v>10</v>
      </c>
      <c r="H301" s="26">
        <v>3</v>
      </c>
      <c r="I301" s="26"/>
      <c r="J301" s="26">
        <v>55</v>
      </c>
      <c r="K301" s="26">
        <v>5</v>
      </c>
      <c r="L301" s="26"/>
      <c r="M301" s="26">
        <v>3</v>
      </c>
      <c r="N301" s="26">
        <v>1</v>
      </c>
      <c r="O301" s="26">
        <v>1</v>
      </c>
      <c r="P301" s="26">
        <v>4</v>
      </c>
      <c r="Q301" s="70">
        <v>5</v>
      </c>
      <c r="R301" s="26">
        <v>87</v>
      </c>
    </row>
    <row r="302" spans="1:18" x14ac:dyDescent="0.35">
      <c r="A302" s="69">
        <v>32210100</v>
      </c>
      <c r="B302" s="69" t="s">
        <v>1402</v>
      </c>
      <c r="C302" s="69" t="s">
        <v>1403</v>
      </c>
      <c r="D302" s="69">
        <v>9970414311</v>
      </c>
      <c r="E302" s="69" t="s">
        <v>1404</v>
      </c>
      <c r="F302" s="69" t="s">
        <v>1386</v>
      </c>
      <c r="G302" s="26"/>
      <c r="H302" s="26"/>
      <c r="I302" s="26"/>
      <c r="J302" s="26"/>
      <c r="K302" s="26">
        <v>17</v>
      </c>
      <c r="L302" s="26"/>
      <c r="M302" s="26"/>
      <c r="N302" s="26">
        <v>3</v>
      </c>
      <c r="O302" s="26">
        <v>3</v>
      </c>
      <c r="P302" s="26">
        <v>16</v>
      </c>
      <c r="Q302" s="70">
        <v>3</v>
      </c>
      <c r="R302" s="26">
        <v>42</v>
      </c>
    </row>
    <row r="303" spans="1:18" x14ac:dyDescent="0.35">
      <c r="A303" s="69">
        <v>32210103</v>
      </c>
      <c r="B303" s="69" t="s">
        <v>1405</v>
      </c>
      <c r="C303" s="69" t="s">
        <v>1406</v>
      </c>
      <c r="D303" s="69">
        <v>9420562237</v>
      </c>
      <c r="E303" s="69" t="s">
        <v>1407</v>
      </c>
      <c r="F303" s="69" t="s">
        <v>1386</v>
      </c>
      <c r="G303" s="26">
        <v>30</v>
      </c>
      <c r="H303" s="26"/>
      <c r="I303" s="26">
        <v>39</v>
      </c>
      <c r="J303" s="26">
        <v>12</v>
      </c>
      <c r="K303" s="26">
        <v>18</v>
      </c>
      <c r="L303" s="26">
        <v>6</v>
      </c>
      <c r="M303" s="26"/>
      <c r="N303" s="26">
        <v>13</v>
      </c>
      <c r="O303" s="26">
        <v>0</v>
      </c>
      <c r="P303" s="26">
        <v>10</v>
      </c>
      <c r="Q303" s="70">
        <v>0</v>
      </c>
      <c r="R303" s="26">
        <v>128</v>
      </c>
    </row>
    <row r="304" spans="1:18" x14ac:dyDescent="0.35">
      <c r="A304" s="69">
        <v>32210106</v>
      </c>
      <c r="B304" s="69" t="s">
        <v>1408</v>
      </c>
      <c r="C304" s="69" t="s">
        <v>1409</v>
      </c>
      <c r="D304" s="69">
        <v>9689339450</v>
      </c>
      <c r="E304" s="69" t="s">
        <v>1410</v>
      </c>
      <c r="F304" s="69" t="s">
        <v>1386</v>
      </c>
      <c r="G304" s="26"/>
      <c r="H304" s="26"/>
      <c r="I304" s="26">
        <v>3</v>
      </c>
      <c r="J304" s="26">
        <v>66</v>
      </c>
      <c r="K304" s="26">
        <v>14</v>
      </c>
      <c r="L304" s="26"/>
      <c r="M304" s="26">
        <v>11</v>
      </c>
      <c r="N304" s="26"/>
      <c r="O304" s="26">
        <v>6</v>
      </c>
      <c r="P304" s="26">
        <v>0</v>
      </c>
      <c r="Q304" s="70">
        <v>0</v>
      </c>
      <c r="R304" s="26">
        <v>100</v>
      </c>
    </row>
    <row r="305" spans="1:18" x14ac:dyDescent="0.35">
      <c r="A305" s="69">
        <v>32210107</v>
      </c>
      <c r="B305" s="69" t="s">
        <v>1411</v>
      </c>
      <c r="C305" s="69" t="s">
        <v>1412</v>
      </c>
      <c r="D305" s="69">
        <v>9422725642</v>
      </c>
      <c r="E305" s="69" t="s">
        <v>1413</v>
      </c>
      <c r="F305" s="69" t="s">
        <v>1386</v>
      </c>
      <c r="G305" s="26"/>
      <c r="H305" s="26">
        <v>26</v>
      </c>
      <c r="I305" s="26"/>
      <c r="J305" s="26">
        <v>63</v>
      </c>
      <c r="K305" s="26">
        <v>11</v>
      </c>
      <c r="L305" s="26"/>
      <c r="M305" s="26">
        <v>13</v>
      </c>
      <c r="N305" s="26">
        <v>0</v>
      </c>
      <c r="O305" s="26"/>
      <c r="P305" s="26">
        <v>0</v>
      </c>
      <c r="Q305" s="70">
        <v>27</v>
      </c>
      <c r="R305" s="26">
        <v>140</v>
      </c>
    </row>
    <row r="306" spans="1:18" x14ac:dyDescent="0.35">
      <c r="A306" s="69">
        <v>32210109</v>
      </c>
      <c r="B306" s="69" t="s">
        <v>565</v>
      </c>
      <c r="C306" s="69" t="s">
        <v>1414</v>
      </c>
      <c r="D306" s="69">
        <v>9881193513</v>
      </c>
      <c r="E306" s="69" t="s">
        <v>1415</v>
      </c>
      <c r="F306" s="69" t="s">
        <v>1386</v>
      </c>
      <c r="G306" s="26"/>
      <c r="H306" s="26">
        <v>10</v>
      </c>
      <c r="I306" s="26">
        <v>21</v>
      </c>
      <c r="J306" s="26">
        <v>32</v>
      </c>
      <c r="K306" s="26">
        <v>31</v>
      </c>
      <c r="L306" s="26"/>
      <c r="M306" s="26">
        <v>4</v>
      </c>
      <c r="N306" s="26">
        <v>0</v>
      </c>
      <c r="O306" s="26">
        <v>11</v>
      </c>
      <c r="P306" s="26">
        <v>0</v>
      </c>
      <c r="Q306" s="70">
        <v>0</v>
      </c>
      <c r="R306" s="26">
        <v>109</v>
      </c>
    </row>
    <row r="307" spans="1:18" x14ac:dyDescent="0.35">
      <c r="A307" s="69">
        <v>32210114</v>
      </c>
      <c r="B307" s="69" t="s">
        <v>1416</v>
      </c>
      <c r="C307" s="69" t="s">
        <v>1417</v>
      </c>
      <c r="D307" s="69">
        <v>9881790679</v>
      </c>
      <c r="E307" s="69" t="s">
        <v>1418</v>
      </c>
      <c r="F307" s="69" t="s">
        <v>1386</v>
      </c>
      <c r="G307" s="26">
        <v>44</v>
      </c>
      <c r="H307" s="26">
        <v>4</v>
      </c>
      <c r="I307" s="26">
        <v>23</v>
      </c>
      <c r="J307" s="26">
        <v>14</v>
      </c>
      <c r="K307" s="26">
        <v>51</v>
      </c>
      <c r="L307" s="26">
        <v>5</v>
      </c>
      <c r="M307" s="26">
        <v>4</v>
      </c>
      <c r="N307" s="26"/>
      <c r="O307" s="26">
        <v>9</v>
      </c>
      <c r="P307" s="26">
        <v>2</v>
      </c>
      <c r="Q307" s="70">
        <v>6</v>
      </c>
      <c r="R307" s="26">
        <v>162</v>
      </c>
    </row>
    <row r="308" spans="1:18" x14ac:dyDescent="0.35">
      <c r="A308" s="69">
        <v>32210122</v>
      </c>
      <c r="B308" s="69" t="s">
        <v>1419</v>
      </c>
      <c r="C308" s="69" t="s">
        <v>1420</v>
      </c>
      <c r="D308" s="69">
        <v>9921126284</v>
      </c>
      <c r="E308" s="69" t="s">
        <v>1421</v>
      </c>
      <c r="F308" s="69" t="s">
        <v>1386</v>
      </c>
      <c r="G308" s="26"/>
      <c r="H308" s="26"/>
      <c r="I308" s="26"/>
      <c r="J308" s="26">
        <v>51</v>
      </c>
      <c r="K308" s="26">
        <v>20</v>
      </c>
      <c r="L308" s="26"/>
      <c r="M308" s="26">
        <v>3</v>
      </c>
      <c r="N308" s="26">
        <v>0</v>
      </c>
      <c r="O308" s="26"/>
      <c r="P308" s="26">
        <v>7</v>
      </c>
      <c r="Q308" s="70">
        <v>0</v>
      </c>
      <c r="R308" s="26">
        <v>81</v>
      </c>
    </row>
    <row r="309" spans="1:18" x14ac:dyDescent="0.35">
      <c r="A309" s="69">
        <v>32210125</v>
      </c>
      <c r="B309" s="69" t="s">
        <v>1422</v>
      </c>
      <c r="C309" s="69" t="s">
        <v>1423</v>
      </c>
      <c r="D309" s="69">
        <v>9422725642</v>
      </c>
      <c r="E309" s="69" t="s">
        <v>1424</v>
      </c>
      <c r="F309" s="69" t="s">
        <v>1386</v>
      </c>
      <c r="G309" s="26"/>
      <c r="H309" s="26">
        <v>18</v>
      </c>
      <c r="I309" s="26"/>
      <c r="J309" s="26">
        <v>32</v>
      </c>
      <c r="K309" s="26">
        <v>14</v>
      </c>
      <c r="L309" s="26">
        <v>6</v>
      </c>
      <c r="M309" s="26"/>
      <c r="N309" s="26">
        <v>4</v>
      </c>
      <c r="O309" s="26">
        <v>0</v>
      </c>
      <c r="P309" s="26">
        <v>11</v>
      </c>
      <c r="Q309" s="70">
        <v>0</v>
      </c>
      <c r="R309" s="26">
        <v>85</v>
      </c>
    </row>
    <row r="310" spans="1:18" x14ac:dyDescent="0.35">
      <c r="A310" s="69">
        <v>32210148</v>
      </c>
      <c r="B310" s="69" t="s">
        <v>1425</v>
      </c>
      <c r="C310" s="69" t="s">
        <v>1426</v>
      </c>
      <c r="D310" s="69">
        <v>9421464593</v>
      </c>
      <c r="E310" s="69" t="s">
        <v>1427</v>
      </c>
      <c r="F310" s="69" t="s">
        <v>1386</v>
      </c>
      <c r="G310" s="26">
        <v>2</v>
      </c>
      <c r="H310" s="26"/>
      <c r="I310" s="26">
        <v>28</v>
      </c>
      <c r="J310" s="26">
        <v>10</v>
      </c>
      <c r="K310" s="26"/>
      <c r="L310" s="26">
        <v>2</v>
      </c>
      <c r="M310" s="26">
        <v>6</v>
      </c>
      <c r="N310" s="26"/>
      <c r="O310" s="26"/>
      <c r="P310" s="26">
        <v>0</v>
      </c>
      <c r="Q310" s="70">
        <v>4</v>
      </c>
      <c r="R310" s="26">
        <v>52</v>
      </c>
    </row>
    <row r="311" spans="1:18" x14ac:dyDescent="0.35">
      <c r="A311" s="69">
        <v>32210172</v>
      </c>
      <c r="B311" s="69" t="s">
        <v>1428</v>
      </c>
      <c r="C311" s="69" t="s">
        <v>1429</v>
      </c>
      <c r="D311" s="69">
        <v>9850312521</v>
      </c>
      <c r="E311" s="69" t="s">
        <v>1430</v>
      </c>
      <c r="F311" s="69" t="s">
        <v>1386</v>
      </c>
      <c r="G311" s="26">
        <v>2</v>
      </c>
      <c r="H311" s="26"/>
      <c r="I311" s="26"/>
      <c r="J311" s="26">
        <v>6</v>
      </c>
      <c r="K311" s="26"/>
      <c r="L311" s="26">
        <v>4</v>
      </c>
      <c r="M311" s="26"/>
      <c r="N311" s="26"/>
      <c r="O311" s="26"/>
      <c r="P311" s="26">
        <v>0</v>
      </c>
      <c r="Q311" s="70">
        <v>0</v>
      </c>
      <c r="R311" s="26">
        <v>12</v>
      </c>
    </row>
    <row r="312" spans="1:18" x14ac:dyDescent="0.35">
      <c r="A312" s="69">
        <v>32210174</v>
      </c>
      <c r="B312" s="69" t="s">
        <v>1431</v>
      </c>
      <c r="C312" s="69" t="s">
        <v>1432</v>
      </c>
      <c r="D312" s="69">
        <v>9923362526</v>
      </c>
      <c r="E312" s="69" t="s">
        <v>1433</v>
      </c>
      <c r="F312" s="69" t="s">
        <v>1386</v>
      </c>
      <c r="G312" s="26"/>
      <c r="H312" s="26">
        <v>8</v>
      </c>
      <c r="I312" s="26"/>
      <c r="J312" s="26">
        <v>20</v>
      </c>
      <c r="K312" s="26">
        <v>3</v>
      </c>
      <c r="L312" s="26">
        <v>0</v>
      </c>
      <c r="M312" s="26">
        <v>1</v>
      </c>
      <c r="N312" s="26">
        <v>1</v>
      </c>
      <c r="O312" s="26">
        <v>6</v>
      </c>
      <c r="P312" s="26">
        <v>2</v>
      </c>
      <c r="Q312" s="70">
        <v>1</v>
      </c>
      <c r="R312" s="26">
        <v>42</v>
      </c>
    </row>
    <row r="313" spans="1:18" x14ac:dyDescent="0.35">
      <c r="A313" s="69">
        <v>32210179</v>
      </c>
      <c r="B313" s="69" t="s">
        <v>1434</v>
      </c>
      <c r="C313" s="69" t="s">
        <v>1435</v>
      </c>
      <c r="D313" s="69">
        <v>9422880649</v>
      </c>
      <c r="E313" s="69" t="s">
        <v>1436</v>
      </c>
      <c r="F313" s="69" t="s">
        <v>1386</v>
      </c>
      <c r="G313" s="26"/>
      <c r="H313" s="26"/>
      <c r="I313" s="26">
        <v>6</v>
      </c>
      <c r="J313" s="26"/>
      <c r="K313" s="26">
        <v>14</v>
      </c>
      <c r="L313" s="26">
        <v>2</v>
      </c>
      <c r="M313" s="26"/>
      <c r="N313" s="26"/>
      <c r="O313" s="26">
        <v>4</v>
      </c>
      <c r="P313" s="26">
        <v>1</v>
      </c>
      <c r="Q313" s="70">
        <v>0</v>
      </c>
      <c r="R313" s="26">
        <v>27</v>
      </c>
    </row>
    <row r="314" spans="1:18" x14ac:dyDescent="0.35">
      <c r="A314" s="69">
        <v>32210186</v>
      </c>
      <c r="B314" s="69" t="s">
        <v>1437</v>
      </c>
      <c r="C314" s="69" t="s">
        <v>1438</v>
      </c>
      <c r="D314" s="69">
        <v>9158788585</v>
      </c>
      <c r="E314" s="69" t="s">
        <v>1439</v>
      </c>
      <c r="F314" s="69" t="s">
        <v>1386</v>
      </c>
      <c r="G314" s="26">
        <v>24</v>
      </c>
      <c r="H314" s="26">
        <v>24</v>
      </c>
      <c r="I314" s="26">
        <v>34</v>
      </c>
      <c r="J314" s="26">
        <v>29</v>
      </c>
      <c r="K314" s="26">
        <v>21</v>
      </c>
      <c r="L314" s="26">
        <v>12</v>
      </c>
      <c r="M314" s="26">
        <v>10</v>
      </c>
      <c r="N314" s="26">
        <v>16</v>
      </c>
      <c r="O314" s="26">
        <v>9</v>
      </c>
      <c r="P314" s="26">
        <v>27</v>
      </c>
      <c r="Q314" s="70">
        <v>9</v>
      </c>
      <c r="R314" s="26">
        <v>215</v>
      </c>
    </row>
    <row r="315" spans="1:18" x14ac:dyDescent="0.35">
      <c r="A315" s="69">
        <v>32210194</v>
      </c>
      <c r="B315" s="69" t="s">
        <v>1440</v>
      </c>
      <c r="C315" s="69" t="s">
        <v>1441</v>
      </c>
      <c r="D315" s="69">
        <v>9960800872</v>
      </c>
      <c r="E315" s="69" t="s">
        <v>1442</v>
      </c>
      <c r="F315" s="69" t="s">
        <v>1386</v>
      </c>
      <c r="G315" s="26">
        <v>12</v>
      </c>
      <c r="H315" s="26"/>
      <c r="I315" s="26"/>
      <c r="J315" s="26">
        <v>20</v>
      </c>
      <c r="K315" s="26">
        <v>15</v>
      </c>
      <c r="L315" s="26"/>
      <c r="M315" s="26">
        <v>3</v>
      </c>
      <c r="N315" s="26">
        <v>0</v>
      </c>
      <c r="O315" s="26">
        <v>0</v>
      </c>
      <c r="P315" s="26">
        <v>6</v>
      </c>
      <c r="Q315" s="70">
        <v>1</v>
      </c>
      <c r="R315" s="26">
        <v>57</v>
      </c>
    </row>
    <row r="316" spans="1:18" x14ac:dyDescent="0.35">
      <c r="A316" s="69">
        <v>33210005</v>
      </c>
      <c r="B316" s="69" t="s">
        <v>1443</v>
      </c>
      <c r="C316" s="69" t="s">
        <v>1444</v>
      </c>
      <c r="D316" s="69">
        <v>9422582737</v>
      </c>
      <c r="E316" s="69" t="s">
        <v>1445</v>
      </c>
      <c r="F316" s="69" t="s">
        <v>1446</v>
      </c>
      <c r="G316" s="26">
        <v>33</v>
      </c>
      <c r="H316" s="26">
        <v>12</v>
      </c>
      <c r="I316" s="26">
        <v>76</v>
      </c>
      <c r="J316" s="26">
        <v>64</v>
      </c>
      <c r="K316" s="26">
        <v>6</v>
      </c>
      <c r="L316" s="26">
        <v>4</v>
      </c>
      <c r="M316" s="26">
        <v>28</v>
      </c>
      <c r="N316" s="26">
        <v>25</v>
      </c>
      <c r="O316" s="26">
        <v>9</v>
      </c>
      <c r="P316" s="26">
        <v>19</v>
      </c>
      <c r="Q316" s="70">
        <v>6</v>
      </c>
      <c r="R316" s="26">
        <v>282</v>
      </c>
    </row>
    <row r="317" spans="1:18" x14ac:dyDescent="0.35">
      <c r="A317" s="69">
        <v>33210144</v>
      </c>
      <c r="B317" s="69" t="s">
        <v>1447</v>
      </c>
      <c r="C317" s="69" t="s">
        <v>1448</v>
      </c>
      <c r="D317" s="69">
        <v>9850060779</v>
      </c>
      <c r="E317" s="69" t="s">
        <v>1449</v>
      </c>
      <c r="F317" s="69" t="s">
        <v>1446</v>
      </c>
      <c r="G317" s="26">
        <v>10</v>
      </c>
      <c r="H317" s="26"/>
      <c r="I317" s="26">
        <v>1</v>
      </c>
      <c r="J317" s="26">
        <v>54</v>
      </c>
      <c r="K317" s="26">
        <v>7</v>
      </c>
      <c r="L317" s="26">
        <v>5</v>
      </c>
      <c r="M317" s="26"/>
      <c r="N317" s="26">
        <v>9</v>
      </c>
      <c r="O317" s="26"/>
      <c r="P317" s="26">
        <v>9</v>
      </c>
      <c r="Q317" s="70">
        <v>4</v>
      </c>
      <c r="R317" s="26">
        <v>99</v>
      </c>
    </row>
    <row r="318" spans="1:18" x14ac:dyDescent="0.35">
      <c r="A318" s="69">
        <v>33210222</v>
      </c>
      <c r="B318" s="69" t="s">
        <v>1222</v>
      </c>
      <c r="C318" s="69" t="s">
        <v>1450</v>
      </c>
      <c r="D318" s="69">
        <v>9326396762</v>
      </c>
      <c r="E318" s="69" t="s">
        <v>1451</v>
      </c>
      <c r="F318" s="69" t="s">
        <v>1446</v>
      </c>
      <c r="G318" s="26">
        <v>17</v>
      </c>
      <c r="H318" s="26">
        <v>6</v>
      </c>
      <c r="I318" s="26">
        <v>52</v>
      </c>
      <c r="J318" s="26">
        <v>70</v>
      </c>
      <c r="K318" s="26">
        <v>17</v>
      </c>
      <c r="L318" s="26">
        <v>8</v>
      </c>
      <c r="M318" s="26">
        <v>7</v>
      </c>
      <c r="N318" s="26">
        <v>3</v>
      </c>
      <c r="O318" s="26">
        <v>1</v>
      </c>
      <c r="P318" s="26">
        <v>2</v>
      </c>
      <c r="Q318" s="70">
        <v>0</v>
      </c>
      <c r="R318" s="26">
        <v>183</v>
      </c>
    </row>
    <row r="319" spans="1:18" x14ac:dyDescent="0.35">
      <c r="A319" s="69">
        <v>33210273</v>
      </c>
      <c r="B319" s="69" t="s">
        <v>1452</v>
      </c>
      <c r="C319" s="69" t="s">
        <v>1453</v>
      </c>
      <c r="D319" s="69">
        <v>9028788249</v>
      </c>
      <c r="E319" s="69" t="s">
        <v>1454</v>
      </c>
      <c r="F319" s="69" t="s">
        <v>1446</v>
      </c>
      <c r="G319" s="26">
        <v>5</v>
      </c>
      <c r="H319" s="26">
        <v>5</v>
      </c>
      <c r="I319" s="26"/>
      <c r="J319" s="26">
        <v>63</v>
      </c>
      <c r="K319" s="26">
        <v>20</v>
      </c>
      <c r="L319" s="26">
        <v>12</v>
      </c>
      <c r="M319" s="26">
        <v>6</v>
      </c>
      <c r="N319" s="26">
        <v>0</v>
      </c>
      <c r="O319" s="26">
        <v>0</v>
      </c>
      <c r="P319" s="26">
        <v>10</v>
      </c>
      <c r="Q319" s="70">
        <v>1</v>
      </c>
      <c r="R319" s="26">
        <v>122</v>
      </c>
    </row>
    <row r="320" spans="1:18" x14ac:dyDescent="0.35">
      <c r="A320" s="69">
        <v>33210283</v>
      </c>
      <c r="B320" s="69" t="s">
        <v>1455</v>
      </c>
      <c r="C320" s="69" t="s">
        <v>1456</v>
      </c>
      <c r="D320" s="69">
        <v>9923587918</v>
      </c>
      <c r="E320" s="69" t="s">
        <v>1457</v>
      </c>
      <c r="F320" s="69" t="s">
        <v>1446</v>
      </c>
      <c r="G320" s="26">
        <v>18</v>
      </c>
      <c r="H320" s="26"/>
      <c r="I320" s="26"/>
      <c r="J320" s="26"/>
      <c r="K320" s="26"/>
      <c r="L320" s="26"/>
      <c r="M320" s="26"/>
      <c r="N320" s="26"/>
      <c r="O320" s="26"/>
      <c r="P320" s="26">
        <v>0</v>
      </c>
      <c r="Q320" s="70">
        <v>0</v>
      </c>
      <c r="R320" s="26">
        <v>18</v>
      </c>
    </row>
    <row r="321" spans="1:18" x14ac:dyDescent="0.35">
      <c r="A321" s="69">
        <v>33210289</v>
      </c>
      <c r="B321" s="69" t="s">
        <v>1458</v>
      </c>
      <c r="C321" s="69" t="s">
        <v>1459</v>
      </c>
      <c r="D321" s="69">
        <v>9422413535</v>
      </c>
      <c r="E321" s="69" t="s">
        <v>1460</v>
      </c>
      <c r="F321" s="69" t="s">
        <v>1446</v>
      </c>
      <c r="G321" s="26"/>
      <c r="H321" s="26">
        <v>11</v>
      </c>
      <c r="I321" s="26"/>
      <c r="J321" s="26">
        <v>8</v>
      </c>
      <c r="K321" s="26"/>
      <c r="L321" s="26"/>
      <c r="M321" s="26"/>
      <c r="N321" s="26"/>
      <c r="O321" s="26">
        <v>1</v>
      </c>
      <c r="P321" s="26">
        <v>5</v>
      </c>
      <c r="Q321" s="70">
        <v>0</v>
      </c>
      <c r="R321" s="26">
        <v>25</v>
      </c>
    </row>
    <row r="322" spans="1:18" x14ac:dyDescent="0.35">
      <c r="A322" s="69">
        <v>34210002</v>
      </c>
      <c r="B322" s="69" t="s">
        <v>1461</v>
      </c>
      <c r="C322" s="69" t="s">
        <v>1462</v>
      </c>
      <c r="D322" s="69">
        <v>9822706916</v>
      </c>
      <c r="E322" s="69" t="s">
        <v>1463</v>
      </c>
      <c r="F322" s="69" t="s">
        <v>231</v>
      </c>
      <c r="G322" s="26">
        <v>51</v>
      </c>
      <c r="H322" s="26">
        <v>4</v>
      </c>
      <c r="I322" s="26"/>
      <c r="J322" s="26">
        <v>150</v>
      </c>
      <c r="K322" s="26">
        <v>9</v>
      </c>
      <c r="L322" s="26">
        <v>1</v>
      </c>
      <c r="M322" s="26">
        <v>30</v>
      </c>
      <c r="N322" s="26">
        <v>14</v>
      </c>
      <c r="O322" s="26">
        <v>9</v>
      </c>
      <c r="P322" s="26">
        <v>7</v>
      </c>
      <c r="Q322" s="70">
        <v>0</v>
      </c>
      <c r="R322" s="26">
        <v>275</v>
      </c>
    </row>
    <row r="323" spans="1:18" x14ac:dyDescent="0.35">
      <c r="A323" s="69">
        <v>34210004</v>
      </c>
      <c r="B323" s="69" t="s">
        <v>1464</v>
      </c>
      <c r="C323" s="69" t="s">
        <v>1465</v>
      </c>
      <c r="D323" s="69">
        <v>9822472807</v>
      </c>
      <c r="E323" s="69" t="s">
        <v>1466</v>
      </c>
      <c r="F323" s="69" t="s">
        <v>231</v>
      </c>
      <c r="G323" s="26">
        <v>72</v>
      </c>
      <c r="H323" s="26">
        <v>59</v>
      </c>
      <c r="I323" s="26">
        <v>84</v>
      </c>
      <c r="J323" s="26">
        <v>132</v>
      </c>
      <c r="K323" s="26">
        <v>32</v>
      </c>
      <c r="L323" s="26">
        <v>29</v>
      </c>
      <c r="M323" s="26">
        <v>46</v>
      </c>
      <c r="N323" s="26">
        <v>23</v>
      </c>
      <c r="O323" s="26">
        <v>17</v>
      </c>
      <c r="P323" s="26">
        <v>18</v>
      </c>
      <c r="Q323" s="70">
        <v>6</v>
      </c>
      <c r="R323" s="26">
        <v>518</v>
      </c>
    </row>
    <row r="324" spans="1:18" x14ac:dyDescent="0.35">
      <c r="A324" s="69">
        <v>34210006</v>
      </c>
      <c r="B324" s="69" t="s">
        <v>1467</v>
      </c>
      <c r="C324" s="69" t="s">
        <v>1468</v>
      </c>
      <c r="D324" s="69">
        <v>9420139130</v>
      </c>
      <c r="E324" s="69" t="s">
        <v>1469</v>
      </c>
      <c r="F324" s="69" t="s">
        <v>231</v>
      </c>
      <c r="G324" s="26">
        <v>78</v>
      </c>
      <c r="H324" s="26">
        <v>77</v>
      </c>
      <c r="I324" s="26">
        <v>60</v>
      </c>
      <c r="J324" s="26">
        <v>201</v>
      </c>
      <c r="K324" s="26">
        <v>39</v>
      </c>
      <c r="L324" s="26">
        <v>26</v>
      </c>
      <c r="M324" s="26">
        <v>26</v>
      </c>
      <c r="N324" s="26">
        <v>17</v>
      </c>
      <c r="O324" s="26">
        <v>21</v>
      </c>
      <c r="P324" s="26">
        <v>27</v>
      </c>
      <c r="Q324" s="70">
        <v>9</v>
      </c>
      <c r="R324" s="26">
        <v>581</v>
      </c>
    </row>
    <row r="325" spans="1:18" x14ac:dyDescent="0.35">
      <c r="A325" s="69">
        <v>34210007</v>
      </c>
      <c r="B325" s="69" t="s">
        <v>1470</v>
      </c>
      <c r="C325" s="69" t="s">
        <v>1471</v>
      </c>
      <c r="D325" s="69">
        <v>9890303045</v>
      </c>
      <c r="E325" s="69" t="s">
        <v>1472</v>
      </c>
      <c r="F325" s="69" t="s">
        <v>231</v>
      </c>
      <c r="G325" s="26">
        <v>11</v>
      </c>
      <c r="H325" s="26">
        <v>4</v>
      </c>
      <c r="I325" s="26">
        <v>4</v>
      </c>
      <c r="J325" s="26">
        <v>70</v>
      </c>
      <c r="K325" s="26"/>
      <c r="L325" s="26">
        <v>18</v>
      </c>
      <c r="M325" s="26">
        <v>7</v>
      </c>
      <c r="N325" s="26">
        <v>0</v>
      </c>
      <c r="O325" s="26">
        <v>5</v>
      </c>
      <c r="P325" s="26">
        <v>4</v>
      </c>
      <c r="Q325" s="70">
        <v>1</v>
      </c>
      <c r="R325" s="26">
        <v>124</v>
      </c>
    </row>
    <row r="326" spans="1:18" x14ac:dyDescent="0.35">
      <c r="A326" s="69">
        <v>34210009</v>
      </c>
      <c r="B326" s="69" t="s">
        <v>1473</v>
      </c>
      <c r="C326" s="69" t="s">
        <v>1474</v>
      </c>
      <c r="D326" s="69">
        <v>9860928015</v>
      </c>
      <c r="E326" s="69" t="s">
        <v>1475</v>
      </c>
      <c r="F326" s="69" t="s">
        <v>231</v>
      </c>
      <c r="G326" s="26">
        <v>23</v>
      </c>
      <c r="H326" s="26">
        <v>10</v>
      </c>
      <c r="I326" s="26">
        <v>12</v>
      </c>
      <c r="J326" s="26">
        <v>39</v>
      </c>
      <c r="K326" s="26">
        <v>5</v>
      </c>
      <c r="L326" s="26">
        <v>8</v>
      </c>
      <c r="M326" s="26">
        <v>21</v>
      </c>
      <c r="N326" s="26"/>
      <c r="O326" s="26">
        <v>6</v>
      </c>
      <c r="P326" s="26">
        <v>4</v>
      </c>
      <c r="Q326" s="70">
        <v>1</v>
      </c>
      <c r="R326" s="26">
        <v>129</v>
      </c>
    </row>
    <row r="327" spans="1:18" x14ac:dyDescent="0.35">
      <c r="A327" s="69">
        <v>34210010</v>
      </c>
      <c r="B327" s="69" t="s">
        <v>1476</v>
      </c>
      <c r="C327" s="69" t="s">
        <v>1477</v>
      </c>
      <c r="D327" s="69">
        <v>9822113937</v>
      </c>
      <c r="E327" s="69" t="s">
        <v>1478</v>
      </c>
      <c r="F327" s="69" t="s">
        <v>231</v>
      </c>
      <c r="G327" s="26">
        <v>8</v>
      </c>
      <c r="H327" s="26">
        <v>107</v>
      </c>
      <c r="I327" s="26">
        <v>1</v>
      </c>
      <c r="J327" s="26">
        <v>60</v>
      </c>
      <c r="K327" s="26">
        <v>19</v>
      </c>
      <c r="L327" s="26">
        <v>5</v>
      </c>
      <c r="M327" s="26">
        <v>21</v>
      </c>
      <c r="N327" s="26">
        <v>5</v>
      </c>
      <c r="O327" s="26">
        <v>21</v>
      </c>
      <c r="P327" s="26">
        <v>29</v>
      </c>
      <c r="Q327" s="70">
        <v>0</v>
      </c>
      <c r="R327" s="26">
        <v>276</v>
      </c>
    </row>
    <row r="328" spans="1:18" x14ac:dyDescent="0.35">
      <c r="A328" s="69">
        <v>34210015</v>
      </c>
      <c r="B328" s="69" t="s">
        <v>1479</v>
      </c>
      <c r="C328" s="69" t="s">
        <v>1480</v>
      </c>
      <c r="D328" s="69">
        <v>9423632918</v>
      </c>
      <c r="E328" s="69" t="s">
        <v>1481</v>
      </c>
      <c r="F328" s="69" t="s">
        <v>231</v>
      </c>
      <c r="G328" s="26">
        <v>55</v>
      </c>
      <c r="H328" s="26">
        <v>37</v>
      </c>
      <c r="I328" s="26">
        <v>73</v>
      </c>
      <c r="J328" s="26">
        <v>124</v>
      </c>
      <c r="K328" s="26">
        <v>35</v>
      </c>
      <c r="L328" s="26"/>
      <c r="M328" s="26">
        <v>15</v>
      </c>
      <c r="N328" s="26">
        <v>4</v>
      </c>
      <c r="O328" s="26"/>
      <c r="P328" s="26">
        <v>65</v>
      </c>
      <c r="Q328" s="70">
        <v>12</v>
      </c>
      <c r="R328" s="26">
        <v>420</v>
      </c>
    </row>
    <row r="329" spans="1:18" x14ac:dyDescent="0.35">
      <c r="A329" s="69">
        <v>34210054</v>
      </c>
      <c r="B329" s="69" t="s">
        <v>905</v>
      </c>
      <c r="C329" s="69" t="s">
        <v>1482</v>
      </c>
      <c r="D329" s="69">
        <v>9922992428</v>
      </c>
      <c r="E329" s="69" t="s">
        <v>1483</v>
      </c>
      <c r="F329" s="69" t="s">
        <v>231</v>
      </c>
      <c r="G329" s="26">
        <v>26</v>
      </c>
      <c r="H329" s="26">
        <v>10</v>
      </c>
      <c r="I329" s="26">
        <v>42</v>
      </c>
      <c r="J329" s="26">
        <v>77</v>
      </c>
      <c r="K329" s="26">
        <v>25</v>
      </c>
      <c r="L329" s="26">
        <v>43</v>
      </c>
      <c r="M329" s="26">
        <v>12</v>
      </c>
      <c r="N329" s="26">
        <v>7</v>
      </c>
      <c r="O329" s="26">
        <v>12</v>
      </c>
      <c r="P329" s="26">
        <v>24</v>
      </c>
      <c r="Q329" s="70">
        <v>0</v>
      </c>
      <c r="R329" s="26">
        <v>278</v>
      </c>
    </row>
    <row r="330" spans="1:18" x14ac:dyDescent="0.35">
      <c r="A330" s="69">
        <v>34210055</v>
      </c>
      <c r="B330" s="69" t="s">
        <v>586</v>
      </c>
      <c r="C330" s="69" t="s">
        <v>1484</v>
      </c>
      <c r="D330" s="69">
        <v>9422139774</v>
      </c>
      <c r="E330" s="69" t="s">
        <v>1485</v>
      </c>
      <c r="F330" s="69" t="s">
        <v>231</v>
      </c>
      <c r="G330" s="26">
        <v>5</v>
      </c>
      <c r="H330" s="26">
        <v>2</v>
      </c>
      <c r="I330" s="26">
        <v>13</v>
      </c>
      <c r="J330" s="26">
        <v>67</v>
      </c>
      <c r="K330" s="26">
        <v>14</v>
      </c>
      <c r="L330" s="26">
        <v>3</v>
      </c>
      <c r="M330" s="26">
        <v>7</v>
      </c>
      <c r="N330" s="26"/>
      <c r="O330" s="26">
        <v>9</v>
      </c>
      <c r="P330" s="26">
        <v>7</v>
      </c>
      <c r="Q330" s="70">
        <v>0</v>
      </c>
      <c r="R330" s="26">
        <v>127</v>
      </c>
    </row>
    <row r="331" spans="1:18" x14ac:dyDescent="0.35">
      <c r="A331" s="69">
        <v>34210062</v>
      </c>
      <c r="B331" s="69" t="s">
        <v>1486</v>
      </c>
      <c r="C331" s="69" t="s">
        <v>1487</v>
      </c>
      <c r="D331" s="69">
        <v>9422912990</v>
      </c>
      <c r="E331" s="69" t="s">
        <v>1488</v>
      </c>
      <c r="F331" s="69" t="s">
        <v>231</v>
      </c>
      <c r="G331" s="26">
        <v>24</v>
      </c>
      <c r="H331" s="26"/>
      <c r="I331" s="26">
        <v>13</v>
      </c>
      <c r="J331" s="26">
        <v>86</v>
      </c>
      <c r="K331" s="26">
        <v>17</v>
      </c>
      <c r="L331" s="26"/>
      <c r="M331" s="26">
        <v>10</v>
      </c>
      <c r="N331" s="26">
        <v>8</v>
      </c>
      <c r="O331" s="26">
        <v>4</v>
      </c>
      <c r="P331" s="26">
        <v>6</v>
      </c>
      <c r="Q331" s="70">
        <v>0</v>
      </c>
      <c r="R331" s="26">
        <v>168</v>
      </c>
    </row>
    <row r="332" spans="1:18" x14ac:dyDescent="0.35">
      <c r="A332" s="69">
        <v>34210069</v>
      </c>
      <c r="B332" s="69" t="s">
        <v>1489</v>
      </c>
      <c r="C332" s="69" t="s">
        <v>1490</v>
      </c>
      <c r="D332" s="69">
        <v>9422909070</v>
      </c>
      <c r="E332" s="69" t="s">
        <v>1491</v>
      </c>
      <c r="F332" s="69" t="s">
        <v>231</v>
      </c>
      <c r="G332" s="26"/>
      <c r="H332" s="26">
        <v>7</v>
      </c>
      <c r="I332" s="26">
        <v>12</v>
      </c>
      <c r="J332" s="26">
        <v>94</v>
      </c>
      <c r="K332" s="26">
        <v>21</v>
      </c>
      <c r="L332" s="26"/>
      <c r="M332" s="26">
        <v>7</v>
      </c>
      <c r="N332" s="26">
        <v>5</v>
      </c>
      <c r="O332" s="26">
        <v>1</v>
      </c>
      <c r="P332" s="26">
        <v>0</v>
      </c>
      <c r="Q332" s="70">
        <v>3</v>
      </c>
      <c r="R332" s="26">
        <v>150</v>
      </c>
    </row>
    <row r="333" spans="1:18" x14ac:dyDescent="0.35">
      <c r="A333" s="69">
        <v>34210072</v>
      </c>
      <c r="B333" s="69" t="s">
        <v>1492</v>
      </c>
      <c r="C333" s="69" t="s">
        <v>1493</v>
      </c>
      <c r="D333" s="69">
        <v>9850329574</v>
      </c>
      <c r="E333" s="69" t="s">
        <v>1494</v>
      </c>
      <c r="F333" s="69" t="s">
        <v>231</v>
      </c>
      <c r="G333" s="26">
        <v>1</v>
      </c>
      <c r="H333" s="26"/>
      <c r="I333" s="26">
        <v>4</v>
      </c>
      <c r="J333" s="26">
        <v>47</v>
      </c>
      <c r="K333" s="26">
        <v>10</v>
      </c>
      <c r="L333" s="26"/>
      <c r="M333" s="26">
        <v>7</v>
      </c>
      <c r="N333" s="26">
        <v>5</v>
      </c>
      <c r="O333" s="26">
        <v>5</v>
      </c>
      <c r="P333" s="26">
        <v>0</v>
      </c>
      <c r="Q333" s="70">
        <v>3</v>
      </c>
      <c r="R333" s="26">
        <v>82</v>
      </c>
    </row>
    <row r="334" spans="1:18" x14ac:dyDescent="0.35">
      <c r="A334" s="69">
        <v>34210090</v>
      </c>
      <c r="B334" s="69" t="s">
        <v>1495</v>
      </c>
      <c r="C334" s="69" t="s">
        <v>1496</v>
      </c>
      <c r="D334" s="69">
        <v>9637663200</v>
      </c>
      <c r="E334" s="69" t="s">
        <v>1497</v>
      </c>
      <c r="F334" s="69" t="s">
        <v>231</v>
      </c>
      <c r="G334" s="26"/>
      <c r="H334" s="26">
        <v>67</v>
      </c>
      <c r="I334" s="26">
        <v>18</v>
      </c>
      <c r="J334" s="26">
        <v>14</v>
      </c>
      <c r="K334" s="26">
        <v>15</v>
      </c>
      <c r="L334" s="26"/>
      <c r="M334" s="26">
        <v>5</v>
      </c>
      <c r="N334" s="26">
        <v>5</v>
      </c>
      <c r="O334" s="26">
        <v>4</v>
      </c>
      <c r="P334" s="26">
        <v>3</v>
      </c>
      <c r="Q334" s="70">
        <v>4</v>
      </c>
      <c r="R334" s="26">
        <v>135</v>
      </c>
    </row>
    <row r="335" spans="1:18" x14ac:dyDescent="0.35">
      <c r="A335" s="69">
        <v>34210092</v>
      </c>
      <c r="B335" s="69" t="s">
        <v>1498</v>
      </c>
      <c r="C335" s="69" t="s">
        <v>1499</v>
      </c>
      <c r="D335" s="69">
        <v>9422139547</v>
      </c>
      <c r="E335" s="69" t="s">
        <v>1500</v>
      </c>
      <c r="F335" s="69" t="s">
        <v>231</v>
      </c>
      <c r="G335" s="26">
        <v>35</v>
      </c>
      <c r="H335" s="26"/>
      <c r="I335" s="26">
        <v>52</v>
      </c>
      <c r="J335" s="26">
        <v>49</v>
      </c>
      <c r="K335" s="26">
        <v>13</v>
      </c>
      <c r="L335" s="26">
        <v>9</v>
      </c>
      <c r="M335" s="26">
        <v>16</v>
      </c>
      <c r="N335" s="26">
        <v>18</v>
      </c>
      <c r="O335" s="26">
        <v>6</v>
      </c>
      <c r="P335" s="26">
        <v>0</v>
      </c>
      <c r="Q335" s="70">
        <v>4</v>
      </c>
      <c r="R335" s="26">
        <v>202</v>
      </c>
    </row>
    <row r="336" spans="1:18" x14ac:dyDescent="0.35">
      <c r="A336" s="69">
        <v>34210095</v>
      </c>
      <c r="B336" s="69" t="s">
        <v>1501</v>
      </c>
      <c r="C336" s="69" t="s">
        <v>1502</v>
      </c>
      <c r="D336" s="69">
        <v>9890072255</v>
      </c>
      <c r="E336" s="69" t="s">
        <v>1503</v>
      </c>
      <c r="F336" s="69" t="s">
        <v>231</v>
      </c>
      <c r="G336" s="26">
        <v>36</v>
      </c>
      <c r="H336" s="26">
        <v>53</v>
      </c>
      <c r="I336" s="26">
        <v>50</v>
      </c>
      <c r="J336" s="26">
        <v>72</v>
      </c>
      <c r="K336" s="26">
        <v>9</v>
      </c>
      <c r="L336" s="26"/>
      <c r="M336" s="26">
        <v>58</v>
      </c>
      <c r="N336" s="26">
        <v>52</v>
      </c>
      <c r="O336" s="26"/>
      <c r="P336" s="26">
        <v>64</v>
      </c>
      <c r="Q336" s="70">
        <v>12</v>
      </c>
      <c r="R336" s="26">
        <v>406</v>
      </c>
    </row>
    <row r="337" spans="1:18" x14ac:dyDescent="0.35">
      <c r="A337" s="69">
        <v>34210096</v>
      </c>
      <c r="B337" s="69" t="s">
        <v>1504</v>
      </c>
      <c r="C337" s="69" t="s">
        <v>1505</v>
      </c>
      <c r="D337" s="69">
        <v>9922922477</v>
      </c>
      <c r="E337" s="69" t="s">
        <v>1506</v>
      </c>
      <c r="F337" s="69" t="s">
        <v>231</v>
      </c>
      <c r="G337" s="26">
        <v>12</v>
      </c>
      <c r="H337" s="26"/>
      <c r="I337" s="26"/>
      <c r="J337" s="26">
        <v>17</v>
      </c>
      <c r="K337" s="26">
        <v>3</v>
      </c>
      <c r="L337" s="26">
        <v>1</v>
      </c>
      <c r="M337" s="26">
        <v>1</v>
      </c>
      <c r="N337" s="26"/>
      <c r="O337" s="26"/>
      <c r="P337" s="26">
        <v>1</v>
      </c>
      <c r="Q337" s="70">
        <v>0</v>
      </c>
      <c r="R337" s="26">
        <v>35</v>
      </c>
    </row>
    <row r="338" spans="1:18" x14ac:dyDescent="0.35">
      <c r="A338" s="69">
        <v>34210098</v>
      </c>
      <c r="B338" s="69" t="s">
        <v>1507</v>
      </c>
      <c r="C338" s="69" t="s">
        <v>1508</v>
      </c>
      <c r="D338" s="69">
        <v>9766332315</v>
      </c>
      <c r="E338" s="69" t="s">
        <v>1509</v>
      </c>
      <c r="F338" s="69" t="s">
        <v>231</v>
      </c>
      <c r="G338" s="26">
        <v>15</v>
      </c>
      <c r="H338" s="26">
        <v>16</v>
      </c>
      <c r="I338" s="26">
        <v>19</v>
      </c>
      <c r="J338" s="26">
        <v>37</v>
      </c>
      <c r="K338" s="26">
        <v>35</v>
      </c>
      <c r="L338" s="26"/>
      <c r="M338" s="26">
        <v>24</v>
      </c>
      <c r="N338" s="26">
        <v>0</v>
      </c>
      <c r="O338" s="26">
        <v>15</v>
      </c>
      <c r="P338" s="26">
        <v>3</v>
      </c>
      <c r="Q338" s="70">
        <v>2</v>
      </c>
      <c r="R338" s="26">
        <v>166</v>
      </c>
    </row>
    <row r="339" spans="1:18" x14ac:dyDescent="0.35">
      <c r="A339" s="69">
        <v>34210127</v>
      </c>
      <c r="B339" s="69" t="s">
        <v>1510</v>
      </c>
      <c r="C339" s="69" t="s">
        <v>1511</v>
      </c>
      <c r="D339" s="69">
        <v>9422138318</v>
      </c>
      <c r="E339" s="69" t="s">
        <v>1512</v>
      </c>
      <c r="F339" s="69" t="s">
        <v>231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>
        <v>0</v>
      </c>
      <c r="Q339" s="70">
        <v>0</v>
      </c>
      <c r="R339" s="26">
        <v>0</v>
      </c>
    </row>
    <row r="340" spans="1:18" x14ac:dyDescent="0.35">
      <c r="A340" s="69">
        <v>34210132</v>
      </c>
      <c r="B340" s="69" t="s">
        <v>1513</v>
      </c>
      <c r="C340" s="69" t="s">
        <v>1514</v>
      </c>
      <c r="D340" s="69">
        <v>9822690712</v>
      </c>
      <c r="E340" s="69" t="s">
        <v>1515</v>
      </c>
      <c r="F340" s="69" t="s">
        <v>231</v>
      </c>
      <c r="G340" s="26">
        <v>28</v>
      </c>
      <c r="H340" s="26"/>
      <c r="I340" s="26">
        <v>3</v>
      </c>
      <c r="J340" s="26">
        <v>124</v>
      </c>
      <c r="K340" s="26">
        <v>20</v>
      </c>
      <c r="L340" s="26">
        <v>9</v>
      </c>
      <c r="M340" s="26">
        <v>7</v>
      </c>
      <c r="N340" s="26">
        <v>9</v>
      </c>
      <c r="O340" s="26">
        <v>0</v>
      </c>
      <c r="P340" s="26">
        <v>9</v>
      </c>
      <c r="Q340" s="70">
        <v>1</v>
      </c>
      <c r="R340" s="26">
        <v>210</v>
      </c>
    </row>
    <row r="341" spans="1:18" x14ac:dyDescent="0.35">
      <c r="A341" s="69">
        <v>34210136</v>
      </c>
      <c r="B341" s="69" t="s">
        <v>1516</v>
      </c>
      <c r="C341" s="69" t="s">
        <v>1517</v>
      </c>
      <c r="D341" s="69">
        <v>9881818179</v>
      </c>
      <c r="E341" s="69" t="s">
        <v>1518</v>
      </c>
      <c r="F341" s="69" t="s">
        <v>231</v>
      </c>
      <c r="G341" s="26">
        <v>24</v>
      </c>
      <c r="H341" s="26">
        <v>30</v>
      </c>
      <c r="I341" s="26">
        <v>47</v>
      </c>
      <c r="J341" s="26">
        <v>53</v>
      </c>
      <c r="K341" s="26">
        <v>10</v>
      </c>
      <c r="L341" s="26">
        <v>14</v>
      </c>
      <c r="M341" s="26">
        <v>20</v>
      </c>
      <c r="N341" s="26">
        <v>5</v>
      </c>
      <c r="O341" s="26">
        <v>23</v>
      </c>
      <c r="P341" s="26">
        <v>7</v>
      </c>
      <c r="Q341" s="70">
        <v>5</v>
      </c>
      <c r="R341" s="26">
        <v>238</v>
      </c>
    </row>
    <row r="342" spans="1:18" x14ac:dyDescent="0.35">
      <c r="A342" s="69">
        <v>35210011</v>
      </c>
      <c r="B342" s="69" t="s">
        <v>1519</v>
      </c>
      <c r="C342" s="69" t="s">
        <v>1520</v>
      </c>
      <c r="D342" s="69">
        <v>9970169216</v>
      </c>
      <c r="E342" s="69" t="s">
        <v>1521</v>
      </c>
      <c r="F342" s="69" t="s">
        <v>1522</v>
      </c>
      <c r="G342" s="26"/>
      <c r="H342" s="26"/>
      <c r="I342" s="26">
        <v>17</v>
      </c>
      <c r="J342" s="26">
        <v>12</v>
      </c>
      <c r="K342" s="26"/>
      <c r="L342" s="26">
        <v>60</v>
      </c>
      <c r="M342" s="26"/>
      <c r="N342" s="26">
        <v>16</v>
      </c>
      <c r="O342" s="26">
        <v>3</v>
      </c>
      <c r="P342" s="26">
        <v>0</v>
      </c>
      <c r="Q342" s="70">
        <v>0</v>
      </c>
      <c r="R342" s="26">
        <v>108</v>
      </c>
    </row>
    <row r="343" spans="1:18" x14ac:dyDescent="0.35">
      <c r="A343" s="69">
        <v>35210012</v>
      </c>
      <c r="B343" s="69" t="s">
        <v>1523</v>
      </c>
      <c r="C343" s="69" t="s">
        <v>1524</v>
      </c>
      <c r="D343" s="69">
        <v>9423437110</v>
      </c>
      <c r="E343" s="69" t="s">
        <v>1525</v>
      </c>
      <c r="F343" s="69" t="s">
        <v>1522</v>
      </c>
      <c r="G343" s="26">
        <v>40</v>
      </c>
      <c r="H343" s="26"/>
      <c r="I343" s="26"/>
      <c r="J343" s="26">
        <v>115</v>
      </c>
      <c r="K343" s="26"/>
      <c r="L343" s="26"/>
      <c r="M343" s="26"/>
      <c r="N343" s="26">
        <v>37</v>
      </c>
      <c r="O343" s="26">
        <v>0</v>
      </c>
      <c r="P343" s="26">
        <v>35</v>
      </c>
      <c r="Q343" s="70">
        <v>0</v>
      </c>
      <c r="R343" s="26">
        <v>227</v>
      </c>
    </row>
    <row r="344" spans="1:18" x14ac:dyDescent="0.35">
      <c r="A344" s="69">
        <v>35210014</v>
      </c>
      <c r="B344" s="69" t="s">
        <v>1526</v>
      </c>
      <c r="C344" s="69" t="s">
        <v>1527</v>
      </c>
      <c r="D344" s="69">
        <v>9422150553</v>
      </c>
      <c r="E344" s="69" t="s">
        <v>1528</v>
      </c>
      <c r="F344" s="69" t="s">
        <v>1522</v>
      </c>
      <c r="G344" s="26">
        <v>12</v>
      </c>
      <c r="H344" s="26"/>
      <c r="I344" s="26"/>
      <c r="J344" s="26">
        <v>90</v>
      </c>
      <c r="K344" s="26"/>
      <c r="L344" s="26"/>
      <c r="M344" s="26"/>
      <c r="N344" s="26">
        <v>8</v>
      </c>
      <c r="O344" s="26">
        <v>3</v>
      </c>
      <c r="P344" s="26">
        <v>26</v>
      </c>
      <c r="Q344" s="70">
        <v>1</v>
      </c>
      <c r="R344" s="26">
        <v>140</v>
      </c>
    </row>
    <row r="345" spans="1:18" x14ac:dyDescent="0.35">
      <c r="A345" s="69">
        <v>35210015</v>
      </c>
      <c r="B345" s="69" t="s">
        <v>1529</v>
      </c>
      <c r="C345" s="69" t="s">
        <v>1530</v>
      </c>
      <c r="D345" s="69">
        <v>9767549555</v>
      </c>
      <c r="E345" s="69" t="s">
        <v>1531</v>
      </c>
      <c r="F345" s="69" t="s">
        <v>1522</v>
      </c>
      <c r="G345" s="26">
        <v>78</v>
      </c>
      <c r="H345" s="26">
        <v>29</v>
      </c>
      <c r="I345" s="26">
        <v>52</v>
      </c>
      <c r="J345" s="26">
        <v>216</v>
      </c>
      <c r="K345" s="26"/>
      <c r="L345" s="26"/>
      <c r="M345" s="26">
        <v>39</v>
      </c>
      <c r="N345" s="26">
        <v>47</v>
      </c>
      <c r="O345" s="26">
        <v>0</v>
      </c>
      <c r="P345" s="26">
        <v>42</v>
      </c>
      <c r="Q345" s="70">
        <v>0</v>
      </c>
      <c r="R345" s="26">
        <v>503</v>
      </c>
    </row>
    <row r="346" spans="1:18" x14ac:dyDescent="0.35">
      <c r="A346" s="69">
        <v>35210077</v>
      </c>
      <c r="B346" s="69" t="s">
        <v>1532</v>
      </c>
      <c r="C346" s="69" t="s">
        <v>1533</v>
      </c>
      <c r="D346" s="69">
        <v>9422419414</v>
      </c>
      <c r="E346" s="69" t="s">
        <v>1534</v>
      </c>
      <c r="F346" s="69" t="s">
        <v>1522</v>
      </c>
      <c r="G346" s="26">
        <v>6</v>
      </c>
      <c r="H346" s="26">
        <v>7</v>
      </c>
      <c r="I346" s="26">
        <v>8</v>
      </c>
      <c r="J346" s="26">
        <v>23</v>
      </c>
      <c r="K346" s="26">
        <v>4</v>
      </c>
      <c r="L346" s="26"/>
      <c r="M346" s="26"/>
      <c r="N346" s="26"/>
      <c r="O346" s="26"/>
      <c r="P346" s="26">
        <v>0</v>
      </c>
      <c r="Q346" s="70">
        <v>0</v>
      </c>
      <c r="R346" s="26">
        <v>48</v>
      </c>
    </row>
    <row r="347" spans="1:18" x14ac:dyDescent="0.35">
      <c r="A347" s="69">
        <v>35210090</v>
      </c>
      <c r="B347" s="69" t="s">
        <v>1535</v>
      </c>
      <c r="C347" s="69" t="s">
        <v>1536</v>
      </c>
      <c r="D347" s="69">
        <v>9423439016</v>
      </c>
      <c r="E347" s="69" t="s">
        <v>1537</v>
      </c>
      <c r="F347" s="69" t="s">
        <v>1522</v>
      </c>
      <c r="G347" s="26">
        <v>52</v>
      </c>
      <c r="H347" s="26">
        <v>27</v>
      </c>
      <c r="I347" s="26">
        <v>54</v>
      </c>
      <c r="J347" s="26">
        <v>178</v>
      </c>
      <c r="K347" s="26">
        <v>16</v>
      </c>
      <c r="L347" s="26"/>
      <c r="M347" s="26">
        <v>51</v>
      </c>
      <c r="N347" s="26">
        <v>57</v>
      </c>
      <c r="O347" s="26">
        <v>19</v>
      </c>
      <c r="P347" s="26">
        <v>20</v>
      </c>
      <c r="Q347" s="70">
        <v>9</v>
      </c>
      <c r="R347" s="26">
        <v>483</v>
      </c>
    </row>
    <row r="348" spans="1:18" x14ac:dyDescent="0.35">
      <c r="A348" s="69">
        <v>35210196</v>
      </c>
      <c r="B348" s="69" t="s">
        <v>1538</v>
      </c>
      <c r="C348" s="69" t="s">
        <v>1539</v>
      </c>
      <c r="D348" s="69">
        <v>9595794735</v>
      </c>
      <c r="E348" s="69" t="s">
        <v>1540</v>
      </c>
      <c r="F348" s="69" t="s">
        <v>1522</v>
      </c>
      <c r="G348" s="26">
        <v>17</v>
      </c>
      <c r="H348" s="26">
        <v>11</v>
      </c>
      <c r="I348" s="26">
        <v>14</v>
      </c>
      <c r="J348" s="26">
        <v>27</v>
      </c>
      <c r="K348" s="26">
        <v>10</v>
      </c>
      <c r="L348" s="26"/>
      <c r="M348" s="26">
        <v>1</v>
      </c>
      <c r="N348" s="26">
        <v>13</v>
      </c>
      <c r="O348" s="26">
        <v>3</v>
      </c>
      <c r="P348" s="26">
        <v>4</v>
      </c>
      <c r="Q348" s="70">
        <v>0</v>
      </c>
      <c r="R348" s="26">
        <v>100</v>
      </c>
    </row>
    <row r="349" spans="1:18" x14ac:dyDescent="0.35">
      <c r="A349" s="69">
        <v>35210216</v>
      </c>
      <c r="B349" s="69" t="s">
        <v>1541</v>
      </c>
      <c r="C349" s="69" t="s">
        <v>1542</v>
      </c>
      <c r="D349" s="69">
        <v>9975324488</v>
      </c>
      <c r="E349" s="69" t="s">
        <v>1543</v>
      </c>
      <c r="F349" s="69" t="s">
        <v>1522</v>
      </c>
      <c r="G349" s="26">
        <v>56</v>
      </c>
      <c r="H349" s="26">
        <v>7</v>
      </c>
      <c r="I349" s="26">
        <v>17</v>
      </c>
      <c r="J349" s="26">
        <v>84</v>
      </c>
      <c r="K349" s="26">
        <v>19</v>
      </c>
      <c r="L349" s="26">
        <v>19</v>
      </c>
      <c r="M349" s="26">
        <v>5</v>
      </c>
      <c r="N349" s="26">
        <v>5</v>
      </c>
      <c r="O349" s="26">
        <v>13</v>
      </c>
      <c r="P349" s="26">
        <v>27</v>
      </c>
      <c r="Q349" s="70">
        <v>6</v>
      </c>
      <c r="R349" s="26">
        <v>258</v>
      </c>
    </row>
    <row r="350" spans="1:18" x14ac:dyDescent="0.35">
      <c r="A350" s="69">
        <v>36210013</v>
      </c>
      <c r="B350" s="69" t="s">
        <v>1544</v>
      </c>
      <c r="C350" s="69" t="s">
        <v>1545</v>
      </c>
      <c r="D350" s="69">
        <v>9960636798</v>
      </c>
      <c r="E350" s="69" t="s">
        <v>1546</v>
      </c>
      <c r="F350" s="69" t="s">
        <v>1547</v>
      </c>
      <c r="G350" s="26">
        <v>3</v>
      </c>
      <c r="H350" s="26">
        <v>6</v>
      </c>
      <c r="I350" s="26">
        <v>21</v>
      </c>
      <c r="J350" s="26">
        <v>59</v>
      </c>
      <c r="K350" s="26">
        <v>5</v>
      </c>
      <c r="L350" s="26"/>
      <c r="M350" s="26">
        <v>13</v>
      </c>
      <c r="N350" s="26">
        <v>3</v>
      </c>
      <c r="O350" s="26">
        <v>9</v>
      </c>
      <c r="P350" s="26">
        <v>0</v>
      </c>
      <c r="Q350" s="70">
        <v>0</v>
      </c>
      <c r="R350" s="26">
        <v>119</v>
      </c>
    </row>
    <row r="351" spans="1:18" x14ac:dyDescent="0.35">
      <c r="A351" s="69">
        <v>36210038</v>
      </c>
      <c r="B351" s="69" t="s">
        <v>1548</v>
      </c>
      <c r="C351" s="69" t="s">
        <v>1549</v>
      </c>
      <c r="D351" s="69">
        <v>9860831111</v>
      </c>
      <c r="E351" s="69" t="s">
        <v>1550</v>
      </c>
      <c r="F351" s="69" t="s">
        <v>1547</v>
      </c>
      <c r="G351" s="26">
        <v>59</v>
      </c>
      <c r="H351" s="26">
        <v>25</v>
      </c>
      <c r="I351" s="26">
        <v>242</v>
      </c>
      <c r="J351" s="26">
        <v>159</v>
      </c>
      <c r="K351" s="26">
        <v>13</v>
      </c>
      <c r="L351" s="26">
        <v>7</v>
      </c>
      <c r="M351" s="26">
        <v>25</v>
      </c>
      <c r="N351" s="26">
        <v>18</v>
      </c>
      <c r="O351" s="26">
        <v>16</v>
      </c>
      <c r="P351" s="26">
        <v>18</v>
      </c>
      <c r="Q351" s="70">
        <v>15</v>
      </c>
      <c r="R351" s="26">
        <v>597</v>
      </c>
    </row>
    <row r="352" spans="1:18" x14ac:dyDescent="0.35">
      <c r="A352" s="69">
        <v>36210108</v>
      </c>
      <c r="B352" s="69" t="s">
        <v>1551</v>
      </c>
      <c r="C352" s="69" t="s">
        <v>1552</v>
      </c>
      <c r="D352" s="69">
        <v>9960646540</v>
      </c>
      <c r="E352" s="69" t="s">
        <v>1553</v>
      </c>
      <c r="F352" s="69" t="s">
        <v>1547</v>
      </c>
      <c r="G352" s="26">
        <v>10</v>
      </c>
      <c r="H352" s="26"/>
      <c r="I352" s="26">
        <v>23</v>
      </c>
      <c r="J352" s="26">
        <v>49</v>
      </c>
      <c r="K352" s="26">
        <v>3</v>
      </c>
      <c r="L352" s="26">
        <v>4</v>
      </c>
      <c r="M352" s="26">
        <v>9</v>
      </c>
      <c r="N352" s="26">
        <v>15</v>
      </c>
      <c r="O352" s="26">
        <v>8</v>
      </c>
      <c r="P352" s="26">
        <v>0</v>
      </c>
      <c r="Q352" s="70">
        <v>7</v>
      </c>
      <c r="R352" s="26">
        <v>128</v>
      </c>
    </row>
    <row r="353" spans="1:18" x14ac:dyDescent="0.35">
      <c r="A353" s="69">
        <v>36210120</v>
      </c>
      <c r="B353" s="69" t="s">
        <v>1554</v>
      </c>
      <c r="C353" s="69" t="s">
        <v>1555</v>
      </c>
      <c r="D353" s="69">
        <v>9881666343</v>
      </c>
      <c r="E353" s="69" t="s">
        <v>1556</v>
      </c>
      <c r="F353" s="69" t="s">
        <v>1547</v>
      </c>
      <c r="G353" s="26">
        <v>8</v>
      </c>
      <c r="H353" s="26">
        <v>2</v>
      </c>
      <c r="I353" s="26">
        <v>36</v>
      </c>
      <c r="J353" s="26">
        <v>20</v>
      </c>
      <c r="K353" s="26">
        <v>10</v>
      </c>
      <c r="L353" s="26"/>
      <c r="M353" s="26">
        <v>3</v>
      </c>
      <c r="N353" s="26"/>
      <c r="O353" s="26">
        <v>0</v>
      </c>
      <c r="P353" s="26">
        <v>2</v>
      </c>
      <c r="Q353" s="70">
        <v>0</v>
      </c>
      <c r="R353" s="26">
        <v>81</v>
      </c>
    </row>
    <row r="354" spans="1:18" x14ac:dyDescent="0.35">
      <c r="A354" s="69">
        <v>36210133</v>
      </c>
      <c r="B354" s="69" t="s">
        <v>1557</v>
      </c>
      <c r="C354" s="69" t="s">
        <v>1558</v>
      </c>
      <c r="D354" s="69">
        <v>9763681143</v>
      </c>
      <c r="E354" s="69" t="s">
        <v>1559</v>
      </c>
      <c r="F354" s="69" t="s">
        <v>1547</v>
      </c>
      <c r="G354" s="26">
        <v>8</v>
      </c>
      <c r="H354" s="26"/>
      <c r="I354" s="26">
        <v>19</v>
      </c>
      <c r="J354" s="26">
        <v>81</v>
      </c>
      <c r="K354" s="26">
        <v>10</v>
      </c>
      <c r="L354" s="26">
        <v>4</v>
      </c>
      <c r="M354" s="26">
        <v>1</v>
      </c>
      <c r="N354" s="26"/>
      <c r="O354" s="26">
        <v>6</v>
      </c>
      <c r="P354" s="26">
        <v>4</v>
      </c>
      <c r="Q354" s="70">
        <v>2</v>
      </c>
      <c r="R354" s="26">
        <v>135</v>
      </c>
    </row>
    <row r="355" spans="1:18" x14ac:dyDescent="0.35">
      <c r="A355" s="69">
        <v>36210134</v>
      </c>
      <c r="B355" s="69" t="s">
        <v>1560</v>
      </c>
      <c r="C355" s="69" t="s">
        <v>1561</v>
      </c>
      <c r="D355" s="69">
        <v>9604465476</v>
      </c>
      <c r="E355" s="69" t="s">
        <v>1562</v>
      </c>
      <c r="F355" s="69" t="s">
        <v>1547</v>
      </c>
      <c r="G355" s="26"/>
      <c r="H355" s="26"/>
      <c r="I355" s="26">
        <v>37</v>
      </c>
      <c r="J355" s="26">
        <v>17</v>
      </c>
      <c r="K355" s="26">
        <v>3</v>
      </c>
      <c r="L355" s="26"/>
      <c r="M355" s="26">
        <v>3</v>
      </c>
      <c r="N355" s="26"/>
      <c r="O355" s="26"/>
      <c r="P355" s="26">
        <v>3</v>
      </c>
      <c r="Q355" s="70">
        <v>4</v>
      </c>
      <c r="R355" s="26">
        <v>67</v>
      </c>
    </row>
    <row r="356" spans="1:18" x14ac:dyDescent="0.35">
      <c r="A356" s="69">
        <v>36210135</v>
      </c>
      <c r="B356" s="69" t="s">
        <v>1342</v>
      </c>
      <c r="C356" s="69" t="s">
        <v>1563</v>
      </c>
      <c r="D356" s="69">
        <v>9766464822</v>
      </c>
      <c r="E356" s="69" t="s">
        <v>1564</v>
      </c>
      <c r="F356" s="69" t="s">
        <v>1547</v>
      </c>
      <c r="G356" s="26">
        <v>12</v>
      </c>
      <c r="H356" s="26"/>
      <c r="I356" s="26">
        <v>26</v>
      </c>
      <c r="J356" s="26">
        <v>60</v>
      </c>
      <c r="K356" s="26">
        <v>2</v>
      </c>
      <c r="L356" s="26">
        <v>7</v>
      </c>
      <c r="M356" s="26">
        <v>11</v>
      </c>
      <c r="N356" s="26">
        <v>2</v>
      </c>
      <c r="O356" s="26">
        <v>5</v>
      </c>
      <c r="P356" s="26">
        <v>13</v>
      </c>
      <c r="Q356" s="70">
        <v>2</v>
      </c>
      <c r="R356" s="26">
        <v>140</v>
      </c>
    </row>
    <row r="357" spans="1:18" x14ac:dyDescent="0.35">
      <c r="A357" s="69">
        <v>36210136</v>
      </c>
      <c r="B357" s="69" t="s">
        <v>1565</v>
      </c>
      <c r="C357" s="69" t="s">
        <v>1566</v>
      </c>
      <c r="D357" s="69">
        <v>9960464761</v>
      </c>
      <c r="E357" s="69" t="s">
        <v>1567</v>
      </c>
      <c r="F357" s="69" t="s">
        <v>1547</v>
      </c>
      <c r="G357" s="26">
        <v>9</v>
      </c>
      <c r="H357" s="26"/>
      <c r="I357" s="26"/>
      <c r="J357" s="26">
        <v>20</v>
      </c>
      <c r="K357" s="26">
        <v>3</v>
      </c>
      <c r="L357" s="26"/>
      <c r="M357" s="26"/>
      <c r="N357" s="26"/>
      <c r="O357" s="26">
        <v>11</v>
      </c>
      <c r="P357" s="26">
        <v>0</v>
      </c>
      <c r="Q357" s="70">
        <v>0</v>
      </c>
      <c r="R357" s="26">
        <v>43</v>
      </c>
    </row>
    <row r="358" spans="1:18" x14ac:dyDescent="0.35">
      <c r="A358" s="69">
        <v>36210139</v>
      </c>
      <c r="B358" s="69" t="s">
        <v>1568</v>
      </c>
      <c r="C358" s="69" t="s">
        <v>1569</v>
      </c>
      <c r="D358" s="69">
        <v>9822428502</v>
      </c>
      <c r="E358" s="69" t="s">
        <v>1570</v>
      </c>
      <c r="F358" s="69" t="s">
        <v>1547</v>
      </c>
      <c r="G358" s="26">
        <v>12</v>
      </c>
      <c r="H358" s="26"/>
      <c r="I358" s="26"/>
      <c r="J358" s="26">
        <v>53</v>
      </c>
      <c r="K358" s="26"/>
      <c r="L358" s="26"/>
      <c r="M358" s="26">
        <v>5</v>
      </c>
      <c r="N358" s="26">
        <v>14</v>
      </c>
      <c r="O358" s="26"/>
      <c r="P358" s="26">
        <v>5</v>
      </c>
      <c r="Q358" s="70">
        <v>0</v>
      </c>
      <c r="R358" s="26">
        <v>89</v>
      </c>
    </row>
    <row r="359" spans="1:18" x14ac:dyDescent="0.35">
      <c r="A359" s="69">
        <v>36210140</v>
      </c>
      <c r="B359" s="69" t="s">
        <v>1571</v>
      </c>
      <c r="C359" s="69" t="s">
        <v>1572</v>
      </c>
      <c r="D359" s="69">
        <v>9890104092</v>
      </c>
      <c r="E359" s="69" t="s">
        <v>1573</v>
      </c>
      <c r="F359" s="69" t="s">
        <v>1547</v>
      </c>
      <c r="G359" s="26"/>
      <c r="H359" s="26"/>
      <c r="I359" s="26"/>
      <c r="J359" s="26">
        <v>18</v>
      </c>
      <c r="K359" s="26"/>
      <c r="L359" s="26"/>
      <c r="M359" s="26"/>
      <c r="N359" s="26">
        <v>6</v>
      </c>
      <c r="O359" s="26"/>
      <c r="P359" s="26">
        <v>0</v>
      </c>
      <c r="Q359" s="70">
        <v>0</v>
      </c>
      <c r="R359" s="26">
        <v>24</v>
      </c>
    </row>
    <row r="360" spans="1:18" x14ac:dyDescent="0.35">
      <c r="A360" s="69">
        <v>36210141</v>
      </c>
      <c r="B360" s="69" t="s">
        <v>1574</v>
      </c>
      <c r="C360" s="69" t="s">
        <v>1575</v>
      </c>
      <c r="D360" s="69">
        <v>9527296212</v>
      </c>
      <c r="E360" s="69" t="s">
        <v>1576</v>
      </c>
      <c r="F360" s="69" t="s">
        <v>1547</v>
      </c>
      <c r="G360" s="26">
        <v>10</v>
      </c>
      <c r="H360" s="26"/>
      <c r="I360" s="26"/>
      <c r="J360" s="26">
        <v>46</v>
      </c>
      <c r="K360" s="26"/>
      <c r="L360" s="26"/>
      <c r="M360" s="26">
        <v>16</v>
      </c>
      <c r="N360" s="26">
        <v>4</v>
      </c>
      <c r="O360" s="26">
        <v>0</v>
      </c>
      <c r="P360" s="26">
        <v>12</v>
      </c>
      <c r="Q360" s="70">
        <v>4</v>
      </c>
      <c r="R360" s="26">
        <v>92</v>
      </c>
    </row>
    <row r="361" spans="1:18" x14ac:dyDescent="0.35">
      <c r="A361" s="69">
        <v>36210142</v>
      </c>
      <c r="B361" s="69" t="s">
        <v>1577</v>
      </c>
      <c r="C361" s="69" t="s">
        <v>1578</v>
      </c>
      <c r="D361" s="69">
        <v>9860888020</v>
      </c>
      <c r="E361" s="69" t="s">
        <v>1579</v>
      </c>
      <c r="F361" s="69" t="s">
        <v>1547</v>
      </c>
      <c r="G361" s="26">
        <v>11</v>
      </c>
      <c r="H361" s="26"/>
      <c r="I361" s="26"/>
      <c r="J361" s="26">
        <v>32</v>
      </c>
      <c r="K361" s="26"/>
      <c r="L361" s="26"/>
      <c r="M361" s="26">
        <v>9</v>
      </c>
      <c r="N361" s="26">
        <v>3</v>
      </c>
      <c r="O361" s="26">
        <v>2</v>
      </c>
      <c r="P361" s="26">
        <v>5</v>
      </c>
      <c r="Q361" s="70">
        <v>1</v>
      </c>
      <c r="R361" s="26">
        <v>63</v>
      </c>
    </row>
    <row r="362" spans="1:18" x14ac:dyDescent="0.35">
      <c r="A362" s="69">
        <v>36210143</v>
      </c>
      <c r="B362" s="69" t="s">
        <v>1580</v>
      </c>
      <c r="C362" s="69" t="s">
        <v>1581</v>
      </c>
      <c r="D362" s="69">
        <v>9763313232</v>
      </c>
      <c r="E362" s="69" t="s">
        <v>1582</v>
      </c>
      <c r="F362" s="69" t="s">
        <v>1547</v>
      </c>
      <c r="G362" s="26">
        <v>6</v>
      </c>
      <c r="H362" s="26"/>
      <c r="I362" s="26"/>
      <c r="J362" s="26"/>
      <c r="K362" s="26"/>
      <c r="L362" s="26"/>
      <c r="M362" s="26"/>
      <c r="N362" s="26"/>
      <c r="O362" s="26"/>
      <c r="P362" s="26">
        <v>0</v>
      </c>
      <c r="Q362" s="70">
        <v>0</v>
      </c>
      <c r="R362" s="26">
        <v>6</v>
      </c>
    </row>
    <row r="363" spans="1:18" x14ac:dyDescent="0.35">
      <c r="A363" s="69">
        <v>36210144</v>
      </c>
      <c r="B363" s="69" t="s">
        <v>1583</v>
      </c>
      <c r="C363" s="69" t="s">
        <v>1584</v>
      </c>
      <c r="D363" s="69">
        <v>9527873358</v>
      </c>
      <c r="E363" s="69" t="s">
        <v>1585</v>
      </c>
      <c r="F363" s="69" t="s">
        <v>1547</v>
      </c>
      <c r="G363" s="26">
        <v>4</v>
      </c>
      <c r="H363" s="26"/>
      <c r="I363" s="26"/>
      <c r="J363" s="26">
        <v>45</v>
      </c>
      <c r="K363" s="26"/>
      <c r="L363" s="26"/>
      <c r="M363" s="26">
        <v>0</v>
      </c>
      <c r="N363" s="26"/>
      <c r="O363" s="26">
        <v>8</v>
      </c>
      <c r="P363" s="26">
        <v>0</v>
      </c>
      <c r="Q363" s="70">
        <v>21</v>
      </c>
      <c r="R363" s="26">
        <v>78</v>
      </c>
    </row>
    <row r="364" spans="1:18" x14ac:dyDescent="0.35">
      <c r="A364" s="69">
        <v>37210001</v>
      </c>
      <c r="B364" s="69" t="s">
        <v>1586</v>
      </c>
      <c r="C364" s="69" t="s">
        <v>1587</v>
      </c>
      <c r="D364" s="69">
        <v>9850828461</v>
      </c>
      <c r="E364" s="69" t="s">
        <v>1588</v>
      </c>
      <c r="F364" s="69" t="s">
        <v>206</v>
      </c>
      <c r="G364" s="26">
        <v>43</v>
      </c>
      <c r="H364" s="26">
        <v>4</v>
      </c>
      <c r="I364" s="26">
        <v>67</v>
      </c>
      <c r="J364" s="26">
        <v>31</v>
      </c>
      <c r="K364" s="26">
        <v>11</v>
      </c>
      <c r="L364" s="26">
        <v>13</v>
      </c>
      <c r="M364" s="26">
        <v>5</v>
      </c>
      <c r="N364" s="26">
        <v>12</v>
      </c>
      <c r="O364" s="26">
        <v>6</v>
      </c>
      <c r="P364" s="26">
        <v>10</v>
      </c>
      <c r="Q364" s="70">
        <v>6</v>
      </c>
      <c r="R364" s="26">
        <v>208</v>
      </c>
    </row>
    <row r="365" spans="1:18" x14ac:dyDescent="0.35">
      <c r="A365" s="69">
        <v>37210005</v>
      </c>
      <c r="B365" s="69" t="s">
        <v>1589</v>
      </c>
      <c r="C365" s="69" t="s">
        <v>1590</v>
      </c>
      <c r="D365" s="69">
        <v>9423001930</v>
      </c>
      <c r="E365" s="69" t="s">
        <v>1591</v>
      </c>
      <c r="F365" s="69" t="s">
        <v>206</v>
      </c>
      <c r="G365" s="26">
        <v>15</v>
      </c>
      <c r="H365" s="26">
        <v>8</v>
      </c>
      <c r="I365" s="26">
        <v>9</v>
      </c>
      <c r="J365" s="26">
        <v>20</v>
      </c>
      <c r="K365" s="26">
        <v>5</v>
      </c>
      <c r="L365" s="26">
        <v>5</v>
      </c>
      <c r="M365" s="26">
        <v>9</v>
      </c>
      <c r="N365" s="26">
        <v>7</v>
      </c>
      <c r="O365" s="26">
        <v>3</v>
      </c>
      <c r="P365" s="26">
        <v>8</v>
      </c>
      <c r="Q365" s="70">
        <v>2</v>
      </c>
      <c r="R365" s="26">
        <v>91</v>
      </c>
    </row>
    <row r="366" spans="1:18" x14ac:dyDescent="0.35">
      <c r="A366" s="69">
        <v>37210017</v>
      </c>
      <c r="B366" s="69" t="s">
        <v>1592</v>
      </c>
      <c r="C366" s="69" t="s">
        <v>1593</v>
      </c>
      <c r="D366" s="69">
        <v>9823153110</v>
      </c>
      <c r="E366" s="69" t="s">
        <v>1594</v>
      </c>
      <c r="F366" s="69" t="s">
        <v>206</v>
      </c>
      <c r="G366" s="26">
        <v>4</v>
      </c>
      <c r="H366" s="26"/>
      <c r="I366" s="26">
        <v>29</v>
      </c>
      <c r="J366" s="26">
        <v>29</v>
      </c>
      <c r="K366" s="26">
        <v>8</v>
      </c>
      <c r="L366" s="26">
        <v>1</v>
      </c>
      <c r="M366" s="26">
        <v>11</v>
      </c>
      <c r="N366" s="26">
        <v>8</v>
      </c>
      <c r="O366" s="26">
        <v>4</v>
      </c>
      <c r="P366" s="26">
        <v>2</v>
      </c>
      <c r="Q366" s="70">
        <v>1</v>
      </c>
      <c r="R366" s="26">
        <v>97</v>
      </c>
    </row>
    <row r="367" spans="1:18" x14ac:dyDescent="0.35">
      <c r="A367" s="69">
        <v>37210018</v>
      </c>
      <c r="B367" s="69" t="s">
        <v>1595</v>
      </c>
      <c r="C367" s="69" t="s">
        <v>1596</v>
      </c>
      <c r="D367" s="69">
        <v>9890572250</v>
      </c>
      <c r="E367" s="69" t="s">
        <v>1597</v>
      </c>
      <c r="F367" s="69" t="s">
        <v>206</v>
      </c>
      <c r="G367" s="26"/>
      <c r="H367" s="26">
        <v>34</v>
      </c>
      <c r="I367" s="26">
        <v>58</v>
      </c>
      <c r="J367" s="26">
        <v>42</v>
      </c>
      <c r="K367" s="26">
        <v>25</v>
      </c>
      <c r="L367" s="26"/>
      <c r="M367" s="26">
        <v>16</v>
      </c>
      <c r="N367" s="26">
        <v>10</v>
      </c>
      <c r="O367" s="26">
        <v>8</v>
      </c>
      <c r="P367" s="26">
        <v>9</v>
      </c>
      <c r="Q367" s="70">
        <v>2</v>
      </c>
      <c r="R367" s="26">
        <v>204</v>
      </c>
    </row>
    <row r="368" spans="1:18" x14ac:dyDescent="0.35">
      <c r="A368" s="69">
        <v>37210028</v>
      </c>
      <c r="B368" s="69" t="s">
        <v>1598</v>
      </c>
      <c r="C368" s="69" t="s">
        <v>1599</v>
      </c>
      <c r="D368" s="69">
        <v>9822293961</v>
      </c>
      <c r="E368" s="69" t="s">
        <v>1600</v>
      </c>
      <c r="F368" s="69" t="s">
        <v>206</v>
      </c>
      <c r="G368" s="26">
        <v>32</v>
      </c>
      <c r="H368" s="26">
        <v>5</v>
      </c>
      <c r="I368" s="26">
        <v>44</v>
      </c>
      <c r="J368" s="26">
        <v>76</v>
      </c>
      <c r="K368" s="26">
        <v>40</v>
      </c>
      <c r="L368" s="26">
        <v>8</v>
      </c>
      <c r="M368" s="26">
        <v>17</v>
      </c>
      <c r="N368" s="26"/>
      <c r="O368" s="26">
        <v>13</v>
      </c>
      <c r="P368" s="26">
        <v>13</v>
      </c>
      <c r="Q368" s="70">
        <v>6</v>
      </c>
      <c r="R368" s="26">
        <v>254</v>
      </c>
    </row>
    <row r="369" spans="1:18" x14ac:dyDescent="0.35">
      <c r="A369" s="69">
        <v>37210038</v>
      </c>
      <c r="B369" s="69" t="s">
        <v>1601</v>
      </c>
      <c r="C369" s="69" t="s">
        <v>1602</v>
      </c>
      <c r="D369" s="69">
        <v>9370010070</v>
      </c>
      <c r="E369" s="69" t="s">
        <v>1603</v>
      </c>
      <c r="F369" s="69" t="s">
        <v>206</v>
      </c>
      <c r="G369" s="26"/>
      <c r="H369" s="26"/>
      <c r="I369" s="26">
        <v>10</v>
      </c>
      <c r="J369" s="26">
        <v>60</v>
      </c>
      <c r="K369" s="26"/>
      <c r="L369" s="26">
        <v>47</v>
      </c>
      <c r="M369" s="26">
        <v>1</v>
      </c>
      <c r="N369" s="26"/>
      <c r="O369" s="26">
        <v>8</v>
      </c>
      <c r="P369" s="26">
        <v>1</v>
      </c>
      <c r="Q369" s="70">
        <v>5</v>
      </c>
      <c r="R369" s="26">
        <v>132</v>
      </c>
    </row>
    <row r="370" spans="1:18" x14ac:dyDescent="0.35">
      <c r="A370" s="69">
        <v>37210048</v>
      </c>
      <c r="B370" s="69" t="s">
        <v>1604</v>
      </c>
      <c r="C370" s="69" t="s">
        <v>1605</v>
      </c>
      <c r="D370" s="69">
        <v>9890337770</v>
      </c>
      <c r="E370" s="69" t="s">
        <v>1603</v>
      </c>
      <c r="F370" s="69" t="s">
        <v>206</v>
      </c>
      <c r="G370" s="26"/>
      <c r="H370" s="26"/>
      <c r="I370" s="26">
        <v>80</v>
      </c>
      <c r="J370" s="26">
        <v>115</v>
      </c>
      <c r="K370" s="26"/>
      <c r="L370" s="26">
        <v>54</v>
      </c>
      <c r="M370" s="26">
        <v>1</v>
      </c>
      <c r="N370" s="26"/>
      <c r="O370" s="26">
        <v>0</v>
      </c>
      <c r="P370" s="26">
        <v>10</v>
      </c>
      <c r="Q370" s="70">
        <v>45</v>
      </c>
      <c r="R370" s="26">
        <v>305</v>
      </c>
    </row>
    <row r="371" spans="1:18" x14ac:dyDescent="0.35">
      <c r="A371" s="69">
        <v>37210050</v>
      </c>
      <c r="B371" s="69" t="s">
        <v>1606</v>
      </c>
      <c r="C371" s="69" t="s">
        <v>1607</v>
      </c>
      <c r="D371" s="69">
        <v>9960636220</v>
      </c>
      <c r="E371" s="69" t="s">
        <v>1608</v>
      </c>
      <c r="F371" s="69" t="s">
        <v>206</v>
      </c>
      <c r="G371" s="26">
        <v>7</v>
      </c>
      <c r="H371" s="26"/>
      <c r="I371" s="26">
        <v>10</v>
      </c>
      <c r="J371" s="26">
        <v>9</v>
      </c>
      <c r="K371" s="26">
        <v>7</v>
      </c>
      <c r="L371" s="26"/>
      <c r="M371" s="26">
        <v>3</v>
      </c>
      <c r="N371" s="26">
        <v>3</v>
      </c>
      <c r="O371" s="26">
        <v>4</v>
      </c>
      <c r="P371" s="26">
        <v>2</v>
      </c>
      <c r="Q371" s="70">
        <v>1</v>
      </c>
      <c r="R371" s="26">
        <v>46</v>
      </c>
    </row>
    <row r="372" spans="1:18" x14ac:dyDescent="0.35">
      <c r="A372" s="69">
        <v>37210061</v>
      </c>
      <c r="B372" s="69" t="s">
        <v>1609</v>
      </c>
      <c r="C372" s="69" t="s">
        <v>1610</v>
      </c>
      <c r="D372" s="69">
        <v>9561393736</v>
      </c>
      <c r="E372" s="69" t="s">
        <v>1611</v>
      </c>
      <c r="F372" s="69" t="s">
        <v>206</v>
      </c>
      <c r="G372" s="26">
        <v>17</v>
      </c>
      <c r="H372" s="26">
        <v>3</v>
      </c>
      <c r="I372" s="26">
        <v>88</v>
      </c>
      <c r="J372" s="26">
        <v>49</v>
      </c>
      <c r="K372" s="26">
        <v>6</v>
      </c>
      <c r="L372" s="26">
        <v>6</v>
      </c>
      <c r="M372" s="26">
        <v>5</v>
      </c>
      <c r="N372" s="26">
        <v>2</v>
      </c>
      <c r="O372" s="26">
        <v>2</v>
      </c>
      <c r="P372" s="26">
        <v>3</v>
      </c>
      <c r="Q372" s="70">
        <v>2</v>
      </c>
      <c r="R372" s="26">
        <v>183</v>
      </c>
    </row>
    <row r="373" spans="1:18" x14ac:dyDescent="0.35">
      <c r="A373" s="69">
        <v>37210067</v>
      </c>
      <c r="B373" s="69" t="s">
        <v>1612</v>
      </c>
      <c r="C373" s="69" t="s">
        <v>1613</v>
      </c>
      <c r="D373" s="69">
        <v>9881618601</v>
      </c>
      <c r="E373" s="69" t="s">
        <v>1614</v>
      </c>
      <c r="F373" s="69" t="s">
        <v>206</v>
      </c>
      <c r="G373" s="26"/>
      <c r="H373" s="26"/>
      <c r="I373" s="26">
        <v>11</v>
      </c>
      <c r="J373" s="26">
        <v>70</v>
      </c>
      <c r="K373" s="26">
        <v>26</v>
      </c>
      <c r="L373" s="26">
        <v>13</v>
      </c>
      <c r="M373" s="26">
        <v>11</v>
      </c>
      <c r="N373" s="26"/>
      <c r="O373" s="26">
        <v>13</v>
      </c>
      <c r="P373" s="26">
        <v>4</v>
      </c>
      <c r="Q373" s="70">
        <v>3</v>
      </c>
      <c r="R373" s="26">
        <v>151</v>
      </c>
    </row>
    <row r="374" spans="1:18" x14ac:dyDescent="0.35">
      <c r="A374" s="69">
        <v>37210071</v>
      </c>
      <c r="B374" s="69" t="s">
        <v>1615</v>
      </c>
      <c r="C374" s="69" t="s">
        <v>1616</v>
      </c>
      <c r="D374" s="69">
        <v>9689915155</v>
      </c>
      <c r="E374" s="69" t="s">
        <v>1617</v>
      </c>
      <c r="F374" s="69" t="s">
        <v>206</v>
      </c>
      <c r="G374" s="26">
        <v>26</v>
      </c>
      <c r="H374" s="26"/>
      <c r="I374" s="26">
        <v>5</v>
      </c>
      <c r="J374" s="26">
        <v>170</v>
      </c>
      <c r="K374" s="26">
        <v>39</v>
      </c>
      <c r="L374" s="26">
        <v>19</v>
      </c>
      <c r="M374" s="26">
        <v>0</v>
      </c>
      <c r="N374" s="26">
        <v>0</v>
      </c>
      <c r="O374" s="26">
        <v>38</v>
      </c>
      <c r="P374" s="26">
        <v>0</v>
      </c>
      <c r="Q374" s="70">
        <v>0</v>
      </c>
      <c r="R374" s="26">
        <v>297</v>
      </c>
    </row>
    <row r="375" spans="1:18" x14ac:dyDescent="0.35">
      <c r="A375" s="69">
        <v>37210093</v>
      </c>
      <c r="B375" s="69" t="s">
        <v>1618</v>
      </c>
      <c r="C375" s="69" t="s">
        <v>1619</v>
      </c>
      <c r="D375" s="69">
        <v>9822326000</v>
      </c>
      <c r="E375" s="69" t="s">
        <v>1620</v>
      </c>
      <c r="F375" s="69" t="s">
        <v>206</v>
      </c>
      <c r="G375" s="26">
        <v>3</v>
      </c>
      <c r="H375" s="26"/>
      <c r="I375" s="26">
        <v>3</v>
      </c>
      <c r="J375" s="26"/>
      <c r="K375" s="26"/>
      <c r="L375" s="26"/>
      <c r="M375" s="26">
        <v>7</v>
      </c>
      <c r="N375" s="26">
        <v>1</v>
      </c>
      <c r="O375" s="26">
        <v>1</v>
      </c>
      <c r="P375" s="26">
        <v>2</v>
      </c>
      <c r="Q375" s="70">
        <v>0</v>
      </c>
      <c r="R375" s="26">
        <v>17</v>
      </c>
    </row>
    <row r="376" spans="1:18" x14ac:dyDescent="0.35">
      <c r="A376" s="69">
        <v>37210097</v>
      </c>
      <c r="B376" s="69" t="s">
        <v>1621</v>
      </c>
      <c r="C376" s="69" t="s">
        <v>1622</v>
      </c>
      <c r="D376" s="69">
        <v>9922185628</v>
      </c>
      <c r="E376" s="69" t="s">
        <v>1623</v>
      </c>
      <c r="F376" s="69" t="s">
        <v>206</v>
      </c>
      <c r="G376" s="26"/>
      <c r="H376" s="26"/>
      <c r="I376" s="26"/>
      <c r="J376" s="26">
        <v>70</v>
      </c>
      <c r="K376" s="26">
        <v>15</v>
      </c>
      <c r="L376" s="26">
        <v>7</v>
      </c>
      <c r="M376" s="26">
        <v>6</v>
      </c>
      <c r="N376" s="26">
        <v>4</v>
      </c>
      <c r="O376" s="26"/>
      <c r="P376" s="26">
        <v>5</v>
      </c>
      <c r="Q376" s="70">
        <v>0</v>
      </c>
      <c r="R376" s="26">
        <v>107</v>
      </c>
    </row>
    <row r="377" spans="1:18" x14ac:dyDescent="0.35">
      <c r="A377" s="69">
        <v>37210104</v>
      </c>
      <c r="B377" s="69" t="s">
        <v>1624</v>
      </c>
      <c r="C377" s="69" t="s">
        <v>1625</v>
      </c>
      <c r="D377" s="69">
        <v>9922007311</v>
      </c>
      <c r="E377" s="69" t="s">
        <v>1626</v>
      </c>
      <c r="F377" s="69" t="s">
        <v>206</v>
      </c>
      <c r="G377" s="26"/>
      <c r="H377" s="26"/>
      <c r="I377" s="26">
        <v>5</v>
      </c>
      <c r="J377" s="26">
        <v>25</v>
      </c>
      <c r="K377" s="26"/>
      <c r="L377" s="26">
        <v>5</v>
      </c>
      <c r="M377" s="26"/>
      <c r="N377" s="26"/>
      <c r="O377" s="26"/>
      <c r="P377" s="26">
        <v>8</v>
      </c>
      <c r="Q377" s="70">
        <v>8</v>
      </c>
      <c r="R377" s="26">
        <v>51</v>
      </c>
    </row>
    <row r="378" spans="1:18" x14ac:dyDescent="0.35">
      <c r="A378" s="69">
        <v>38210001</v>
      </c>
      <c r="B378" s="69" t="s">
        <v>935</v>
      </c>
      <c r="C378" s="69" t="s">
        <v>1627</v>
      </c>
      <c r="D378" s="69">
        <v>9220709666</v>
      </c>
      <c r="E378" s="69" t="s">
        <v>1628</v>
      </c>
      <c r="F378" s="69" t="s">
        <v>1629</v>
      </c>
      <c r="G378" s="26">
        <v>12</v>
      </c>
      <c r="H378" s="26">
        <v>6</v>
      </c>
      <c r="I378" s="26">
        <v>15</v>
      </c>
      <c r="J378" s="26">
        <v>56</v>
      </c>
      <c r="K378" s="26">
        <v>25</v>
      </c>
      <c r="L378" s="26">
        <v>27</v>
      </c>
      <c r="M378" s="26">
        <v>25</v>
      </c>
      <c r="N378" s="26">
        <v>13</v>
      </c>
      <c r="O378" s="26">
        <v>6</v>
      </c>
      <c r="P378" s="26">
        <v>7</v>
      </c>
      <c r="Q378" s="70">
        <v>7</v>
      </c>
      <c r="R378" s="26">
        <v>199</v>
      </c>
    </row>
    <row r="379" spans="1:18" x14ac:dyDescent="0.35">
      <c r="A379" s="69">
        <v>38210002</v>
      </c>
      <c r="B379" s="69" t="s">
        <v>935</v>
      </c>
      <c r="C379" s="69" t="s">
        <v>1630</v>
      </c>
      <c r="D379" s="69">
        <v>9869214286</v>
      </c>
      <c r="E379" s="69" t="s">
        <v>1631</v>
      </c>
      <c r="F379" s="69" t="s">
        <v>1629</v>
      </c>
      <c r="G379" s="26">
        <v>56</v>
      </c>
      <c r="H379" s="26"/>
      <c r="I379" s="26">
        <v>50</v>
      </c>
      <c r="J379" s="26"/>
      <c r="K379" s="26">
        <v>57</v>
      </c>
      <c r="L379" s="26"/>
      <c r="M379" s="26">
        <v>38</v>
      </c>
      <c r="N379" s="26">
        <v>21</v>
      </c>
      <c r="O379" s="26">
        <v>4</v>
      </c>
      <c r="P379" s="26">
        <v>0</v>
      </c>
      <c r="Q379" s="70">
        <v>6</v>
      </c>
      <c r="R379" s="26">
        <v>232</v>
      </c>
    </row>
    <row r="380" spans="1:18" x14ac:dyDescent="0.35">
      <c r="A380" s="69">
        <v>38210003</v>
      </c>
      <c r="B380" s="69" t="s">
        <v>935</v>
      </c>
      <c r="C380" s="69" t="s">
        <v>1632</v>
      </c>
      <c r="D380" s="69">
        <v>9833712250</v>
      </c>
      <c r="E380" s="69" t="s">
        <v>1633</v>
      </c>
      <c r="F380" s="69" t="s">
        <v>1629</v>
      </c>
      <c r="G380" s="26">
        <v>42</v>
      </c>
      <c r="H380" s="26"/>
      <c r="I380" s="26">
        <v>50</v>
      </c>
      <c r="J380" s="26"/>
      <c r="K380" s="26">
        <v>52</v>
      </c>
      <c r="L380" s="26"/>
      <c r="M380" s="26">
        <v>67</v>
      </c>
      <c r="N380" s="26">
        <v>16</v>
      </c>
      <c r="O380" s="26">
        <v>31</v>
      </c>
      <c r="P380" s="26">
        <v>61</v>
      </c>
      <c r="Q380" s="70">
        <v>24</v>
      </c>
      <c r="R380" s="26">
        <v>343</v>
      </c>
    </row>
    <row r="381" spans="1:18" x14ac:dyDescent="0.35">
      <c r="A381" s="69">
        <v>38210004</v>
      </c>
      <c r="B381" s="69" t="s">
        <v>935</v>
      </c>
      <c r="C381" s="69" t="s">
        <v>1634</v>
      </c>
      <c r="D381" s="69">
        <v>9820264026</v>
      </c>
      <c r="E381" s="69" t="s">
        <v>1635</v>
      </c>
      <c r="F381" s="69" t="s">
        <v>1629</v>
      </c>
      <c r="G381" s="26">
        <v>18</v>
      </c>
      <c r="H381" s="26">
        <v>8</v>
      </c>
      <c r="I381" s="26">
        <v>66</v>
      </c>
      <c r="J381" s="26">
        <v>58</v>
      </c>
      <c r="K381" s="26">
        <v>22</v>
      </c>
      <c r="L381" s="26">
        <v>33</v>
      </c>
      <c r="M381" s="26">
        <v>27</v>
      </c>
      <c r="N381" s="26">
        <v>17</v>
      </c>
      <c r="O381" s="26">
        <v>7</v>
      </c>
      <c r="P381" s="26">
        <v>14</v>
      </c>
      <c r="Q381" s="70">
        <v>10</v>
      </c>
      <c r="R381" s="26">
        <v>280</v>
      </c>
    </row>
    <row r="382" spans="1:18" x14ac:dyDescent="0.35">
      <c r="A382" s="69">
        <v>38210017</v>
      </c>
      <c r="B382" s="69" t="s">
        <v>1636</v>
      </c>
      <c r="C382" s="69" t="s">
        <v>1637</v>
      </c>
      <c r="D382" s="69">
        <v>9869207341</v>
      </c>
      <c r="E382" s="69" t="s">
        <v>1638</v>
      </c>
      <c r="F382" s="69" t="s">
        <v>1629</v>
      </c>
      <c r="G382" s="26">
        <v>8</v>
      </c>
      <c r="H382" s="26">
        <v>4</v>
      </c>
      <c r="I382" s="26">
        <v>14</v>
      </c>
      <c r="J382" s="26">
        <v>15</v>
      </c>
      <c r="K382" s="26">
        <v>9</v>
      </c>
      <c r="L382" s="26"/>
      <c r="M382" s="26">
        <v>18</v>
      </c>
      <c r="N382" s="26"/>
      <c r="O382" s="26">
        <v>14</v>
      </c>
      <c r="P382" s="26">
        <v>2</v>
      </c>
      <c r="Q382" s="70">
        <v>0</v>
      </c>
      <c r="R382" s="26">
        <v>84</v>
      </c>
    </row>
    <row r="383" spans="1:18" x14ac:dyDescent="0.35">
      <c r="A383" s="69">
        <v>38210074</v>
      </c>
      <c r="B383" s="69" t="s">
        <v>935</v>
      </c>
      <c r="C383" s="69" t="s">
        <v>1639</v>
      </c>
      <c r="D383" s="69">
        <v>9869424621</v>
      </c>
      <c r="E383" s="69" t="s">
        <v>1640</v>
      </c>
      <c r="F383" s="69" t="s">
        <v>1629</v>
      </c>
      <c r="G383" s="26">
        <v>7</v>
      </c>
      <c r="H383" s="26"/>
      <c r="I383" s="26">
        <v>4</v>
      </c>
      <c r="J383" s="26">
        <v>4</v>
      </c>
      <c r="K383" s="26"/>
      <c r="L383" s="26">
        <v>5</v>
      </c>
      <c r="M383" s="26">
        <v>15</v>
      </c>
      <c r="N383" s="26">
        <v>9</v>
      </c>
      <c r="O383" s="26">
        <v>7</v>
      </c>
      <c r="P383" s="26">
        <v>3</v>
      </c>
      <c r="Q383" s="70">
        <v>0</v>
      </c>
      <c r="R383" s="26">
        <v>54</v>
      </c>
    </row>
    <row r="384" spans="1:18" x14ac:dyDescent="0.35">
      <c r="A384" s="69">
        <v>39210001</v>
      </c>
      <c r="B384" s="69" t="s">
        <v>1641</v>
      </c>
      <c r="C384" s="69" t="s">
        <v>1642</v>
      </c>
      <c r="D384" s="69">
        <v>9421144601</v>
      </c>
      <c r="E384" s="69" t="s">
        <v>1643</v>
      </c>
      <c r="F384" s="69" t="s">
        <v>1644</v>
      </c>
      <c r="G384" s="26">
        <v>19</v>
      </c>
      <c r="H384" s="26">
        <v>4</v>
      </c>
      <c r="I384" s="26"/>
      <c r="J384" s="26">
        <v>41</v>
      </c>
      <c r="K384" s="26">
        <v>2</v>
      </c>
      <c r="L384" s="26">
        <v>1</v>
      </c>
      <c r="M384" s="26">
        <v>16</v>
      </c>
      <c r="N384" s="26">
        <v>4</v>
      </c>
      <c r="O384" s="26">
        <v>0</v>
      </c>
      <c r="P384" s="26">
        <v>6</v>
      </c>
      <c r="Q384" s="70">
        <v>4</v>
      </c>
      <c r="R384" s="26">
        <v>97</v>
      </c>
    </row>
    <row r="385" spans="1:18" x14ac:dyDescent="0.35">
      <c r="A385" s="69">
        <v>39210002</v>
      </c>
      <c r="B385" s="69" t="s">
        <v>1645</v>
      </c>
      <c r="C385" s="69" t="s">
        <v>1646</v>
      </c>
      <c r="D385" s="69">
        <v>9422054807</v>
      </c>
      <c r="E385" s="69" t="s">
        <v>1647</v>
      </c>
      <c r="F385" s="69" t="s">
        <v>1644</v>
      </c>
      <c r="G385" s="26">
        <v>13</v>
      </c>
      <c r="H385" s="26">
        <v>8</v>
      </c>
      <c r="I385" s="26">
        <v>32</v>
      </c>
      <c r="J385" s="26">
        <v>16</v>
      </c>
      <c r="K385" s="26">
        <v>4</v>
      </c>
      <c r="L385" s="26">
        <v>12</v>
      </c>
      <c r="M385" s="26">
        <v>6</v>
      </c>
      <c r="N385" s="26">
        <v>5</v>
      </c>
      <c r="O385" s="26">
        <v>4</v>
      </c>
      <c r="P385" s="26">
        <v>11</v>
      </c>
      <c r="Q385" s="70">
        <v>3</v>
      </c>
      <c r="R385" s="26">
        <v>114</v>
      </c>
    </row>
    <row r="386" spans="1:18" x14ac:dyDescent="0.35">
      <c r="A386" s="69">
        <v>39210109</v>
      </c>
      <c r="B386" s="69" t="s">
        <v>1648</v>
      </c>
      <c r="C386" s="69" t="s">
        <v>1649</v>
      </c>
      <c r="D386" s="69">
        <v>9404444606</v>
      </c>
      <c r="E386" s="69" t="s">
        <v>1650</v>
      </c>
      <c r="F386" s="69" t="s">
        <v>1644</v>
      </c>
      <c r="G386" s="26"/>
      <c r="H386" s="26"/>
      <c r="I386" s="26">
        <v>8</v>
      </c>
      <c r="J386" s="26">
        <v>2</v>
      </c>
      <c r="K386" s="26"/>
      <c r="L386" s="26"/>
      <c r="M386" s="26">
        <v>4</v>
      </c>
      <c r="N386" s="26"/>
      <c r="O386" s="26">
        <v>1</v>
      </c>
      <c r="P386" s="26">
        <v>0</v>
      </c>
      <c r="Q386" s="70">
        <v>0</v>
      </c>
      <c r="R386" s="26">
        <v>15</v>
      </c>
    </row>
    <row r="387" spans="1:18" x14ac:dyDescent="0.35">
      <c r="A387" s="69">
        <v>42210001</v>
      </c>
      <c r="B387" s="69" t="s">
        <v>1651</v>
      </c>
      <c r="C387" s="69" t="s">
        <v>1652</v>
      </c>
      <c r="D387" s="69">
        <v>9423134779</v>
      </c>
      <c r="E387" s="69" t="s">
        <v>1653</v>
      </c>
      <c r="F387" s="69" t="s">
        <v>1654</v>
      </c>
      <c r="G387" s="26">
        <v>32</v>
      </c>
      <c r="H387" s="26">
        <v>3</v>
      </c>
      <c r="I387" s="26">
        <v>21</v>
      </c>
      <c r="J387" s="26">
        <v>14</v>
      </c>
      <c r="K387" s="26">
        <v>11</v>
      </c>
      <c r="L387" s="26"/>
      <c r="M387" s="26">
        <v>6</v>
      </c>
      <c r="N387" s="26"/>
      <c r="O387" s="26">
        <v>27</v>
      </c>
      <c r="P387" s="26">
        <v>2</v>
      </c>
      <c r="Q387" s="70">
        <v>5</v>
      </c>
      <c r="R387" s="26">
        <v>121</v>
      </c>
    </row>
    <row r="388" spans="1:18" x14ac:dyDescent="0.35">
      <c r="A388" s="69">
        <v>42210003</v>
      </c>
      <c r="B388" s="69" t="s">
        <v>1655</v>
      </c>
      <c r="C388" s="69" t="s">
        <v>1656</v>
      </c>
      <c r="D388" s="69">
        <v>9422868404</v>
      </c>
      <c r="E388" s="69" t="s">
        <v>1657</v>
      </c>
      <c r="F388" s="69" t="s">
        <v>1654</v>
      </c>
      <c r="G388" s="26">
        <v>7</v>
      </c>
      <c r="H388" s="26">
        <v>86</v>
      </c>
      <c r="I388" s="26"/>
      <c r="J388" s="26">
        <v>41</v>
      </c>
      <c r="K388" s="26">
        <v>10</v>
      </c>
      <c r="L388" s="26"/>
      <c r="M388" s="26">
        <v>11</v>
      </c>
      <c r="N388" s="26"/>
      <c r="O388" s="26">
        <v>11</v>
      </c>
      <c r="P388" s="26">
        <v>2</v>
      </c>
      <c r="Q388" s="70">
        <v>1</v>
      </c>
      <c r="R388" s="26">
        <v>169</v>
      </c>
    </row>
    <row r="389" spans="1:18" x14ac:dyDescent="0.35">
      <c r="A389" s="69">
        <v>42210004</v>
      </c>
      <c r="B389" s="69" t="s">
        <v>1658</v>
      </c>
      <c r="C389" s="69" t="s">
        <v>1659</v>
      </c>
      <c r="D389" s="69">
        <v>9890089458</v>
      </c>
      <c r="E389" s="69" t="s">
        <v>1660</v>
      </c>
      <c r="F389" s="69" t="s">
        <v>1654</v>
      </c>
      <c r="G389" s="26">
        <v>13</v>
      </c>
      <c r="H389" s="26">
        <v>3</v>
      </c>
      <c r="I389" s="26"/>
      <c r="J389" s="26">
        <v>35</v>
      </c>
      <c r="K389" s="26">
        <v>10</v>
      </c>
      <c r="L389" s="26">
        <v>6</v>
      </c>
      <c r="M389" s="26">
        <v>4</v>
      </c>
      <c r="N389" s="26"/>
      <c r="O389" s="26">
        <v>10</v>
      </c>
      <c r="P389" s="26">
        <v>8</v>
      </c>
      <c r="Q389" s="70">
        <v>2</v>
      </c>
      <c r="R389" s="26">
        <v>91</v>
      </c>
    </row>
    <row r="390" spans="1:18" x14ac:dyDescent="0.35">
      <c r="A390" s="69">
        <v>42210005</v>
      </c>
      <c r="B390" s="69" t="s">
        <v>1661</v>
      </c>
      <c r="C390" s="69" t="s">
        <v>1662</v>
      </c>
      <c r="D390" s="69">
        <v>9423625420</v>
      </c>
      <c r="E390" s="69" t="s">
        <v>1663</v>
      </c>
      <c r="F390" s="69" t="s">
        <v>1654</v>
      </c>
      <c r="G390" s="26">
        <v>18</v>
      </c>
      <c r="H390" s="26">
        <v>5</v>
      </c>
      <c r="I390" s="26">
        <v>48</v>
      </c>
      <c r="J390" s="26">
        <v>44</v>
      </c>
      <c r="K390" s="26">
        <v>15</v>
      </c>
      <c r="L390" s="26"/>
      <c r="M390" s="26">
        <v>28</v>
      </c>
      <c r="N390" s="26">
        <v>11</v>
      </c>
      <c r="O390" s="26">
        <v>13</v>
      </c>
      <c r="P390" s="26">
        <v>4</v>
      </c>
      <c r="Q390" s="70">
        <v>0</v>
      </c>
      <c r="R390" s="26">
        <v>186</v>
      </c>
    </row>
    <row r="391" spans="1:18" x14ac:dyDescent="0.35">
      <c r="A391" s="69">
        <v>42210051</v>
      </c>
      <c r="B391" s="69" t="s">
        <v>1664</v>
      </c>
      <c r="C391" s="69" t="s">
        <v>1665</v>
      </c>
      <c r="D391" s="69">
        <v>9421772689</v>
      </c>
      <c r="E391" s="69" t="s">
        <v>1666</v>
      </c>
      <c r="F391" s="69" t="s">
        <v>1654</v>
      </c>
      <c r="G391" s="26">
        <v>41</v>
      </c>
      <c r="H391" s="26"/>
      <c r="I391" s="26">
        <v>3</v>
      </c>
      <c r="J391" s="26">
        <v>58</v>
      </c>
      <c r="K391" s="26">
        <v>8</v>
      </c>
      <c r="L391" s="26">
        <v>4</v>
      </c>
      <c r="M391" s="26">
        <v>14</v>
      </c>
      <c r="N391" s="26">
        <v>15</v>
      </c>
      <c r="O391" s="26">
        <v>16</v>
      </c>
      <c r="P391" s="26">
        <v>16</v>
      </c>
      <c r="Q391" s="70">
        <v>5</v>
      </c>
      <c r="R391" s="26">
        <v>180</v>
      </c>
    </row>
    <row r="392" spans="1:18" x14ac:dyDescent="0.35">
      <c r="A392" s="69">
        <v>42210082</v>
      </c>
      <c r="B392" s="69" t="s">
        <v>1667</v>
      </c>
      <c r="C392" s="69" t="s">
        <v>1668</v>
      </c>
      <c r="D392" s="69">
        <v>9420042454</v>
      </c>
      <c r="E392" s="69" t="s">
        <v>1669</v>
      </c>
      <c r="F392" s="69" t="s">
        <v>1654</v>
      </c>
      <c r="G392" s="26">
        <v>39</v>
      </c>
      <c r="H392" s="26">
        <v>19</v>
      </c>
      <c r="I392" s="26">
        <v>51</v>
      </c>
      <c r="J392" s="26">
        <v>120</v>
      </c>
      <c r="K392" s="26">
        <v>45</v>
      </c>
      <c r="L392" s="26">
        <v>23</v>
      </c>
      <c r="M392" s="26">
        <v>41</v>
      </c>
      <c r="N392" s="26">
        <v>34</v>
      </c>
      <c r="O392" s="26">
        <v>16</v>
      </c>
      <c r="P392" s="26">
        <v>7</v>
      </c>
      <c r="Q392" s="70">
        <v>18</v>
      </c>
      <c r="R392" s="26">
        <v>413</v>
      </c>
    </row>
    <row r="393" spans="1:18" x14ac:dyDescent="0.35">
      <c r="A393" s="69">
        <v>42210090</v>
      </c>
      <c r="B393" s="69" t="s">
        <v>1670</v>
      </c>
      <c r="C393" s="69" t="s">
        <v>1671</v>
      </c>
      <c r="D393" s="69">
        <v>9881482674</v>
      </c>
      <c r="E393" s="69" t="s">
        <v>1672</v>
      </c>
      <c r="F393" s="69" t="s">
        <v>1654</v>
      </c>
      <c r="G393" s="26"/>
      <c r="H393" s="26">
        <v>24</v>
      </c>
      <c r="I393" s="26"/>
      <c r="J393" s="26">
        <v>42</v>
      </c>
      <c r="K393" s="26"/>
      <c r="L393" s="26"/>
      <c r="M393" s="26">
        <v>0</v>
      </c>
      <c r="N393" s="26"/>
      <c r="O393" s="26">
        <v>0</v>
      </c>
      <c r="P393" s="26">
        <v>0</v>
      </c>
      <c r="Q393" s="70">
        <v>0</v>
      </c>
      <c r="R393" s="26">
        <v>66</v>
      </c>
    </row>
    <row r="394" spans="1:18" x14ac:dyDescent="0.35">
      <c r="A394" s="69">
        <v>42210097</v>
      </c>
      <c r="B394" s="69" t="s">
        <v>1673</v>
      </c>
      <c r="C394" s="69" t="s">
        <v>1674</v>
      </c>
      <c r="D394" s="69">
        <v>9423612774</v>
      </c>
      <c r="E394" s="69" t="s">
        <v>1675</v>
      </c>
      <c r="F394" s="69" t="s">
        <v>1654</v>
      </c>
      <c r="G394" s="26"/>
      <c r="H394" s="26">
        <v>32</v>
      </c>
      <c r="I394" s="26"/>
      <c r="J394" s="26">
        <v>88</v>
      </c>
      <c r="K394" s="26">
        <v>18</v>
      </c>
      <c r="L394" s="26"/>
      <c r="M394" s="26">
        <v>4</v>
      </c>
      <c r="N394" s="26"/>
      <c r="O394" s="26">
        <v>9</v>
      </c>
      <c r="P394" s="26">
        <v>8</v>
      </c>
      <c r="Q394" s="70">
        <v>2</v>
      </c>
      <c r="R394" s="26">
        <v>161</v>
      </c>
    </row>
    <row r="395" spans="1:18" x14ac:dyDescent="0.35">
      <c r="A395" s="69">
        <v>42210113</v>
      </c>
      <c r="B395" s="69" t="s">
        <v>1676</v>
      </c>
      <c r="C395" s="69" t="s">
        <v>1677</v>
      </c>
      <c r="D395" s="69">
        <v>9423647956</v>
      </c>
      <c r="E395" s="69" t="s">
        <v>1678</v>
      </c>
      <c r="F395" s="69" t="s">
        <v>1654</v>
      </c>
      <c r="G395" s="26"/>
      <c r="H395" s="26">
        <v>24</v>
      </c>
      <c r="I395" s="26">
        <v>5</v>
      </c>
      <c r="J395" s="26">
        <v>56</v>
      </c>
      <c r="K395" s="26">
        <v>9</v>
      </c>
      <c r="L395" s="26"/>
      <c r="M395" s="26">
        <v>10</v>
      </c>
      <c r="N395" s="26">
        <v>0</v>
      </c>
      <c r="O395" s="26">
        <v>8</v>
      </c>
      <c r="P395" s="26">
        <v>11</v>
      </c>
      <c r="Q395" s="70">
        <v>2</v>
      </c>
      <c r="R395" s="26">
        <v>125</v>
      </c>
    </row>
    <row r="396" spans="1:18" x14ac:dyDescent="0.35">
      <c r="A396" s="69">
        <v>42210120</v>
      </c>
      <c r="B396" s="69" t="s">
        <v>1679</v>
      </c>
      <c r="C396" s="69" t="s">
        <v>1680</v>
      </c>
      <c r="D396" s="69">
        <v>9890591530</v>
      </c>
      <c r="E396" s="69" t="s">
        <v>1681</v>
      </c>
      <c r="F396" s="69" t="s">
        <v>1654</v>
      </c>
      <c r="G396" s="26"/>
      <c r="H396" s="26"/>
      <c r="I396" s="26"/>
      <c r="J396" s="26">
        <v>150</v>
      </c>
      <c r="K396" s="26"/>
      <c r="L396" s="26">
        <v>19</v>
      </c>
      <c r="M396" s="26">
        <v>16</v>
      </c>
      <c r="N396" s="26">
        <v>26</v>
      </c>
      <c r="O396" s="26">
        <v>20</v>
      </c>
      <c r="P396" s="26">
        <v>0</v>
      </c>
      <c r="Q396" s="70">
        <v>10</v>
      </c>
      <c r="R396" s="26">
        <v>241</v>
      </c>
    </row>
    <row r="397" spans="1:18" x14ac:dyDescent="0.35">
      <c r="A397" s="69">
        <v>42210127</v>
      </c>
      <c r="B397" s="69" t="s">
        <v>1682</v>
      </c>
      <c r="C397" s="69" t="s">
        <v>1683</v>
      </c>
      <c r="D397" s="69">
        <v>9922681323</v>
      </c>
      <c r="E397" s="69" t="s">
        <v>1684</v>
      </c>
      <c r="F397" s="69" t="s">
        <v>1654</v>
      </c>
      <c r="G397" s="26">
        <v>28</v>
      </c>
      <c r="H397" s="26"/>
      <c r="I397" s="26"/>
      <c r="J397" s="26">
        <v>70</v>
      </c>
      <c r="K397" s="26">
        <v>1</v>
      </c>
      <c r="L397" s="26">
        <v>11</v>
      </c>
      <c r="M397" s="26">
        <v>10</v>
      </c>
      <c r="N397" s="26"/>
      <c r="O397" s="26">
        <v>40</v>
      </c>
      <c r="P397" s="26">
        <v>11</v>
      </c>
      <c r="Q397" s="70">
        <v>0</v>
      </c>
      <c r="R397" s="26">
        <v>171</v>
      </c>
    </row>
    <row r="398" spans="1:18" x14ac:dyDescent="0.35">
      <c r="A398" s="69">
        <v>42210129</v>
      </c>
      <c r="B398" s="69" t="s">
        <v>1685</v>
      </c>
      <c r="C398" s="69" t="s">
        <v>1686</v>
      </c>
      <c r="D398" s="69">
        <v>9421702239</v>
      </c>
      <c r="E398" s="69" t="s">
        <v>1687</v>
      </c>
      <c r="F398" s="69" t="s">
        <v>1654</v>
      </c>
      <c r="G398" s="26"/>
      <c r="H398" s="26"/>
      <c r="I398" s="26"/>
      <c r="J398" s="26"/>
      <c r="K398" s="26"/>
      <c r="L398" s="26"/>
      <c r="M398" s="26"/>
      <c r="N398" s="26"/>
      <c r="O398" s="26"/>
      <c r="P398" s="26">
        <v>0</v>
      </c>
      <c r="Q398" s="70">
        <v>0</v>
      </c>
      <c r="R398" s="26">
        <v>0</v>
      </c>
    </row>
    <row r="399" spans="1:18" x14ac:dyDescent="0.35">
      <c r="A399" s="69">
        <v>43210001</v>
      </c>
      <c r="B399" s="69" t="s">
        <v>1688</v>
      </c>
      <c r="C399" s="69" t="s">
        <v>1689</v>
      </c>
      <c r="D399" s="69">
        <v>9370412879</v>
      </c>
      <c r="E399" s="69" t="s">
        <v>1690</v>
      </c>
      <c r="F399" s="69" t="s">
        <v>211</v>
      </c>
      <c r="G399" s="26"/>
      <c r="H399" s="26"/>
      <c r="I399" s="26"/>
      <c r="J399" s="26">
        <v>58</v>
      </c>
      <c r="K399" s="26"/>
      <c r="L399" s="26"/>
      <c r="M399" s="26">
        <v>40</v>
      </c>
      <c r="N399" s="26"/>
      <c r="O399" s="26"/>
      <c r="P399" s="26">
        <v>2</v>
      </c>
      <c r="Q399" s="70">
        <v>0</v>
      </c>
      <c r="R399" s="26">
        <v>100</v>
      </c>
    </row>
    <row r="400" spans="1:18" x14ac:dyDescent="0.35">
      <c r="A400" s="69">
        <v>43210003</v>
      </c>
      <c r="B400" s="69" t="s">
        <v>1691</v>
      </c>
      <c r="C400" s="69" t="s">
        <v>1692</v>
      </c>
      <c r="D400" s="69">
        <v>9881426921</v>
      </c>
      <c r="E400" s="69" t="s">
        <v>1693</v>
      </c>
      <c r="F400" s="69" t="s">
        <v>211</v>
      </c>
      <c r="G400" s="26">
        <v>54</v>
      </c>
      <c r="H400" s="26"/>
      <c r="I400" s="26"/>
      <c r="J400" s="26">
        <v>122</v>
      </c>
      <c r="K400" s="26">
        <v>20</v>
      </c>
      <c r="L400" s="26"/>
      <c r="M400" s="26">
        <v>15</v>
      </c>
      <c r="N400" s="26">
        <v>0</v>
      </c>
      <c r="O400" s="26">
        <v>18</v>
      </c>
      <c r="P400" s="26">
        <v>7</v>
      </c>
      <c r="Q400" s="70">
        <v>5</v>
      </c>
      <c r="R400" s="26">
        <v>241</v>
      </c>
    </row>
    <row r="401" spans="1:18" x14ac:dyDescent="0.35">
      <c r="A401" s="69">
        <v>43210004</v>
      </c>
      <c r="B401" s="69" t="s">
        <v>1694</v>
      </c>
      <c r="C401" s="69" t="s">
        <v>1695</v>
      </c>
      <c r="D401" s="69">
        <v>9665186733</v>
      </c>
      <c r="E401" s="69" t="s">
        <v>1696</v>
      </c>
      <c r="F401" s="69" t="s">
        <v>211</v>
      </c>
      <c r="G401" s="26">
        <v>27</v>
      </c>
      <c r="H401" s="26">
        <v>12</v>
      </c>
      <c r="I401" s="26">
        <v>10</v>
      </c>
      <c r="J401" s="26">
        <v>43</v>
      </c>
      <c r="K401" s="26">
        <v>17</v>
      </c>
      <c r="L401" s="26">
        <v>14</v>
      </c>
      <c r="M401" s="26">
        <v>7</v>
      </c>
      <c r="N401" s="26">
        <v>5</v>
      </c>
      <c r="O401" s="26">
        <v>4</v>
      </c>
      <c r="P401" s="26">
        <v>7</v>
      </c>
      <c r="Q401" s="70">
        <v>4</v>
      </c>
      <c r="R401" s="26">
        <v>150</v>
      </c>
    </row>
    <row r="402" spans="1:18" x14ac:dyDescent="0.35">
      <c r="A402" s="69">
        <v>43210006</v>
      </c>
      <c r="B402" s="69" t="s">
        <v>1697</v>
      </c>
      <c r="C402" s="69" t="s">
        <v>1698</v>
      </c>
      <c r="D402" s="69">
        <v>9370111120</v>
      </c>
      <c r="E402" s="69" t="s">
        <v>1699</v>
      </c>
      <c r="F402" s="69" t="s">
        <v>211</v>
      </c>
      <c r="G402" s="26">
        <v>18</v>
      </c>
      <c r="H402" s="26"/>
      <c r="I402" s="26"/>
      <c r="J402" s="26">
        <v>43</v>
      </c>
      <c r="K402" s="26">
        <v>15</v>
      </c>
      <c r="L402" s="26"/>
      <c r="M402" s="26">
        <v>5</v>
      </c>
      <c r="N402" s="26">
        <v>3</v>
      </c>
      <c r="O402" s="26"/>
      <c r="P402" s="26">
        <v>1</v>
      </c>
      <c r="Q402" s="70">
        <v>0</v>
      </c>
      <c r="R402" s="26">
        <v>85</v>
      </c>
    </row>
    <row r="403" spans="1:18" x14ac:dyDescent="0.35">
      <c r="A403" s="69">
        <v>43210007</v>
      </c>
      <c r="B403" s="69" t="s">
        <v>831</v>
      </c>
      <c r="C403" s="69" t="s">
        <v>1700</v>
      </c>
      <c r="D403" s="69">
        <v>9850083655</v>
      </c>
      <c r="E403" s="69" t="s">
        <v>1701</v>
      </c>
      <c r="F403" s="69" t="s">
        <v>211</v>
      </c>
      <c r="G403" s="26">
        <v>47</v>
      </c>
      <c r="H403" s="26"/>
      <c r="I403" s="26">
        <v>55</v>
      </c>
      <c r="J403" s="26">
        <v>254</v>
      </c>
      <c r="K403" s="26"/>
      <c r="L403" s="26"/>
      <c r="M403" s="26">
        <v>60</v>
      </c>
      <c r="N403" s="26">
        <v>38</v>
      </c>
      <c r="O403" s="26">
        <v>15</v>
      </c>
      <c r="P403" s="26">
        <v>29</v>
      </c>
      <c r="Q403" s="70">
        <v>30</v>
      </c>
      <c r="R403" s="26">
        <v>528</v>
      </c>
    </row>
    <row r="404" spans="1:18" x14ac:dyDescent="0.35">
      <c r="A404" s="69">
        <v>43210153</v>
      </c>
      <c r="B404" s="69" t="s">
        <v>1702</v>
      </c>
      <c r="C404" s="69" t="s">
        <v>1703</v>
      </c>
      <c r="D404" s="69">
        <v>9028023035</v>
      </c>
      <c r="E404" s="69" t="s">
        <v>1704</v>
      </c>
      <c r="F404" s="69" t="s">
        <v>211</v>
      </c>
      <c r="G404" s="26"/>
      <c r="H404" s="26"/>
      <c r="I404" s="26"/>
      <c r="J404" s="26">
        <v>9</v>
      </c>
      <c r="K404" s="26"/>
      <c r="L404" s="26"/>
      <c r="M404" s="26"/>
      <c r="N404" s="26">
        <v>0</v>
      </c>
      <c r="O404" s="26">
        <v>2</v>
      </c>
      <c r="P404" s="26">
        <v>0</v>
      </c>
      <c r="Q404" s="70">
        <v>0</v>
      </c>
      <c r="R404" s="26">
        <v>11</v>
      </c>
    </row>
    <row r="405" spans="1:18" x14ac:dyDescent="0.35">
      <c r="A405" s="69">
        <v>43210154</v>
      </c>
      <c r="B405" s="69" t="s">
        <v>1705</v>
      </c>
      <c r="C405" s="69" t="s">
        <v>1706</v>
      </c>
      <c r="D405" s="69">
        <v>9421067900</v>
      </c>
      <c r="E405" s="69" t="s">
        <v>1707</v>
      </c>
      <c r="F405" s="69" t="s">
        <v>211</v>
      </c>
      <c r="G405" s="26"/>
      <c r="H405" s="26">
        <v>45</v>
      </c>
      <c r="I405" s="26"/>
      <c r="J405" s="26">
        <v>86</v>
      </c>
      <c r="K405" s="26">
        <v>23</v>
      </c>
      <c r="L405" s="26">
        <v>7</v>
      </c>
      <c r="M405" s="26">
        <v>10</v>
      </c>
      <c r="N405" s="26">
        <v>7</v>
      </c>
      <c r="O405" s="26">
        <v>0</v>
      </c>
      <c r="P405" s="26">
        <v>12</v>
      </c>
      <c r="Q405" s="70">
        <v>3</v>
      </c>
      <c r="R405" s="26">
        <v>193</v>
      </c>
    </row>
    <row r="406" spans="1:18" x14ac:dyDescent="0.35">
      <c r="A406" s="69">
        <v>43210217</v>
      </c>
      <c r="B406" s="69" t="s">
        <v>1708</v>
      </c>
      <c r="C406" s="69" t="s">
        <v>1709</v>
      </c>
      <c r="D406" s="69">
        <v>9860646208</v>
      </c>
      <c r="E406" s="69" t="s">
        <v>1710</v>
      </c>
      <c r="F406" s="69" t="s">
        <v>211</v>
      </c>
      <c r="G406" s="26">
        <v>14</v>
      </c>
      <c r="H406" s="26">
        <v>3</v>
      </c>
      <c r="I406" s="26">
        <v>61</v>
      </c>
      <c r="J406" s="26">
        <v>28</v>
      </c>
      <c r="K406" s="26">
        <v>9</v>
      </c>
      <c r="L406" s="26">
        <v>0</v>
      </c>
      <c r="M406" s="26">
        <v>6</v>
      </c>
      <c r="N406" s="26">
        <v>7</v>
      </c>
      <c r="O406" s="26">
        <v>8</v>
      </c>
      <c r="P406" s="26">
        <v>5</v>
      </c>
      <c r="Q406" s="70">
        <v>26</v>
      </c>
      <c r="R406" s="26">
        <v>167</v>
      </c>
    </row>
    <row r="407" spans="1:18" x14ac:dyDescent="0.35">
      <c r="A407" s="69">
        <v>43210250</v>
      </c>
      <c r="B407" s="69" t="s">
        <v>1711</v>
      </c>
      <c r="C407" s="69" t="s">
        <v>1712</v>
      </c>
      <c r="D407" s="69">
        <v>8446328050</v>
      </c>
      <c r="E407" s="69" t="s">
        <v>1713</v>
      </c>
      <c r="F407" s="69" t="s">
        <v>211</v>
      </c>
      <c r="G407" s="26">
        <v>15</v>
      </c>
      <c r="H407" s="26">
        <v>3</v>
      </c>
      <c r="I407" s="26">
        <v>15</v>
      </c>
      <c r="J407" s="26">
        <v>24</v>
      </c>
      <c r="K407" s="26">
        <v>6</v>
      </c>
      <c r="L407" s="26">
        <v>3</v>
      </c>
      <c r="M407" s="26">
        <v>29</v>
      </c>
      <c r="N407" s="26">
        <v>7</v>
      </c>
      <c r="O407" s="26">
        <v>4</v>
      </c>
      <c r="P407" s="26">
        <v>10</v>
      </c>
      <c r="Q407" s="70">
        <v>48</v>
      </c>
      <c r="R407" s="26">
        <v>164</v>
      </c>
    </row>
    <row r="408" spans="1:18" x14ac:dyDescent="0.35">
      <c r="A408" s="69">
        <v>43210256</v>
      </c>
      <c r="B408" s="69" t="s">
        <v>1714</v>
      </c>
      <c r="C408" s="69" t="s">
        <v>1715</v>
      </c>
      <c r="D408" s="69">
        <v>9890959248</v>
      </c>
      <c r="E408" s="69" t="s">
        <v>1716</v>
      </c>
      <c r="F408" s="69" t="s">
        <v>211</v>
      </c>
      <c r="G408" s="26"/>
      <c r="H408" s="26">
        <v>5</v>
      </c>
      <c r="I408" s="26"/>
      <c r="J408" s="26">
        <v>13</v>
      </c>
      <c r="K408" s="26"/>
      <c r="L408" s="26"/>
      <c r="M408" s="26">
        <v>1</v>
      </c>
      <c r="N408" s="26"/>
      <c r="O408" s="26">
        <v>3</v>
      </c>
      <c r="P408" s="26">
        <v>0</v>
      </c>
      <c r="Q408" s="70">
        <v>30</v>
      </c>
      <c r="R408" s="26">
        <v>52</v>
      </c>
    </row>
    <row r="409" spans="1:18" x14ac:dyDescent="0.35">
      <c r="A409" s="69">
        <v>43210260</v>
      </c>
      <c r="B409" s="69" t="s">
        <v>1717</v>
      </c>
      <c r="C409" s="69" t="s">
        <v>1718</v>
      </c>
      <c r="D409" s="69">
        <v>9890246043</v>
      </c>
      <c r="E409" s="69" t="s">
        <v>1719</v>
      </c>
      <c r="F409" s="69" t="s">
        <v>211</v>
      </c>
      <c r="G409" s="26">
        <v>3</v>
      </c>
      <c r="H409" s="26"/>
      <c r="I409" s="26"/>
      <c r="J409" s="26">
        <v>57</v>
      </c>
      <c r="K409" s="26">
        <v>3</v>
      </c>
      <c r="L409" s="26"/>
      <c r="M409" s="26">
        <v>5</v>
      </c>
      <c r="N409" s="26">
        <v>7</v>
      </c>
      <c r="O409" s="26"/>
      <c r="P409" s="26">
        <v>5</v>
      </c>
      <c r="Q409" s="70">
        <v>22</v>
      </c>
      <c r="R409" s="26">
        <v>102</v>
      </c>
    </row>
    <row r="410" spans="1:18" x14ac:dyDescent="0.35">
      <c r="A410" s="69">
        <v>43210264</v>
      </c>
      <c r="B410" s="69" t="s">
        <v>1720</v>
      </c>
      <c r="C410" s="69" t="s">
        <v>1721</v>
      </c>
      <c r="D410" s="69">
        <v>9405240400</v>
      </c>
      <c r="E410" s="69" t="s">
        <v>1722</v>
      </c>
      <c r="F410" s="69" t="s">
        <v>211</v>
      </c>
      <c r="G410" s="26">
        <v>20</v>
      </c>
      <c r="H410" s="26"/>
      <c r="I410" s="26"/>
      <c r="J410" s="26">
        <v>72</v>
      </c>
      <c r="K410" s="26"/>
      <c r="L410" s="26"/>
      <c r="M410" s="26">
        <v>9</v>
      </c>
      <c r="N410" s="26"/>
      <c r="O410" s="26"/>
      <c r="P410" s="26">
        <v>10</v>
      </c>
      <c r="Q410" s="70">
        <v>10</v>
      </c>
      <c r="R410" s="26">
        <v>121</v>
      </c>
    </row>
    <row r="411" spans="1:18" x14ac:dyDescent="0.35">
      <c r="A411" s="69">
        <v>44210002</v>
      </c>
      <c r="B411" s="69" t="s">
        <v>1723</v>
      </c>
      <c r="C411" s="69" t="s">
        <v>1724</v>
      </c>
      <c r="D411" s="69">
        <v>9595153997</v>
      </c>
      <c r="E411" s="69" t="s">
        <v>1725</v>
      </c>
      <c r="F411" s="69" t="s">
        <v>1726</v>
      </c>
      <c r="G411" s="26">
        <v>29</v>
      </c>
      <c r="H411" s="26">
        <v>12</v>
      </c>
      <c r="I411" s="26">
        <v>62</v>
      </c>
      <c r="J411" s="26">
        <v>68</v>
      </c>
      <c r="K411" s="26">
        <v>42</v>
      </c>
      <c r="L411" s="26"/>
      <c r="M411" s="26">
        <v>21</v>
      </c>
      <c r="N411" s="26">
        <v>8</v>
      </c>
      <c r="O411" s="26">
        <v>10</v>
      </c>
      <c r="P411" s="26">
        <v>18</v>
      </c>
      <c r="Q411" s="70">
        <v>5</v>
      </c>
      <c r="R411" s="26">
        <v>275</v>
      </c>
    </row>
    <row r="412" spans="1:18" x14ac:dyDescent="0.35">
      <c r="A412" s="69">
        <v>44210020</v>
      </c>
      <c r="B412" s="69" t="s">
        <v>1727</v>
      </c>
      <c r="C412" s="69" t="s">
        <v>1728</v>
      </c>
      <c r="D412" s="69">
        <v>9822456743</v>
      </c>
      <c r="E412" s="69" t="s">
        <v>1729</v>
      </c>
      <c r="F412" s="69" t="s">
        <v>1726</v>
      </c>
      <c r="G412" s="26">
        <v>23</v>
      </c>
      <c r="H412" s="26">
        <v>28</v>
      </c>
      <c r="I412" s="26">
        <v>31</v>
      </c>
      <c r="J412" s="26">
        <v>56</v>
      </c>
      <c r="K412" s="26">
        <v>45</v>
      </c>
      <c r="L412" s="26">
        <v>30</v>
      </c>
      <c r="M412" s="26">
        <v>20</v>
      </c>
      <c r="N412" s="26">
        <v>12</v>
      </c>
      <c r="O412" s="26">
        <v>28</v>
      </c>
      <c r="P412" s="26">
        <v>22</v>
      </c>
      <c r="Q412" s="70">
        <v>13</v>
      </c>
      <c r="R412" s="26">
        <v>308</v>
      </c>
    </row>
    <row r="413" spans="1:18" x14ac:dyDescent="0.35">
      <c r="A413" s="69">
        <v>44210022</v>
      </c>
      <c r="B413" s="69" t="s">
        <v>1730</v>
      </c>
      <c r="C413" s="69" t="s">
        <v>1731</v>
      </c>
      <c r="D413" s="69">
        <v>9420620523</v>
      </c>
      <c r="E413" s="69" t="s">
        <v>1732</v>
      </c>
      <c r="F413" s="69" t="s">
        <v>1726</v>
      </c>
      <c r="G413" s="26">
        <v>42</v>
      </c>
      <c r="H413" s="26">
        <v>18</v>
      </c>
      <c r="I413" s="26">
        <v>49</v>
      </c>
      <c r="J413" s="26">
        <v>230</v>
      </c>
      <c r="K413" s="26">
        <v>87</v>
      </c>
      <c r="L413" s="26">
        <v>27</v>
      </c>
      <c r="M413" s="26">
        <v>10</v>
      </c>
      <c r="N413" s="26">
        <v>14</v>
      </c>
      <c r="O413" s="26">
        <v>35</v>
      </c>
      <c r="P413" s="26">
        <v>14</v>
      </c>
      <c r="Q413" s="70">
        <v>14</v>
      </c>
      <c r="R413" s="26">
        <v>540</v>
      </c>
    </row>
    <row r="414" spans="1:18" x14ac:dyDescent="0.35">
      <c r="A414" s="69">
        <v>44210027</v>
      </c>
      <c r="B414" s="69" t="s">
        <v>1733</v>
      </c>
      <c r="C414" s="69" t="s">
        <v>1734</v>
      </c>
      <c r="D414" s="69">
        <v>9923860262</v>
      </c>
      <c r="E414" s="69" t="s">
        <v>1735</v>
      </c>
      <c r="F414" s="69" t="s">
        <v>1726</v>
      </c>
      <c r="G414" s="26">
        <v>15</v>
      </c>
      <c r="H414" s="26">
        <v>6</v>
      </c>
      <c r="I414" s="26"/>
      <c r="J414" s="26">
        <v>78</v>
      </c>
      <c r="K414" s="26">
        <v>33</v>
      </c>
      <c r="L414" s="26"/>
      <c r="M414" s="26">
        <v>10</v>
      </c>
      <c r="N414" s="26">
        <v>5</v>
      </c>
      <c r="O414" s="26">
        <v>10</v>
      </c>
      <c r="P414" s="26">
        <v>14</v>
      </c>
      <c r="Q414" s="70">
        <v>11</v>
      </c>
      <c r="R414" s="26">
        <v>182</v>
      </c>
    </row>
    <row r="415" spans="1:18" x14ac:dyDescent="0.35">
      <c r="A415" s="69">
        <v>44210028</v>
      </c>
      <c r="B415" s="69" t="s">
        <v>1736</v>
      </c>
      <c r="C415" s="69" t="s">
        <v>1737</v>
      </c>
      <c r="D415" s="69">
        <v>9823211954</v>
      </c>
      <c r="E415" s="69" t="s">
        <v>1738</v>
      </c>
      <c r="F415" s="69" t="s">
        <v>1726</v>
      </c>
      <c r="G415" s="26">
        <v>11</v>
      </c>
      <c r="H415" s="26"/>
      <c r="I415" s="26">
        <v>5</v>
      </c>
      <c r="J415" s="26">
        <v>84</v>
      </c>
      <c r="K415" s="26"/>
      <c r="L415" s="26">
        <v>15</v>
      </c>
      <c r="M415" s="26">
        <v>4</v>
      </c>
      <c r="N415" s="26"/>
      <c r="O415" s="26">
        <v>8</v>
      </c>
      <c r="P415" s="26">
        <v>4</v>
      </c>
      <c r="Q415" s="70">
        <v>0</v>
      </c>
      <c r="R415" s="26">
        <v>131</v>
      </c>
    </row>
    <row r="416" spans="1:18" x14ac:dyDescent="0.35">
      <c r="A416" s="69">
        <v>44210033</v>
      </c>
      <c r="B416" s="69" t="s">
        <v>1739</v>
      </c>
      <c r="C416" s="69" t="s">
        <v>1740</v>
      </c>
      <c r="D416" s="69">
        <v>9420515193</v>
      </c>
      <c r="E416" s="69" t="s">
        <v>1741</v>
      </c>
      <c r="F416" s="69" t="s">
        <v>1726</v>
      </c>
      <c r="G416" s="26">
        <v>29</v>
      </c>
      <c r="H416" s="26">
        <v>8</v>
      </c>
      <c r="I416" s="26">
        <v>21</v>
      </c>
      <c r="J416" s="26">
        <v>39</v>
      </c>
      <c r="K416" s="26">
        <v>2</v>
      </c>
      <c r="L416" s="26">
        <v>5</v>
      </c>
      <c r="M416" s="26">
        <v>10</v>
      </c>
      <c r="N416" s="26"/>
      <c r="O416" s="26">
        <v>7</v>
      </c>
      <c r="P416" s="26">
        <v>5</v>
      </c>
      <c r="Q416" s="70">
        <v>3</v>
      </c>
      <c r="R416" s="26">
        <v>129</v>
      </c>
    </row>
    <row r="417" spans="1:18" x14ac:dyDescent="0.35">
      <c r="A417" s="69">
        <v>44210039</v>
      </c>
      <c r="B417" s="69" t="s">
        <v>1742</v>
      </c>
      <c r="C417" s="69" t="s">
        <v>1743</v>
      </c>
      <c r="D417" s="69">
        <v>9273302788</v>
      </c>
      <c r="E417" s="69" t="s">
        <v>1744</v>
      </c>
      <c r="F417" s="69" t="s">
        <v>1726</v>
      </c>
      <c r="G417" s="26">
        <v>7</v>
      </c>
      <c r="H417" s="26"/>
      <c r="I417" s="26"/>
      <c r="J417" s="26">
        <v>44</v>
      </c>
      <c r="K417" s="26">
        <v>11</v>
      </c>
      <c r="L417" s="26">
        <v>4</v>
      </c>
      <c r="M417" s="26">
        <v>3</v>
      </c>
      <c r="N417" s="26">
        <v>4</v>
      </c>
      <c r="O417" s="26">
        <v>2</v>
      </c>
      <c r="P417" s="26">
        <v>7</v>
      </c>
      <c r="Q417" s="70">
        <v>0</v>
      </c>
      <c r="R417" s="26">
        <v>82</v>
      </c>
    </row>
    <row r="418" spans="1:18" x14ac:dyDescent="0.35">
      <c r="A418" s="69">
        <v>44210041</v>
      </c>
      <c r="B418" s="69" t="s">
        <v>1745</v>
      </c>
      <c r="C418" s="69" t="s">
        <v>1746</v>
      </c>
      <c r="D418" s="69">
        <v>9423415828</v>
      </c>
      <c r="E418" s="69" t="s">
        <v>1747</v>
      </c>
      <c r="F418" s="69" t="s">
        <v>1726</v>
      </c>
      <c r="G418" s="26">
        <v>61</v>
      </c>
      <c r="H418" s="26">
        <v>4</v>
      </c>
      <c r="I418" s="26">
        <v>52</v>
      </c>
      <c r="J418" s="26">
        <v>76</v>
      </c>
      <c r="K418" s="26">
        <v>51</v>
      </c>
      <c r="L418" s="26">
        <v>20</v>
      </c>
      <c r="M418" s="26">
        <v>11</v>
      </c>
      <c r="N418" s="26">
        <v>19</v>
      </c>
      <c r="O418" s="26">
        <v>65</v>
      </c>
      <c r="P418" s="26">
        <v>15</v>
      </c>
      <c r="Q418" s="70">
        <v>23</v>
      </c>
      <c r="R418" s="26">
        <v>397</v>
      </c>
    </row>
    <row r="419" spans="1:18" x14ac:dyDescent="0.35">
      <c r="A419" s="69">
        <v>44210050</v>
      </c>
      <c r="B419" s="69" t="s">
        <v>1748</v>
      </c>
      <c r="C419" s="69" t="s">
        <v>1749</v>
      </c>
      <c r="D419" s="69">
        <v>9923774019</v>
      </c>
      <c r="E419" s="69" t="s">
        <v>1750</v>
      </c>
      <c r="F419" s="69" t="s">
        <v>1726</v>
      </c>
      <c r="G419" s="26">
        <v>33</v>
      </c>
      <c r="H419" s="26">
        <v>4</v>
      </c>
      <c r="I419" s="26">
        <v>31</v>
      </c>
      <c r="J419" s="26">
        <v>44</v>
      </c>
      <c r="K419" s="26">
        <v>14</v>
      </c>
      <c r="L419" s="26"/>
      <c r="M419" s="26">
        <v>17</v>
      </c>
      <c r="N419" s="26">
        <v>10</v>
      </c>
      <c r="O419" s="26">
        <v>9</v>
      </c>
      <c r="P419" s="26">
        <v>18</v>
      </c>
      <c r="Q419" s="70">
        <v>22</v>
      </c>
      <c r="R419" s="26">
        <v>202</v>
      </c>
    </row>
    <row r="420" spans="1:18" x14ac:dyDescent="0.35">
      <c r="A420" s="69">
        <v>44210059</v>
      </c>
      <c r="B420" s="69" t="s">
        <v>1751</v>
      </c>
      <c r="C420" s="69" t="s">
        <v>1752</v>
      </c>
      <c r="D420" s="69">
        <v>9422133368</v>
      </c>
      <c r="E420" s="69" t="s">
        <v>1753</v>
      </c>
      <c r="F420" s="69" t="s">
        <v>1726</v>
      </c>
      <c r="G420" s="26">
        <v>12</v>
      </c>
      <c r="H420" s="26"/>
      <c r="I420" s="26"/>
      <c r="J420" s="26">
        <v>90</v>
      </c>
      <c r="K420" s="26"/>
      <c r="L420" s="26">
        <v>39</v>
      </c>
      <c r="M420" s="26"/>
      <c r="N420" s="26">
        <v>20</v>
      </c>
      <c r="O420" s="26"/>
      <c r="P420" s="26">
        <v>7</v>
      </c>
      <c r="Q420" s="70">
        <v>3</v>
      </c>
      <c r="R420" s="26">
        <v>171</v>
      </c>
    </row>
    <row r="421" spans="1:18" x14ac:dyDescent="0.35">
      <c r="A421" s="69">
        <v>44210065</v>
      </c>
      <c r="B421" s="69" t="s">
        <v>1754</v>
      </c>
      <c r="C421" s="69" t="s">
        <v>1755</v>
      </c>
      <c r="D421" s="69">
        <v>9850318693</v>
      </c>
      <c r="E421" s="69" t="s">
        <v>1756</v>
      </c>
      <c r="F421" s="69" t="s">
        <v>1726</v>
      </c>
      <c r="G421" s="26">
        <v>40</v>
      </c>
      <c r="H421" s="26">
        <v>6</v>
      </c>
      <c r="I421" s="26">
        <v>50</v>
      </c>
      <c r="J421" s="26">
        <v>64</v>
      </c>
      <c r="K421" s="26">
        <v>36</v>
      </c>
      <c r="L421" s="26"/>
      <c r="M421" s="26">
        <v>15</v>
      </c>
      <c r="N421" s="26">
        <v>3</v>
      </c>
      <c r="O421" s="26">
        <v>19</v>
      </c>
      <c r="P421" s="26">
        <v>21</v>
      </c>
      <c r="Q421" s="70">
        <v>4</v>
      </c>
      <c r="R421" s="26">
        <v>258</v>
      </c>
    </row>
    <row r="422" spans="1:18" x14ac:dyDescent="0.35">
      <c r="A422" s="69">
        <v>44210069</v>
      </c>
      <c r="B422" s="69" t="s">
        <v>1757</v>
      </c>
      <c r="C422" s="69" t="s">
        <v>1758</v>
      </c>
      <c r="D422" s="69">
        <v>9422816495</v>
      </c>
      <c r="E422" s="69" t="s">
        <v>1759</v>
      </c>
      <c r="F422" s="69" t="s">
        <v>1726</v>
      </c>
      <c r="G422" s="26">
        <v>15</v>
      </c>
      <c r="H422" s="26">
        <v>4</v>
      </c>
      <c r="I422" s="26"/>
      <c r="J422" s="26">
        <v>38</v>
      </c>
      <c r="K422" s="26">
        <v>18</v>
      </c>
      <c r="L422" s="26">
        <v>0</v>
      </c>
      <c r="M422" s="26">
        <v>0</v>
      </c>
      <c r="N422" s="26">
        <v>16</v>
      </c>
      <c r="O422" s="26">
        <v>0</v>
      </c>
      <c r="P422" s="26">
        <v>6</v>
      </c>
      <c r="Q422" s="70">
        <v>3</v>
      </c>
      <c r="R422" s="26">
        <v>100</v>
      </c>
    </row>
    <row r="423" spans="1:18" x14ac:dyDescent="0.35">
      <c r="A423" s="69">
        <v>44210071</v>
      </c>
      <c r="B423" s="69" t="s">
        <v>1760</v>
      </c>
      <c r="C423" s="69" t="s">
        <v>1761</v>
      </c>
      <c r="D423" s="69">
        <v>8055049667</v>
      </c>
      <c r="E423" s="69" t="s">
        <v>1762</v>
      </c>
      <c r="F423" s="69" t="s">
        <v>1726</v>
      </c>
      <c r="G423" s="26"/>
      <c r="H423" s="26">
        <v>13</v>
      </c>
      <c r="I423" s="26"/>
      <c r="J423" s="26">
        <v>55</v>
      </c>
      <c r="K423" s="26">
        <v>9</v>
      </c>
      <c r="L423" s="26">
        <v>4</v>
      </c>
      <c r="M423" s="26"/>
      <c r="N423" s="26">
        <v>4</v>
      </c>
      <c r="O423" s="26">
        <v>10</v>
      </c>
      <c r="P423" s="26">
        <v>0</v>
      </c>
      <c r="Q423" s="70">
        <v>0</v>
      </c>
      <c r="R423" s="26">
        <v>95</v>
      </c>
    </row>
    <row r="424" spans="1:18" x14ac:dyDescent="0.35">
      <c r="A424" s="69">
        <v>44210083</v>
      </c>
      <c r="B424" s="69" t="s">
        <v>1763</v>
      </c>
      <c r="C424" s="69" t="s">
        <v>1764</v>
      </c>
      <c r="D424" s="69">
        <v>9370009321</v>
      </c>
      <c r="E424" s="69" t="s">
        <v>1765</v>
      </c>
      <c r="F424" s="69" t="s">
        <v>1726</v>
      </c>
      <c r="G424" s="26">
        <v>53</v>
      </c>
      <c r="H424" s="26">
        <v>27</v>
      </c>
      <c r="I424" s="26">
        <v>51</v>
      </c>
      <c r="J424" s="26">
        <v>135</v>
      </c>
      <c r="K424" s="26">
        <v>54</v>
      </c>
      <c r="L424" s="26">
        <v>20</v>
      </c>
      <c r="M424" s="26">
        <v>17</v>
      </c>
      <c r="N424" s="26">
        <v>14</v>
      </c>
      <c r="O424" s="26">
        <v>37</v>
      </c>
      <c r="P424" s="26">
        <v>58</v>
      </c>
      <c r="Q424" s="70">
        <v>5</v>
      </c>
      <c r="R424" s="26">
        <v>471</v>
      </c>
    </row>
    <row r="425" spans="1:18" x14ac:dyDescent="0.35">
      <c r="A425" s="69">
        <v>44210089</v>
      </c>
      <c r="B425" s="69" t="s">
        <v>1766</v>
      </c>
      <c r="C425" s="69" t="s">
        <v>1767</v>
      </c>
      <c r="D425" s="69">
        <v>9422147769</v>
      </c>
      <c r="E425" s="69" t="s">
        <v>1768</v>
      </c>
      <c r="F425" s="69" t="s">
        <v>1726</v>
      </c>
      <c r="G425" s="26"/>
      <c r="H425" s="26"/>
      <c r="I425" s="26"/>
      <c r="J425" s="26"/>
      <c r="K425" s="26"/>
      <c r="L425" s="26"/>
      <c r="M425" s="26"/>
      <c r="N425" s="26"/>
      <c r="O425" s="26"/>
      <c r="P425" s="26">
        <v>0</v>
      </c>
      <c r="Q425" s="70">
        <v>0</v>
      </c>
      <c r="R425" s="26">
        <v>0</v>
      </c>
    </row>
    <row r="426" spans="1:18" x14ac:dyDescent="0.35">
      <c r="A426" s="69">
        <v>44210090</v>
      </c>
      <c r="B426" s="69" t="s">
        <v>1769</v>
      </c>
      <c r="C426" s="69" t="s">
        <v>1770</v>
      </c>
      <c r="D426" s="69">
        <v>9423415828</v>
      </c>
      <c r="E426" s="69" t="s">
        <v>1771</v>
      </c>
      <c r="F426" s="69" t="s">
        <v>1726</v>
      </c>
      <c r="G426" s="26">
        <v>2</v>
      </c>
      <c r="H426" s="26"/>
      <c r="I426" s="26"/>
      <c r="J426" s="26"/>
      <c r="K426" s="26">
        <v>10</v>
      </c>
      <c r="L426" s="26"/>
      <c r="M426" s="26">
        <v>21</v>
      </c>
      <c r="N426" s="26">
        <v>3</v>
      </c>
      <c r="O426" s="26">
        <v>7</v>
      </c>
      <c r="P426" s="26">
        <v>0</v>
      </c>
      <c r="Q426" s="70">
        <v>4</v>
      </c>
      <c r="R426" s="26">
        <v>47</v>
      </c>
    </row>
    <row r="427" spans="1:18" x14ac:dyDescent="0.35">
      <c r="A427" s="69">
        <v>44210095</v>
      </c>
      <c r="B427" s="69" t="s">
        <v>1772</v>
      </c>
      <c r="C427" s="69" t="s">
        <v>1773</v>
      </c>
      <c r="D427" s="69">
        <v>9404842332</v>
      </c>
      <c r="E427" s="69" t="s">
        <v>1774</v>
      </c>
      <c r="F427" s="69" t="s">
        <v>1726</v>
      </c>
      <c r="G427" s="26">
        <v>9</v>
      </c>
      <c r="H427" s="26">
        <v>2</v>
      </c>
      <c r="I427" s="26"/>
      <c r="J427" s="26">
        <v>42</v>
      </c>
      <c r="K427" s="26">
        <v>3</v>
      </c>
      <c r="L427" s="26">
        <v>4</v>
      </c>
      <c r="M427" s="26">
        <v>7</v>
      </c>
      <c r="N427" s="26">
        <v>3</v>
      </c>
      <c r="O427" s="26">
        <v>8</v>
      </c>
      <c r="P427" s="26">
        <v>10</v>
      </c>
      <c r="Q427" s="70">
        <v>3</v>
      </c>
      <c r="R427" s="26">
        <v>91</v>
      </c>
    </row>
    <row r="428" spans="1:18" x14ac:dyDescent="0.35">
      <c r="A428" s="69">
        <v>44210097</v>
      </c>
      <c r="B428" s="69" t="s">
        <v>1775</v>
      </c>
      <c r="C428" s="69" t="s">
        <v>1776</v>
      </c>
      <c r="D428" s="69">
        <v>9423514046</v>
      </c>
      <c r="E428" s="69" t="s">
        <v>1777</v>
      </c>
      <c r="F428" s="69" t="s">
        <v>1726</v>
      </c>
      <c r="G428" s="26">
        <v>17</v>
      </c>
      <c r="H428" s="26"/>
      <c r="I428" s="26">
        <v>71</v>
      </c>
      <c r="J428" s="26"/>
      <c r="K428" s="26">
        <v>31</v>
      </c>
      <c r="L428" s="26"/>
      <c r="M428" s="26">
        <v>22</v>
      </c>
      <c r="N428" s="26"/>
      <c r="O428" s="26">
        <v>22</v>
      </c>
      <c r="P428" s="26">
        <v>13</v>
      </c>
      <c r="Q428" s="70">
        <v>7</v>
      </c>
      <c r="R428" s="26">
        <v>183</v>
      </c>
    </row>
    <row r="429" spans="1:18" x14ac:dyDescent="0.35">
      <c r="A429" s="69">
        <v>44210105</v>
      </c>
      <c r="B429" s="69" t="s">
        <v>1778</v>
      </c>
      <c r="C429" s="69" t="s">
        <v>1779</v>
      </c>
      <c r="D429" s="69">
        <v>9423376602</v>
      </c>
      <c r="E429" s="69" t="s">
        <v>1780</v>
      </c>
      <c r="F429" s="69" t="s">
        <v>1726</v>
      </c>
      <c r="G429" s="26"/>
      <c r="H429" s="26">
        <v>10</v>
      </c>
      <c r="I429" s="26">
        <v>15</v>
      </c>
      <c r="J429" s="26">
        <v>42</v>
      </c>
      <c r="K429" s="26">
        <v>10</v>
      </c>
      <c r="L429" s="26">
        <v>11</v>
      </c>
      <c r="M429" s="26">
        <v>7</v>
      </c>
      <c r="N429" s="26"/>
      <c r="O429" s="26">
        <v>7</v>
      </c>
      <c r="P429" s="26">
        <v>12</v>
      </c>
      <c r="Q429" s="70">
        <v>7</v>
      </c>
      <c r="R429" s="26">
        <v>121</v>
      </c>
    </row>
    <row r="430" spans="1:18" x14ac:dyDescent="0.35">
      <c r="A430" s="69">
        <v>44210106</v>
      </c>
      <c r="B430" s="69" t="s">
        <v>1781</v>
      </c>
      <c r="C430" s="69" t="s">
        <v>1782</v>
      </c>
      <c r="D430" s="69">
        <v>9923860300</v>
      </c>
      <c r="E430" s="69" t="s">
        <v>1783</v>
      </c>
      <c r="F430" s="69" t="s">
        <v>1726</v>
      </c>
      <c r="G430" s="26">
        <v>21</v>
      </c>
      <c r="H430" s="26">
        <v>5</v>
      </c>
      <c r="I430" s="26">
        <v>7</v>
      </c>
      <c r="J430" s="26">
        <v>105</v>
      </c>
      <c r="K430" s="26">
        <v>16</v>
      </c>
      <c r="L430" s="26"/>
      <c r="M430" s="26">
        <v>8</v>
      </c>
      <c r="N430" s="26">
        <v>6</v>
      </c>
      <c r="O430" s="26">
        <v>14</v>
      </c>
      <c r="P430" s="26">
        <v>3</v>
      </c>
      <c r="Q430" s="70">
        <v>5</v>
      </c>
      <c r="R430" s="26">
        <v>190</v>
      </c>
    </row>
    <row r="431" spans="1:18" x14ac:dyDescent="0.35">
      <c r="A431" s="69">
        <v>45210007</v>
      </c>
      <c r="B431" s="69" t="s">
        <v>1784</v>
      </c>
      <c r="C431" s="69" t="s">
        <v>1785</v>
      </c>
      <c r="D431" s="69">
        <v>9860685556</v>
      </c>
      <c r="E431" s="69" t="s">
        <v>1786</v>
      </c>
      <c r="F431" s="69" t="s">
        <v>1787</v>
      </c>
      <c r="G431" s="26">
        <v>9</v>
      </c>
      <c r="H431" s="26"/>
      <c r="I431" s="26">
        <v>41</v>
      </c>
      <c r="J431" s="26">
        <v>37</v>
      </c>
      <c r="K431" s="26">
        <v>10</v>
      </c>
      <c r="L431" s="26">
        <v>6</v>
      </c>
      <c r="M431" s="26">
        <v>8</v>
      </c>
      <c r="N431" s="26">
        <v>5</v>
      </c>
      <c r="O431" s="26">
        <v>3</v>
      </c>
      <c r="P431" s="26">
        <v>2</v>
      </c>
      <c r="Q431" s="70">
        <v>2</v>
      </c>
      <c r="R431" s="26">
        <v>123</v>
      </c>
    </row>
    <row r="432" spans="1:18" x14ac:dyDescent="0.35">
      <c r="A432" s="69">
        <v>45210008</v>
      </c>
      <c r="B432" s="69" t="s">
        <v>1788</v>
      </c>
      <c r="C432" s="69" t="s">
        <v>1789</v>
      </c>
      <c r="D432" s="69">
        <v>9423720543</v>
      </c>
      <c r="E432" s="69" t="s">
        <v>1790</v>
      </c>
      <c r="F432" s="69" t="s">
        <v>1787</v>
      </c>
      <c r="G432" s="26"/>
      <c r="H432" s="26">
        <v>20</v>
      </c>
      <c r="I432" s="26">
        <v>60</v>
      </c>
      <c r="J432" s="26">
        <v>54</v>
      </c>
      <c r="K432" s="26">
        <v>10</v>
      </c>
      <c r="L432" s="26"/>
      <c r="M432" s="26"/>
      <c r="N432" s="26">
        <v>11</v>
      </c>
      <c r="O432" s="26"/>
      <c r="P432" s="26">
        <v>2</v>
      </c>
      <c r="Q432" s="70">
        <v>6</v>
      </c>
      <c r="R432" s="26">
        <v>163</v>
      </c>
    </row>
    <row r="433" spans="1:18" x14ac:dyDescent="0.35">
      <c r="A433" s="69">
        <v>45210088</v>
      </c>
      <c r="B433" s="69" t="s">
        <v>1791</v>
      </c>
      <c r="C433" s="69" t="s">
        <v>1792</v>
      </c>
      <c r="D433" s="69">
        <v>9890487205</v>
      </c>
      <c r="E433" s="69" t="s">
        <v>1793</v>
      </c>
      <c r="F433" s="69" t="s">
        <v>1787</v>
      </c>
      <c r="G433" s="26">
        <v>26</v>
      </c>
      <c r="H433" s="26">
        <v>10</v>
      </c>
      <c r="I433" s="26">
        <v>52</v>
      </c>
      <c r="J433" s="26">
        <v>70</v>
      </c>
      <c r="K433" s="26">
        <v>22</v>
      </c>
      <c r="L433" s="26">
        <v>4</v>
      </c>
      <c r="M433" s="26">
        <v>12</v>
      </c>
      <c r="N433" s="26">
        <v>4</v>
      </c>
      <c r="O433" s="26">
        <v>2</v>
      </c>
      <c r="P433" s="26">
        <v>32</v>
      </c>
      <c r="Q433" s="70">
        <v>9</v>
      </c>
      <c r="R433" s="26">
        <v>243</v>
      </c>
    </row>
    <row r="434" spans="1:18" x14ac:dyDescent="0.35">
      <c r="A434" s="69">
        <v>45210112</v>
      </c>
      <c r="B434" s="69" t="s">
        <v>1794</v>
      </c>
      <c r="C434" s="69" t="s">
        <v>1795</v>
      </c>
      <c r="D434" s="69">
        <v>9270212610</v>
      </c>
      <c r="E434" s="69" t="s">
        <v>1796</v>
      </c>
      <c r="F434" s="69" t="s">
        <v>1787</v>
      </c>
      <c r="G434" s="26">
        <v>12</v>
      </c>
      <c r="H434" s="26">
        <v>12</v>
      </c>
      <c r="I434" s="26">
        <v>51</v>
      </c>
      <c r="J434" s="26">
        <v>60</v>
      </c>
      <c r="K434" s="26">
        <v>23</v>
      </c>
      <c r="L434" s="26">
        <v>20</v>
      </c>
      <c r="M434" s="26">
        <v>14</v>
      </c>
      <c r="N434" s="26">
        <v>15</v>
      </c>
      <c r="O434" s="26">
        <v>5</v>
      </c>
      <c r="P434" s="26">
        <v>5</v>
      </c>
      <c r="Q434" s="70">
        <v>0</v>
      </c>
      <c r="R434" s="26">
        <v>217</v>
      </c>
    </row>
    <row r="435" spans="1:18" x14ac:dyDescent="0.35">
      <c r="A435" s="69">
        <v>45210145</v>
      </c>
      <c r="B435" s="69" t="s">
        <v>1797</v>
      </c>
      <c r="C435" s="69" t="s">
        <v>1798</v>
      </c>
      <c r="D435" s="69">
        <v>9970952109</v>
      </c>
      <c r="E435" s="69" t="s">
        <v>1799</v>
      </c>
      <c r="F435" s="69" t="s">
        <v>1787</v>
      </c>
      <c r="G435" s="26">
        <v>43</v>
      </c>
      <c r="H435" s="26"/>
      <c r="I435" s="26">
        <v>90</v>
      </c>
      <c r="J435" s="26">
        <v>78</v>
      </c>
      <c r="K435" s="26">
        <v>33</v>
      </c>
      <c r="L435" s="26">
        <v>15</v>
      </c>
      <c r="M435" s="26">
        <v>9</v>
      </c>
      <c r="N435" s="26">
        <v>24</v>
      </c>
      <c r="O435" s="26">
        <v>12</v>
      </c>
      <c r="P435" s="26">
        <v>11</v>
      </c>
      <c r="Q435" s="70">
        <v>3</v>
      </c>
      <c r="R435" s="26">
        <v>318</v>
      </c>
    </row>
    <row r="436" spans="1:18" x14ac:dyDescent="0.35">
      <c r="A436" s="69">
        <v>45210166</v>
      </c>
      <c r="B436" s="69" t="s">
        <v>1800</v>
      </c>
      <c r="C436" s="69" t="s">
        <v>1801</v>
      </c>
      <c r="D436" s="69">
        <v>9730910801</v>
      </c>
      <c r="E436" s="69" t="s">
        <v>1802</v>
      </c>
      <c r="F436" s="69" t="s">
        <v>1787</v>
      </c>
      <c r="G436" s="26"/>
      <c r="H436" s="26"/>
      <c r="I436" s="26"/>
      <c r="J436" s="26">
        <v>14</v>
      </c>
      <c r="K436" s="26">
        <v>6</v>
      </c>
      <c r="L436" s="26"/>
      <c r="M436" s="26"/>
      <c r="N436" s="26"/>
      <c r="O436" s="26">
        <v>8</v>
      </c>
      <c r="P436" s="26">
        <v>0</v>
      </c>
      <c r="Q436" s="70">
        <v>0</v>
      </c>
      <c r="R436" s="26">
        <v>28</v>
      </c>
    </row>
    <row r="437" spans="1:18" x14ac:dyDescent="0.35">
      <c r="A437" s="69">
        <v>45210199</v>
      </c>
      <c r="B437" s="69" t="s">
        <v>1803</v>
      </c>
      <c r="C437" s="69" t="s">
        <v>1804</v>
      </c>
      <c r="D437" s="69">
        <v>9145505510</v>
      </c>
      <c r="E437" s="69" t="s">
        <v>1805</v>
      </c>
      <c r="F437" s="69" t="s">
        <v>1787</v>
      </c>
      <c r="G437" s="26"/>
      <c r="H437" s="26"/>
      <c r="I437" s="26"/>
      <c r="J437" s="26"/>
      <c r="K437" s="26">
        <v>19</v>
      </c>
      <c r="L437" s="26">
        <v>7</v>
      </c>
      <c r="M437" s="26">
        <v>7</v>
      </c>
      <c r="N437" s="26"/>
      <c r="O437" s="26"/>
      <c r="P437" s="26">
        <v>0</v>
      </c>
      <c r="Q437" s="70">
        <v>0</v>
      </c>
      <c r="R437" s="26">
        <v>33</v>
      </c>
    </row>
    <row r="438" spans="1:18" x14ac:dyDescent="0.35">
      <c r="A438" s="69">
        <v>45210221</v>
      </c>
      <c r="B438" s="69" t="s">
        <v>1806</v>
      </c>
      <c r="C438" s="69" t="s">
        <v>1807</v>
      </c>
      <c r="D438" s="69">
        <v>9850104645</v>
      </c>
      <c r="E438" s="69" t="s">
        <v>1808</v>
      </c>
      <c r="F438" s="69" t="s">
        <v>1787</v>
      </c>
      <c r="G438" s="26">
        <v>12</v>
      </c>
      <c r="H438" s="26">
        <v>3</v>
      </c>
      <c r="I438" s="26">
        <v>9</v>
      </c>
      <c r="J438" s="26">
        <v>93</v>
      </c>
      <c r="K438" s="26">
        <v>33</v>
      </c>
      <c r="L438" s="26">
        <v>4</v>
      </c>
      <c r="M438" s="26">
        <v>8</v>
      </c>
      <c r="N438" s="26">
        <v>10</v>
      </c>
      <c r="O438" s="26">
        <v>12</v>
      </c>
      <c r="P438" s="26">
        <v>12</v>
      </c>
      <c r="Q438" s="70">
        <v>3</v>
      </c>
      <c r="R438" s="26">
        <v>199</v>
      </c>
    </row>
    <row r="439" spans="1:18" x14ac:dyDescent="0.35">
      <c r="A439" s="69">
        <v>46210008</v>
      </c>
      <c r="B439" s="69" t="s">
        <v>1809</v>
      </c>
      <c r="C439" s="69" t="s">
        <v>1810</v>
      </c>
      <c r="D439" s="69">
        <v>7350687111</v>
      </c>
      <c r="E439" s="69" t="s">
        <v>1811</v>
      </c>
      <c r="F439" s="69" t="s">
        <v>1812</v>
      </c>
      <c r="G439" s="26"/>
      <c r="H439" s="26"/>
      <c r="I439" s="26"/>
      <c r="J439" s="26">
        <v>94</v>
      </c>
      <c r="K439" s="26"/>
      <c r="L439" s="26">
        <v>15</v>
      </c>
      <c r="M439" s="26">
        <v>11</v>
      </c>
      <c r="N439" s="26">
        <v>5</v>
      </c>
      <c r="O439" s="26">
        <v>7</v>
      </c>
      <c r="P439" s="26">
        <v>0</v>
      </c>
      <c r="Q439" s="70">
        <v>3</v>
      </c>
      <c r="R439" s="26">
        <v>135</v>
      </c>
    </row>
    <row r="440" spans="1:18" x14ac:dyDescent="0.35">
      <c r="A440" s="69">
        <v>46210009</v>
      </c>
      <c r="B440" s="69" t="s">
        <v>1813</v>
      </c>
      <c r="C440" s="69" t="s">
        <v>1814</v>
      </c>
      <c r="D440" s="69">
        <v>9422410705</v>
      </c>
      <c r="E440" s="69" t="s">
        <v>1815</v>
      </c>
      <c r="F440" s="69" t="s">
        <v>1812</v>
      </c>
      <c r="G440" s="26"/>
      <c r="H440" s="26">
        <v>26</v>
      </c>
      <c r="I440" s="26"/>
      <c r="J440" s="26">
        <v>77</v>
      </c>
      <c r="K440" s="26"/>
      <c r="L440" s="26">
        <v>16</v>
      </c>
      <c r="M440" s="26"/>
      <c r="N440" s="26">
        <v>15</v>
      </c>
      <c r="O440" s="26"/>
      <c r="P440" s="26">
        <v>11</v>
      </c>
      <c r="Q440" s="70">
        <v>0</v>
      </c>
      <c r="R440" s="26">
        <v>145</v>
      </c>
    </row>
    <row r="441" spans="1:18" x14ac:dyDescent="0.35">
      <c r="A441" s="69">
        <v>46210010</v>
      </c>
      <c r="B441" s="69" t="s">
        <v>1816</v>
      </c>
      <c r="C441" s="69" t="s">
        <v>1817</v>
      </c>
      <c r="D441" s="69">
        <v>9226493980</v>
      </c>
      <c r="E441" s="69" t="s">
        <v>1818</v>
      </c>
      <c r="F441" s="69" t="s">
        <v>1812</v>
      </c>
      <c r="G441" s="26"/>
      <c r="H441" s="26">
        <v>3</v>
      </c>
      <c r="I441" s="26">
        <v>2</v>
      </c>
      <c r="J441" s="26">
        <v>41</v>
      </c>
      <c r="K441" s="26">
        <v>6</v>
      </c>
      <c r="L441" s="26"/>
      <c r="M441" s="26">
        <v>1</v>
      </c>
      <c r="N441" s="26">
        <v>3</v>
      </c>
      <c r="O441" s="26">
        <v>3</v>
      </c>
      <c r="P441" s="26">
        <v>2</v>
      </c>
      <c r="Q441" s="70">
        <v>0</v>
      </c>
      <c r="R441" s="26">
        <v>61</v>
      </c>
    </row>
    <row r="442" spans="1:18" x14ac:dyDescent="0.35">
      <c r="A442" s="69">
        <v>46210011</v>
      </c>
      <c r="B442" s="69" t="s">
        <v>1819</v>
      </c>
      <c r="C442" s="69" t="s">
        <v>1820</v>
      </c>
      <c r="D442" s="69">
        <v>9822524295</v>
      </c>
      <c r="E442" s="69" t="s">
        <v>1821</v>
      </c>
      <c r="F442" s="69" t="s">
        <v>1812</v>
      </c>
      <c r="G442" s="26">
        <v>17</v>
      </c>
      <c r="H442" s="26">
        <v>3</v>
      </c>
      <c r="I442" s="26">
        <v>48</v>
      </c>
      <c r="J442" s="26">
        <v>52</v>
      </c>
      <c r="K442" s="26">
        <v>9</v>
      </c>
      <c r="L442" s="26">
        <v>3</v>
      </c>
      <c r="M442" s="26">
        <v>16</v>
      </c>
      <c r="N442" s="26">
        <v>10</v>
      </c>
      <c r="O442" s="26">
        <v>6</v>
      </c>
      <c r="P442" s="26">
        <v>4</v>
      </c>
      <c r="Q442" s="70">
        <v>2</v>
      </c>
      <c r="R442" s="26">
        <v>170</v>
      </c>
    </row>
    <row r="443" spans="1:18" x14ac:dyDescent="0.35">
      <c r="A443" s="69">
        <v>46210013</v>
      </c>
      <c r="B443" s="69" t="s">
        <v>1822</v>
      </c>
      <c r="C443" s="69" t="s">
        <v>1823</v>
      </c>
      <c r="D443" s="69">
        <v>9422240490</v>
      </c>
      <c r="E443" s="69" t="s">
        <v>1824</v>
      </c>
      <c r="F443" s="69" t="s">
        <v>1812</v>
      </c>
      <c r="G443" s="26">
        <v>20</v>
      </c>
      <c r="H443" s="26">
        <v>6</v>
      </c>
      <c r="I443" s="26">
        <v>50</v>
      </c>
      <c r="J443" s="26">
        <v>31</v>
      </c>
      <c r="K443" s="26">
        <v>2</v>
      </c>
      <c r="L443" s="26">
        <v>3</v>
      </c>
      <c r="M443" s="26">
        <v>8</v>
      </c>
      <c r="N443" s="26">
        <v>1</v>
      </c>
      <c r="O443" s="26"/>
      <c r="P443" s="26">
        <v>1</v>
      </c>
      <c r="Q443" s="70">
        <v>0</v>
      </c>
      <c r="R443" s="26">
        <v>122</v>
      </c>
    </row>
    <row r="444" spans="1:18" x14ac:dyDescent="0.35">
      <c r="A444" s="69">
        <v>46210014</v>
      </c>
      <c r="B444" s="69" t="s">
        <v>1825</v>
      </c>
      <c r="C444" s="69" t="s">
        <v>1826</v>
      </c>
      <c r="D444" s="69">
        <v>9860887313</v>
      </c>
      <c r="E444" s="69" t="s">
        <v>1827</v>
      </c>
      <c r="F444" s="69" t="s">
        <v>1812</v>
      </c>
      <c r="G444" s="26">
        <v>38</v>
      </c>
      <c r="H444" s="26"/>
      <c r="I444" s="26">
        <v>52</v>
      </c>
      <c r="J444" s="26">
        <v>70</v>
      </c>
      <c r="K444" s="26">
        <v>7</v>
      </c>
      <c r="L444" s="26">
        <v>15</v>
      </c>
      <c r="M444" s="26">
        <v>2</v>
      </c>
      <c r="N444" s="26">
        <v>26</v>
      </c>
      <c r="O444" s="26">
        <v>11</v>
      </c>
      <c r="P444" s="26">
        <v>14</v>
      </c>
      <c r="Q444" s="70">
        <v>6</v>
      </c>
      <c r="R444" s="26">
        <v>241</v>
      </c>
    </row>
    <row r="445" spans="1:18" x14ac:dyDescent="0.35">
      <c r="A445" s="69">
        <v>46210016</v>
      </c>
      <c r="B445" s="69" t="s">
        <v>1828</v>
      </c>
      <c r="C445" s="69" t="s">
        <v>1829</v>
      </c>
      <c r="D445" s="69">
        <v>9422241737</v>
      </c>
      <c r="E445" s="69" t="s">
        <v>1830</v>
      </c>
      <c r="F445" s="69" t="s">
        <v>1812</v>
      </c>
      <c r="G445" s="26"/>
      <c r="H445" s="26">
        <v>31</v>
      </c>
      <c r="I445" s="26">
        <v>24</v>
      </c>
      <c r="J445" s="26">
        <v>87</v>
      </c>
      <c r="K445" s="26"/>
      <c r="L445" s="26"/>
      <c r="M445" s="26">
        <v>37</v>
      </c>
      <c r="N445" s="26">
        <v>0</v>
      </c>
      <c r="O445" s="26"/>
      <c r="P445" s="26">
        <v>26</v>
      </c>
      <c r="Q445" s="70">
        <v>0</v>
      </c>
      <c r="R445" s="26">
        <v>205</v>
      </c>
    </row>
    <row r="446" spans="1:18" x14ac:dyDescent="0.35">
      <c r="A446" s="69">
        <v>46210017</v>
      </c>
      <c r="B446" s="69" t="s">
        <v>1831</v>
      </c>
      <c r="C446" s="69" t="s">
        <v>1832</v>
      </c>
      <c r="D446" s="69">
        <v>9860806279</v>
      </c>
      <c r="E446" s="69" t="s">
        <v>1833</v>
      </c>
      <c r="F446" s="69" t="s">
        <v>1812</v>
      </c>
      <c r="G446" s="26"/>
      <c r="H446" s="26"/>
      <c r="I446" s="26">
        <v>25</v>
      </c>
      <c r="J446" s="26">
        <v>24</v>
      </c>
      <c r="K446" s="26">
        <v>12</v>
      </c>
      <c r="L446" s="26">
        <v>1</v>
      </c>
      <c r="M446" s="26">
        <v>8</v>
      </c>
      <c r="N446" s="26">
        <v>10</v>
      </c>
      <c r="O446" s="26">
        <v>1</v>
      </c>
      <c r="P446" s="26">
        <v>0</v>
      </c>
      <c r="Q446" s="70">
        <v>1</v>
      </c>
      <c r="R446" s="26">
        <v>82</v>
      </c>
    </row>
    <row r="447" spans="1:18" x14ac:dyDescent="0.35">
      <c r="A447" s="69">
        <v>46210171</v>
      </c>
      <c r="B447" s="69" t="s">
        <v>1834</v>
      </c>
      <c r="C447" s="69" t="s">
        <v>1835</v>
      </c>
      <c r="D447" s="69">
        <v>9890436289</v>
      </c>
      <c r="E447" s="69" t="s">
        <v>1836</v>
      </c>
      <c r="F447" s="69" t="s">
        <v>1812</v>
      </c>
      <c r="G447" s="26"/>
      <c r="H447" s="26"/>
      <c r="I447" s="26">
        <v>36</v>
      </c>
      <c r="J447" s="26"/>
      <c r="K447" s="26"/>
      <c r="L447" s="26">
        <v>22</v>
      </c>
      <c r="M447" s="26">
        <v>0</v>
      </c>
      <c r="N447" s="26">
        <v>14</v>
      </c>
      <c r="O447" s="26">
        <v>0</v>
      </c>
      <c r="P447" s="26">
        <v>0</v>
      </c>
      <c r="Q447" s="70">
        <v>9</v>
      </c>
      <c r="R447" s="26">
        <v>81</v>
      </c>
    </row>
    <row r="448" spans="1:18" x14ac:dyDescent="0.35">
      <c r="A448" s="69">
        <v>46210172</v>
      </c>
      <c r="B448" s="69" t="s">
        <v>1837</v>
      </c>
      <c r="C448" s="69" t="s">
        <v>1838</v>
      </c>
      <c r="D448" s="69">
        <v>9422058010</v>
      </c>
      <c r="E448" s="69" t="s">
        <v>1839</v>
      </c>
      <c r="F448" s="69" t="s">
        <v>1812</v>
      </c>
      <c r="G448" s="26">
        <v>12</v>
      </c>
      <c r="H448" s="26">
        <v>3</v>
      </c>
      <c r="I448" s="26">
        <v>25</v>
      </c>
      <c r="J448" s="26">
        <v>9</v>
      </c>
      <c r="K448" s="26">
        <v>6</v>
      </c>
      <c r="L448" s="26"/>
      <c r="M448" s="26">
        <v>7</v>
      </c>
      <c r="N448" s="26">
        <v>6</v>
      </c>
      <c r="O448" s="26">
        <v>1</v>
      </c>
      <c r="P448" s="26">
        <v>0</v>
      </c>
      <c r="Q448" s="70">
        <v>7</v>
      </c>
      <c r="R448" s="26">
        <v>76</v>
      </c>
    </row>
    <row r="449" spans="1:18" x14ac:dyDescent="0.35">
      <c r="A449" s="69">
        <v>46210192</v>
      </c>
      <c r="B449" s="69" t="s">
        <v>1840</v>
      </c>
      <c r="C449" s="69" t="s">
        <v>1841</v>
      </c>
      <c r="D449" s="69">
        <v>9922754482</v>
      </c>
      <c r="E449" s="69" t="s">
        <v>1842</v>
      </c>
      <c r="F449" s="69" t="s">
        <v>1812</v>
      </c>
      <c r="G449" s="26"/>
      <c r="H449" s="26"/>
      <c r="I449" s="26"/>
      <c r="J449" s="26">
        <v>17</v>
      </c>
      <c r="K449" s="26"/>
      <c r="L449" s="26"/>
      <c r="M449" s="26"/>
      <c r="N449" s="26">
        <v>3</v>
      </c>
      <c r="O449" s="26">
        <v>3</v>
      </c>
      <c r="P449" s="26">
        <v>19</v>
      </c>
      <c r="Q449" s="70">
        <v>3</v>
      </c>
      <c r="R449" s="26">
        <v>45</v>
      </c>
    </row>
    <row r="450" spans="1:18" x14ac:dyDescent="0.35">
      <c r="A450" s="69">
        <v>46210194</v>
      </c>
      <c r="B450" s="69" t="s">
        <v>1843</v>
      </c>
      <c r="C450" s="69" t="s">
        <v>1844</v>
      </c>
      <c r="D450" s="69">
        <v>9423491107</v>
      </c>
      <c r="E450" s="69" t="s">
        <v>1845</v>
      </c>
      <c r="F450" s="69" t="s">
        <v>1812</v>
      </c>
      <c r="G450" s="26"/>
      <c r="H450" s="26">
        <v>6</v>
      </c>
      <c r="I450" s="26">
        <v>17</v>
      </c>
      <c r="J450" s="26">
        <v>14</v>
      </c>
      <c r="K450" s="26"/>
      <c r="L450" s="26"/>
      <c r="M450" s="26">
        <v>7</v>
      </c>
      <c r="N450" s="26">
        <v>0</v>
      </c>
      <c r="O450" s="26">
        <v>0</v>
      </c>
      <c r="P450" s="26">
        <v>2</v>
      </c>
      <c r="Q450" s="70">
        <v>0</v>
      </c>
      <c r="R450" s="26">
        <v>46</v>
      </c>
    </row>
    <row r="451" spans="1:18" x14ac:dyDescent="0.35">
      <c r="A451" s="69">
        <v>46210198</v>
      </c>
      <c r="B451" s="69" t="s">
        <v>1846</v>
      </c>
      <c r="C451" s="69" t="s">
        <v>1847</v>
      </c>
      <c r="D451" s="69">
        <v>9922470919</v>
      </c>
      <c r="E451" s="69" t="s">
        <v>1848</v>
      </c>
      <c r="F451" s="69" t="s">
        <v>1812</v>
      </c>
      <c r="G451" s="26">
        <v>5</v>
      </c>
      <c r="H451" s="26"/>
      <c r="I451" s="26"/>
      <c r="J451" s="26">
        <v>88</v>
      </c>
      <c r="K451" s="26">
        <v>2</v>
      </c>
      <c r="L451" s="26">
        <v>1</v>
      </c>
      <c r="M451" s="26">
        <v>1</v>
      </c>
      <c r="N451" s="26">
        <v>6</v>
      </c>
      <c r="O451" s="26">
        <v>6</v>
      </c>
      <c r="P451" s="26">
        <v>0</v>
      </c>
      <c r="Q451" s="70">
        <v>2</v>
      </c>
      <c r="R451" s="26">
        <v>111</v>
      </c>
    </row>
    <row r="452" spans="1:18" x14ac:dyDescent="0.35">
      <c r="A452" s="69">
        <v>46210200</v>
      </c>
      <c r="B452" s="69" t="s">
        <v>1849</v>
      </c>
      <c r="C452" s="69" t="s">
        <v>1850</v>
      </c>
      <c r="D452" s="69">
        <v>8605056727</v>
      </c>
      <c r="E452" s="69" t="s">
        <v>1851</v>
      </c>
      <c r="F452" s="69" t="s">
        <v>1812</v>
      </c>
      <c r="G452" s="26"/>
      <c r="H452" s="26"/>
      <c r="I452" s="26">
        <v>15</v>
      </c>
      <c r="J452" s="26"/>
      <c r="K452" s="26">
        <v>7</v>
      </c>
      <c r="L452" s="26">
        <v>2</v>
      </c>
      <c r="M452" s="26">
        <v>2</v>
      </c>
      <c r="N452" s="26">
        <v>1</v>
      </c>
      <c r="O452" s="26">
        <v>6</v>
      </c>
      <c r="P452" s="26">
        <v>0</v>
      </c>
      <c r="Q452" s="70">
        <v>5</v>
      </c>
      <c r="R452" s="26">
        <v>38</v>
      </c>
    </row>
    <row r="453" spans="1:18" x14ac:dyDescent="0.35">
      <c r="A453" s="69">
        <v>47210001</v>
      </c>
      <c r="B453" s="69" t="s">
        <v>1852</v>
      </c>
      <c r="C453" s="69" t="s">
        <v>1853</v>
      </c>
      <c r="D453" s="69">
        <v>9850847942</v>
      </c>
      <c r="E453" s="69" t="s">
        <v>1854</v>
      </c>
      <c r="F453" s="69" t="s">
        <v>206</v>
      </c>
      <c r="G453" s="26"/>
      <c r="H453" s="26"/>
      <c r="I453" s="26">
        <v>10</v>
      </c>
      <c r="J453" s="26">
        <v>28</v>
      </c>
      <c r="K453" s="26">
        <v>9</v>
      </c>
      <c r="L453" s="26">
        <v>6</v>
      </c>
      <c r="M453" s="26">
        <v>4</v>
      </c>
      <c r="N453" s="26"/>
      <c r="O453" s="26">
        <v>3</v>
      </c>
      <c r="P453" s="26">
        <v>3</v>
      </c>
      <c r="Q453" s="70">
        <v>3</v>
      </c>
      <c r="R453" s="26">
        <v>66</v>
      </c>
    </row>
    <row r="454" spans="1:18" x14ac:dyDescent="0.35">
      <c r="A454" s="69">
        <v>47210002</v>
      </c>
      <c r="B454" s="69" t="s">
        <v>1855</v>
      </c>
      <c r="C454" s="69" t="s">
        <v>1856</v>
      </c>
      <c r="D454" s="69">
        <v>9422322347</v>
      </c>
      <c r="E454" s="69" t="s">
        <v>1857</v>
      </c>
      <c r="F454" s="69" t="s">
        <v>206</v>
      </c>
      <c r="G454" s="26">
        <v>42</v>
      </c>
      <c r="H454" s="26"/>
      <c r="I454" s="26">
        <v>150</v>
      </c>
      <c r="J454" s="26">
        <v>134</v>
      </c>
      <c r="K454" s="26">
        <v>24</v>
      </c>
      <c r="L454" s="26"/>
      <c r="M454" s="26">
        <v>69</v>
      </c>
      <c r="N454" s="26">
        <v>18</v>
      </c>
      <c r="O454" s="26">
        <v>1</v>
      </c>
      <c r="P454" s="26">
        <v>21</v>
      </c>
      <c r="Q454" s="70">
        <v>17</v>
      </c>
      <c r="R454" s="26">
        <v>476</v>
      </c>
    </row>
    <row r="455" spans="1:18" x14ac:dyDescent="0.35">
      <c r="A455" s="69">
        <v>47210003</v>
      </c>
      <c r="B455" s="69" t="s">
        <v>1858</v>
      </c>
      <c r="C455" s="69" t="s">
        <v>1859</v>
      </c>
      <c r="D455" s="69">
        <v>9850763226</v>
      </c>
      <c r="E455" s="69" t="s">
        <v>1860</v>
      </c>
      <c r="F455" s="69" t="s">
        <v>206</v>
      </c>
      <c r="G455" s="26">
        <v>24</v>
      </c>
      <c r="H455" s="26">
        <v>3</v>
      </c>
      <c r="I455" s="26">
        <v>54</v>
      </c>
      <c r="J455" s="26">
        <v>155</v>
      </c>
      <c r="K455" s="26">
        <v>18</v>
      </c>
      <c r="L455" s="26">
        <v>5</v>
      </c>
      <c r="M455" s="26">
        <v>21</v>
      </c>
      <c r="N455" s="26">
        <v>4</v>
      </c>
      <c r="O455" s="26">
        <v>8</v>
      </c>
      <c r="P455" s="26">
        <v>8</v>
      </c>
      <c r="Q455" s="70">
        <v>6</v>
      </c>
      <c r="R455" s="26">
        <v>306</v>
      </c>
    </row>
    <row r="456" spans="1:18" x14ac:dyDescent="0.35">
      <c r="A456" s="69">
        <v>47210004</v>
      </c>
      <c r="B456" s="69" t="s">
        <v>1861</v>
      </c>
      <c r="C456" s="69" t="s">
        <v>1862</v>
      </c>
      <c r="D456" s="69">
        <v>9850995878</v>
      </c>
      <c r="E456" s="69" t="s">
        <v>1863</v>
      </c>
      <c r="F456" s="69" t="s">
        <v>206</v>
      </c>
      <c r="G456" s="26">
        <v>10</v>
      </c>
      <c r="H456" s="26">
        <v>7</v>
      </c>
      <c r="I456" s="26">
        <v>13</v>
      </c>
      <c r="J456" s="26">
        <v>11</v>
      </c>
      <c r="K456" s="26">
        <v>7</v>
      </c>
      <c r="L456" s="26">
        <v>3</v>
      </c>
      <c r="M456" s="26">
        <v>15</v>
      </c>
      <c r="N456" s="26">
        <v>4</v>
      </c>
      <c r="O456" s="26">
        <v>5</v>
      </c>
      <c r="P456" s="26">
        <v>1</v>
      </c>
      <c r="Q456" s="70">
        <v>2</v>
      </c>
      <c r="R456" s="26">
        <v>78</v>
      </c>
    </row>
    <row r="457" spans="1:18" x14ac:dyDescent="0.35">
      <c r="A457" s="69">
        <v>47210005</v>
      </c>
      <c r="B457" s="69" t="s">
        <v>1864</v>
      </c>
      <c r="C457" s="69" t="s">
        <v>1865</v>
      </c>
      <c r="D457" s="69">
        <v>9881409043</v>
      </c>
      <c r="E457" s="69" t="s">
        <v>1866</v>
      </c>
      <c r="F457" s="69" t="s">
        <v>206</v>
      </c>
      <c r="G457" s="26">
        <v>10</v>
      </c>
      <c r="H457" s="26">
        <v>8</v>
      </c>
      <c r="I457" s="26">
        <v>25</v>
      </c>
      <c r="J457" s="26">
        <v>47</v>
      </c>
      <c r="K457" s="26">
        <v>20</v>
      </c>
      <c r="L457" s="26"/>
      <c r="M457" s="26">
        <v>9</v>
      </c>
      <c r="N457" s="26">
        <v>6</v>
      </c>
      <c r="O457" s="26">
        <v>2</v>
      </c>
      <c r="P457" s="26">
        <v>3</v>
      </c>
      <c r="Q457" s="70">
        <v>4</v>
      </c>
      <c r="R457" s="26">
        <v>134</v>
      </c>
    </row>
    <row r="458" spans="1:18" x14ac:dyDescent="0.35">
      <c r="A458" s="69">
        <v>47210006</v>
      </c>
      <c r="B458" s="69" t="s">
        <v>1867</v>
      </c>
      <c r="C458" s="69" t="s">
        <v>1868</v>
      </c>
      <c r="D458" s="69">
        <v>9623930402</v>
      </c>
      <c r="E458" s="69" t="s">
        <v>1869</v>
      </c>
      <c r="F458" s="69" t="s">
        <v>206</v>
      </c>
      <c r="G458" s="26">
        <v>76</v>
      </c>
      <c r="H458" s="26">
        <v>12</v>
      </c>
      <c r="I458" s="26">
        <v>160</v>
      </c>
      <c r="J458" s="26">
        <v>196</v>
      </c>
      <c r="K458" s="26">
        <v>32</v>
      </c>
      <c r="L458" s="26"/>
      <c r="M458" s="26">
        <v>88</v>
      </c>
      <c r="N458" s="26">
        <v>33</v>
      </c>
      <c r="O458" s="26">
        <v>15</v>
      </c>
      <c r="P458" s="26">
        <v>20</v>
      </c>
      <c r="Q458" s="70">
        <v>12</v>
      </c>
      <c r="R458" s="26">
        <v>644</v>
      </c>
    </row>
    <row r="459" spans="1:18" x14ac:dyDescent="0.35">
      <c r="A459" s="69">
        <v>47210008</v>
      </c>
      <c r="B459" s="69" t="s">
        <v>1870</v>
      </c>
      <c r="C459" s="69" t="s">
        <v>1871</v>
      </c>
      <c r="D459" s="69">
        <v>9822452330</v>
      </c>
      <c r="E459" s="69" t="s">
        <v>1872</v>
      </c>
      <c r="F459" s="69" t="s">
        <v>206</v>
      </c>
      <c r="G459" s="26">
        <v>36</v>
      </c>
      <c r="H459" s="26"/>
      <c r="I459" s="26">
        <v>50</v>
      </c>
      <c r="J459" s="26">
        <v>75</v>
      </c>
      <c r="K459" s="26">
        <v>24</v>
      </c>
      <c r="L459" s="26">
        <v>36</v>
      </c>
      <c r="M459" s="26">
        <v>18</v>
      </c>
      <c r="N459" s="26">
        <v>20</v>
      </c>
      <c r="O459" s="26">
        <v>14</v>
      </c>
      <c r="P459" s="26">
        <v>6</v>
      </c>
      <c r="Q459" s="70">
        <v>8</v>
      </c>
      <c r="R459" s="26">
        <v>287</v>
      </c>
    </row>
    <row r="460" spans="1:18" x14ac:dyDescent="0.35">
      <c r="A460" s="69">
        <v>47210010</v>
      </c>
      <c r="B460" s="69" t="s">
        <v>1873</v>
      </c>
      <c r="C460" s="69" t="s">
        <v>1874</v>
      </c>
      <c r="D460" s="69">
        <v>9822513738</v>
      </c>
      <c r="E460" s="69" t="s">
        <v>1875</v>
      </c>
      <c r="F460" s="69" t="s">
        <v>206</v>
      </c>
      <c r="G460" s="26">
        <v>6</v>
      </c>
      <c r="H460" s="26"/>
      <c r="I460" s="26"/>
      <c r="J460" s="26">
        <v>31</v>
      </c>
      <c r="K460" s="26">
        <v>11</v>
      </c>
      <c r="L460" s="26">
        <v>6</v>
      </c>
      <c r="M460" s="26">
        <v>8</v>
      </c>
      <c r="N460" s="26">
        <v>3</v>
      </c>
      <c r="O460" s="26">
        <v>4</v>
      </c>
      <c r="P460" s="26">
        <v>4</v>
      </c>
      <c r="Q460" s="70">
        <v>3</v>
      </c>
      <c r="R460" s="26">
        <v>76</v>
      </c>
    </row>
    <row r="461" spans="1:18" x14ac:dyDescent="0.35">
      <c r="A461" s="69">
        <v>47210011</v>
      </c>
      <c r="B461" s="69" t="s">
        <v>1876</v>
      </c>
      <c r="C461" s="69" t="s">
        <v>1877</v>
      </c>
      <c r="D461" s="69">
        <v>9420196429</v>
      </c>
      <c r="E461" s="69" t="s">
        <v>1878</v>
      </c>
      <c r="F461" s="69" t="s">
        <v>206</v>
      </c>
      <c r="G461" s="26">
        <v>45</v>
      </c>
      <c r="H461" s="26"/>
      <c r="I461" s="26"/>
      <c r="J461" s="26">
        <v>277</v>
      </c>
      <c r="K461" s="26">
        <v>21</v>
      </c>
      <c r="L461" s="26"/>
      <c r="M461" s="26">
        <v>27</v>
      </c>
      <c r="N461" s="26">
        <v>30</v>
      </c>
      <c r="O461" s="26">
        <v>12</v>
      </c>
      <c r="P461" s="26">
        <v>18</v>
      </c>
      <c r="Q461" s="70">
        <v>14</v>
      </c>
      <c r="R461" s="26">
        <v>444</v>
      </c>
    </row>
    <row r="462" spans="1:18" x14ac:dyDescent="0.35">
      <c r="A462" s="69">
        <v>47210012</v>
      </c>
      <c r="B462" s="69" t="s">
        <v>1879</v>
      </c>
      <c r="C462" s="69" t="s">
        <v>1880</v>
      </c>
      <c r="D462" s="69">
        <v>9890942707</v>
      </c>
      <c r="E462" s="69" t="s">
        <v>1881</v>
      </c>
      <c r="F462" s="69" t="s">
        <v>206</v>
      </c>
      <c r="G462" s="26">
        <v>13</v>
      </c>
      <c r="H462" s="26">
        <v>7</v>
      </c>
      <c r="I462" s="26">
        <v>39</v>
      </c>
      <c r="J462" s="26">
        <v>50</v>
      </c>
      <c r="K462" s="26">
        <v>31</v>
      </c>
      <c r="L462" s="26">
        <v>13</v>
      </c>
      <c r="M462" s="26">
        <v>7</v>
      </c>
      <c r="N462" s="26">
        <v>14</v>
      </c>
      <c r="O462" s="26">
        <v>18</v>
      </c>
      <c r="P462" s="26">
        <v>12</v>
      </c>
      <c r="Q462" s="70">
        <v>2</v>
      </c>
      <c r="R462" s="26">
        <v>206</v>
      </c>
    </row>
    <row r="463" spans="1:18" x14ac:dyDescent="0.35">
      <c r="A463" s="69">
        <v>47210032</v>
      </c>
      <c r="B463" s="69" t="s">
        <v>1461</v>
      </c>
      <c r="C463" s="69" t="s">
        <v>1882</v>
      </c>
      <c r="D463" s="69">
        <v>9822391615</v>
      </c>
      <c r="E463" s="69" t="s">
        <v>1883</v>
      </c>
      <c r="F463" s="69" t="s">
        <v>206</v>
      </c>
      <c r="G463" s="26">
        <v>53</v>
      </c>
      <c r="H463" s="26"/>
      <c r="I463" s="26">
        <v>50</v>
      </c>
      <c r="J463" s="26">
        <v>224</v>
      </c>
      <c r="K463" s="26">
        <v>14</v>
      </c>
      <c r="L463" s="26">
        <v>21</v>
      </c>
      <c r="M463" s="26">
        <v>52</v>
      </c>
      <c r="N463" s="26">
        <v>27</v>
      </c>
      <c r="O463" s="26">
        <v>40</v>
      </c>
      <c r="P463" s="26">
        <v>10</v>
      </c>
      <c r="Q463" s="70">
        <v>53</v>
      </c>
      <c r="R463" s="26">
        <v>544</v>
      </c>
    </row>
    <row r="464" spans="1:18" x14ac:dyDescent="0.35">
      <c r="A464" s="69">
        <v>47210040</v>
      </c>
      <c r="B464" s="69" t="s">
        <v>1884</v>
      </c>
      <c r="C464" s="69" t="s">
        <v>1885</v>
      </c>
      <c r="D464" s="69">
        <v>9890240008</v>
      </c>
      <c r="E464" s="69" t="s">
        <v>1886</v>
      </c>
      <c r="F464" s="69" t="s">
        <v>206</v>
      </c>
      <c r="G464" s="26">
        <v>7</v>
      </c>
      <c r="H464" s="26">
        <v>1</v>
      </c>
      <c r="I464" s="26">
        <v>27</v>
      </c>
      <c r="J464" s="26">
        <v>34</v>
      </c>
      <c r="K464" s="26">
        <v>11</v>
      </c>
      <c r="L464" s="26"/>
      <c r="M464" s="26">
        <v>16</v>
      </c>
      <c r="N464" s="26">
        <v>4</v>
      </c>
      <c r="O464" s="26">
        <v>3</v>
      </c>
      <c r="P464" s="26">
        <v>6</v>
      </c>
      <c r="Q464" s="70">
        <v>0</v>
      </c>
      <c r="R464" s="26">
        <v>109</v>
      </c>
    </row>
    <row r="465" spans="1:18" x14ac:dyDescent="0.35">
      <c r="A465" s="69">
        <v>47210043</v>
      </c>
      <c r="B465" s="69" t="s">
        <v>1026</v>
      </c>
      <c r="C465" s="69" t="s">
        <v>1887</v>
      </c>
      <c r="D465" s="69">
        <v>9923002911</v>
      </c>
      <c r="E465" s="69" t="s">
        <v>1888</v>
      </c>
      <c r="F465" s="69" t="s">
        <v>206</v>
      </c>
      <c r="G465" s="26">
        <v>9</v>
      </c>
      <c r="H465" s="26"/>
      <c r="I465" s="26">
        <v>51</v>
      </c>
      <c r="J465" s="26">
        <v>44</v>
      </c>
      <c r="K465" s="26"/>
      <c r="L465" s="26"/>
      <c r="M465" s="26">
        <v>5</v>
      </c>
      <c r="N465" s="26">
        <v>5</v>
      </c>
      <c r="O465" s="26">
        <v>6</v>
      </c>
      <c r="P465" s="26">
        <v>2</v>
      </c>
      <c r="Q465" s="70">
        <v>0</v>
      </c>
      <c r="R465" s="26">
        <v>122</v>
      </c>
    </row>
    <row r="466" spans="1:18" x14ac:dyDescent="0.35">
      <c r="A466" s="69">
        <v>47210062</v>
      </c>
      <c r="B466" s="69" t="s">
        <v>1889</v>
      </c>
      <c r="C466" s="69" t="s">
        <v>1890</v>
      </c>
      <c r="D466" s="69">
        <v>9604011688</v>
      </c>
      <c r="E466" s="69" t="s">
        <v>1891</v>
      </c>
      <c r="F466" s="69" t="s">
        <v>206</v>
      </c>
      <c r="G466" s="26">
        <v>9</v>
      </c>
      <c r="H466" s="26"/>
      <c r="I466" s="26">
        <v>31</v>
      </c>
      <c r="J466" s="26">
        <v>30</v>
      </c>
      <c r="K466" s="26">
        <v>23</v>
      </c>
      <c r="L466" s="26">
        <v>7</v>
      </c>
      <c r="M466" s="26">
        <v>15</v>
      </c>
      <c r="N466" s="26"/>
      <c r="O466" s="26">
        <v>10</v>
      </c>
      <c r="P466" s="26">
        <v>12</v>
      </c>
      <c r="Q466" s="70">
        <v>6</v>
      </c>
      <c r="R466" s="26">
        <v>143</v>
      </c>
    </row>
    <row r="467" spans="1:18" x14ac:dyDescent="0.35">
      <c r="A467" s="69">
        <v>47210064</v>
      </c>
      <c r="B467" s="69" t="s">
        <v>1892</v>
      </c>
      <c r="C467" s="69" t="s">
        <v>1893</v>
      </c>
      <c r="D467" s="69">
        <v>9881375319</v>
      </c>
      <c r="E467" s="69" t="s">
        <v>1894</v>
      </c>
      <c r="F467" s="69" t="s">
        <v>206</v>
      </c>
      <c r="G467" s="26">
        <v>19</v>
      </c>
      <c r="H467" s="26">
        <v>5</v>
      </c>
      <c r="I467" s="26">
        <v>72</v>
      </c>
      <c r="J467" s="26">
        <v>67</v>
      </c>
      <c r="K467" s="26">
        <v>21</v>
      </c>
      <c r="L467" s="26">
        <v>5</v>
      </c>
      <c r="M467" s="26">
        <v>1</v>
      </c>
      <c r="N467" s="26">
        <v>6</v>
      </c>
      <c r="O467" s="26">
        <v>7</v>
      </c>
      <c r="P467" s="26">
        <v>9</v>
      </c>
      <c r="Q467" s="70">
        <v>5</v>
      </c>
      <c r="R467" s="26">
        <v>217</v>
      </c>
    </row>
    <row r="468" spans="1:18" x14ac:dyDescent="0.35">
      <c r="A468" s="69">
        <v>47210065</v>
      </c>
      <c r="B468" s="69" t="s">
        <v>1895</v>
      </c>
      <c r="C468" s="69" t="s">
        <v>1896</v>
      </c>
      <c r="D468" s="69">
        <v>9890158911</v>
      </c>
      <c r="E468" s="69" t="s">
        <v>1897</v>
      </c>
      <c r="F468" s="69" t="s">
        <v>206</v>
      </c>
      <c r="G468" s="26"/>
      <c r="H468" s="26"/>
      <c r="I468" s="26">
        <v>43</v>
      </c>
      <c r="J468" s="26">
        <v>68</v>
      </c>
      <c r="K468" s="26"/>
      <c r="L468" s="26"/>
      <c r="M468" s="26"/>
      <c r="N468" s="26">
        <v>1</v>
      </c>
      <c r="O468" s="26">
        <v>1</v>
      </c>
      <c r="P468" s="26">
        <v>0</v>
      </c>
      <c r="Q468" s="70">
        <v>0</v>
      </c>
      <c r="R468" s="26">
        <v>113</v>
      </c>
    </row>
    <row r="469" spans="1:18" x14ac:dyDescent="0.35">
      <c r="A469" s="69">
        <v>47210069</v>
      </c>
      <c r="B469" s="69" t="s">
        <v>1898</v>
      </c>
      <c r="C469" s="69" t="s">
        <v>1899</v>
      </c>
      <c r="D469" s="69">
        <v>9921713536</v>
      </c>
      <c r="E469" s="69" t="s">
        <v>1900</v>
      </c>
      <c r="F469" s="69" t="s">
        <v>206</v>
      </c>
      <c r="G469" s="26">
        <v>31</v>
      </c>
      <c r="H469" s="26">
        <v>1</v>
      </c>
      <c r="I469" s="26">
        <v>75</v>
      </c>
      <c r="J469" s="26">
        <v>71</v>
      </c>
      <c r="K469" s="26">
        <v>21</v>
      </c>
      <c r="L469" s="26"/>
      <c r="M469" s="26">
        <v>24</v>
      </c>
      <c r="N469" s="26">
        <v>20</v>
      </c>
      <c r="O469" s="26"/>
      <c r="P469" s="26">
        <v>11</v>
      </c>
      <c r="Q469" s="70">
        <v>2</v>
      </c>
      <c r="R469" s="26">
        <v>256</v>
      </c>
    </row>
    <row r="470" spans="1:18" x14ac:dyDescent="0.35">
      <c r="A470" s="69">
        <v>47210070</v>
      </c>
      <c r="B470" s="69" t="s">
        <v>1901</v>
      </c>
      <c r="C470" s="69" t="s">
        <v>1902</v>
      </c>
      <c r="D470" s="69">
        <v>9423227332</v>
      </c>
      <c r="E470" s="69" t="s">
        <v>1903</v>
      </c>
      <c r="F470" s="69" t="s">
        <v>206</v>
      </c>
      <c r="G470" s="26">
        <v>5</v>
      </c>
      <c r="H470" s="26">
        <v>4</v>
      </c>
      <c r="I470" s="26">
        <v>21</v>
      </c>
      <c r="J470" s="26">
        <v>17</v>
      </c>
      <c r="K470" s="26">
        <v>7</v>
      </c>
      <c r="L470" s="26">
        <v>1</v>
      </c>
      <c r="M470" s="26">
        <v>2</v>
      </c>
      <c r="N470" s="26"/>
      <c r="O470" s="26"/>
      <c r="P470" s="26">
        <v>1</v>
      </c>
      <c r="Q470" s="70">
        <v>0</v>
      </c>
      <c r="R470" s="26">
        <v>58</v>
      </c>
    </row>
    <row r="471" spans="1:18" x14ac:dyDescent="0.35">
      <c r="A471" s="69">
        <v>47210071</v>
      </c>
      <c r="B471" s="69" t="s">
        <v>1904</v>
      </c>
      <c r="C471" s="69" t="s">
        <v>1905</v>
      </c>
      <c r="D471" s="69">
        <v>9881404260</v>
      </c>
      <c r="E471" s="69" t="s">
        <v>1906</v>
      </c>
      <c r="F471" s="69" t="s">
        <v>206</v>
      </c>
      <c r="G471" s="26">
        <v>7</v>
      </c>
      <c r="H471" s="26">
        <v>3</v>
      </c>
      <c r="I471" s="26">
        <v>8</v>
      </c>
      <c r="J471" s="26">
        <v>12</v>
      </c>
      <c r="K471" s="26">
        <v>7</v>
      </c>
      <c r="L471" s="26">
        <v>5</v>
      </c>
      <c r="M471" s="26">
        <v>7</v>
      </c>
      <c r="N471" s="26">
        <v>3</v>
      </c>
      <c r="O471" s="26">
        <v>3</v>
      </c>
      <c r="P471" s="26">
        <v>2</v>
      </c>
      <c r="Q471" s="70">
        <v>1</v>
      </c>
      <c r="R471" s="26">
        <v>58</v>
      </c>
    </row>
    <row r="472" spans="1:18" x14ac:dyDescent="0.35">
      <c r="A472" s="69">
        <v>47210075</v>
      </c>
      <c r="B472" s="69" t="s">
        <v>1907</v>
      </c>
      <c r="C472" s="69" t="s">
        <v>1908</v>
      </c>
      <c r="D472" s="69">
        <v>9890822121</v>
      </c>
      <c r="E472" s="69" t="s">
        <v>1909</v>
      </c>
      <c r="F472" s="69" t="s">
        <v>206</v>
      </c>
      <c r="G472" s="26"/>
      <c r="H472" s="26">
        <v>23</v>
      </c>
      <c r="I472" s="26"/>
      <c r="J472" s="26">
        <v>260</v>
      </c>
      <c r="K472" s="26">
        <v>26</v>
      </c>
      <c r="L472" s="26"/>
      <c r="M472" s="26">
        <v>38</v>
      </c>
      <c r="N472" s="26">
        <v>8</v>
      </c>
      <c r="O472" s="26">
        <v>6</v>
      </c>
      <c r="P472" s="26">
        <v>16</v>
      </c>
      <c r="Q472" s="70">
        <v>5</v>
      </c>
      <c r="R472" s="26">
        <v>382</v>
      </c>
    </row>
    <row r="473" spans="1:18" x14ac:dyDescent="0.35">
      <c r="A473" s="69">
        <v>47210076</v>
      </c>
      <c r="B473" s="69" t="s">
        <v>1910</v>
      </c>
      <c r="C473" s="69" t="s">
        <v>1911</v>
      </c>
      <c r="D473" s="69">
        <v>9975569941</v>
      </c>
      <c r="E473" s="69" t="s">
        <v>1912</v>
      </c>
      <c r="F473" s="69" t="s">
        <v>206</v>
      </c>
      <c r="G473" s="26">
        <v>66</v>
      </c>
      <c r="H473" s="26">
        <v>5</v>
      </c>
      <c r="I473" s="26">
        <v>56</v>
      </c>
      <c r="J473" s="26">
        <v>179</v>
      </c>
      <c r="K473" s="26">
        <v>42</v>
      </c>
      <c r="L473" s="26">
        <v>10</v>
      </c>
      <c r="M473" s="26">
        <v>40</v>
      </c>
      <c r="N473" s="26">
        <v>0</v>
      </c>
      <c r="O473" s="26">
        <v>24</v>
      </c>
      <c r="P473" s="26">
        <v>15</v>
      </c>
      <c r="Q473" s="70">
        <v>6</v>
      </c>
      <c r="R473" s="26">
        <v>443</v>
      </c>
    </row>
    <row r="474" spans="1:18" x14ac:dyDescent="0.35">
      <c r="A474" s="69">
        <v>47210100</v>
      </c>
      <c r="B474" s="69" t="s">
        <v>1913</v>
      </c>
      <c r="C474" s="69" t="s">
        <v>1914</v>
      </c>
      <c r="D474" s="69">
        <v>9823147011</v>
      </c>
      <c r="E474" s="69" t="s">
        <v>1915</v>
      </c>
      <c r="F474" s="69" t="s">
        <v>206</v>
      </c>
      <c r="G474" s="26">
        <v>61</v>
      </c>
      <c r="H474" s="26">
        <v>26</v>
      </c>
      <c r="I474" s="26">
        <v>237</v>
      </c>
      <c r="J474" s="26">
        <v>133</v>
      </c>
      <c r="K474" s="26">
        <v>9</v>
      </c>
      <c r="L474" s="26">
        <v>79</v>
      </c>
      <c r="M474" s="26">
        <v>63</v>
      </c>
      <c r="N474" s="26">
        <v>35</v>
      </c>
      <c r="O474" s="26">
        <v>50</v>
      </c>
      <c r="P474" s="26">
        <v>10</v>
      </c>
      <c r="Q474" s="70">
        <v>10</v>
      </c>
      <c r="R474" s="26">
        <v>713</v>
      </c>
    </row>
    <row r="475" spans="1:18" x14ac:dyDescent="0.35">
      <c r="A475" s="69">
        <v>47210116</v>
      </c>
      <c r="B475" s="69" t="s">
        <v>1916</v>
      </c>
      <c r="C475" s="69" t="s">
        <v>1917</v>
      </c>
      <c r="D475" s="69">
        <v>9822391615</v>
      </c>
      <c r="E475" s="69" t="s">
        <v>1883</v>
      </c>
      <c r="F475" s="69" t="s">
        <v>206</v>
      </c>
      <c r="G475" s="26"/>
      <c r="H475" s="26">
        <v>10</v>
      </c>
      <c r="I475" s="26"/>
      <c r="J475" s="26">
        <v>103</v>
      </c>
      <c r="K475" s="26"/>
      <c r="L475" s="26">
        <v>7</v>
      </c>
      <c r="M475" s="26">
        <v>7</v>
      </c>
      <c r="N475" s="26">
        <v>10</v>
      </c>
      <c r="O475" s="26">
        <v>9</v>
      </c>
      <c r="P475" s="26">
        <v>6</v>
      </c>
      <c r="Q475" s="70">
        <v>8</v>
      </c>
      <c r="R475" s="26">
        <v>160</v>
      </c>
    </row>
    <row r="476" spans="1:18" x14ac:dyDescent="0.35">
      <c r="A476" s="69">
        <v>47210119</v>
      </c>
      <c r="B476" s="69" t="s">
        <v>1918</v>
      </c>
      <c r="C476" s="69" t="s">
        <v>1919</v>
      </c>
      <c r="D476" s="69">
        <v>9822377092</v>
      </c>
      <c r="E476" s="69" t="s">
        <v>1920</v>
      </c>
      <c r="F476" s="69" t="s">
        <v>206</v>
      </c>
      <c r="G476" s="26"/>
      <c r="H476" s="26"/>
      <c r="I476" s="26"/>
      <c r="J476" s="26">
        <v>15</v>
      </c>
      <c r="K476" s="26">
        <v>3</v>
      </c>
      <c r="L476" s="26"/>
      <c r="M476" s="26"/>
      <c r="N476" s="26"/>
      <c r="O476" s="26"/>
      <c r="P476" s="26">
        <v>0</v>
      </c>
      <c r="Q476" s="70">
        <v>0</v>
      </c>
      <c r="R476" s="26">
        <v>18</v>
      </c>
    </row>
    <row r="477" spans="1:18" x14ac:dyDescent="0.35">
      <c r="A477" s="69">
        <v>47210122</v>
      </c>
      <c r="B477" s="69" t="s">
        <v>1916</v>
      </c>
      <c r="C477" s="69" t="s">
        <v>1921</v>
      </c>
      <c r="D477" s="69">
        <v>9975569937</v>
      </c>
      <c r="E477" s="69" t="s">
        <v>1922</v>
      </c>
      <c r="F477" s="69" t="s">
        <v>206</v>
      </c>
      <c r="G477" s="26"/>
      <c r="H477" s="26">
        <v>5</v>
      </c>
      <c r="I477" s="26"/>
      <c r="J477" s="26">
        <v>52</v>
      </c>
      <c r="K477" s="26"/>
      <c r="L477" s="26">
        <v>2</v>
      </c>
      <c r="M477" s="26">
        <v>2</v>
      </c>
      <c r="N477" s="26">
        <v>5</v>
      </c>
      <c r="O477" s="26">
        <v>5</v>
      </c>
      <c r="P477" s="26">
        <v>7</v>
      </c>
      <c r="Q477" s="70">
        <v>13</v>
      </c>
      <c r="R477" s="26">
        <v>91</v>
      </c>
    </row>
    <row r="478" spans="1:18" x14ac:dyDescent="0.35">
      <c r="A478" s="69">
        <v>47210128</v>
      </c>
      <c r="B478" s="69" t="s">
        <v>1923</v>
      </c>
      <c r="C478" s="69" t="s">
        <v>1924</v>
      </c>
      <c r="D478" s="69">
        <v>9373324564</v>
      </c>
      <c r="E478" s="69" t="s">
        <v>1925</v>
      </c>
      <c r="F478" s="69" t="s">
        <v>206</v>
      </c>
      <c r="G478" s="26">
        <v>33</v>
      </c>
      <c r="H478" s="26">
        <v>12</v>
      </c>
      <c r="I478" s="26"/>
      <c r="J478" s="26">
        <v>67</v>
      </c>
      <c r="K478" s="26">
        <v>28</v>
      </c>
      <c r="L478" s="26">
        <v>22</v>
      </c>
      <c r="M478" s="26">
        <v>19</v>
      </c>
      <c r="N478" s="26">
        <v>7</v>
      </c>
      <c r="O478" s="26">
        <v>15</v>
      </c>
      <c r="P478" s="26">
        <v>4</v>
      </c>
      <c r="Q478" s="70">
        <v>2</v>
      </c>
      <c r="R478" s="26">
        <v>209</v>
      </c>
    </row>
    <row r="479" spans="1:18" x14ac:dyDescent="0.35">
      <c r="A479" s="69">
        <v>47210145</v>
      </c>
      <c r="B479" s="69" t="s">
        <v>1926</v>
      </c>
      <c r="C479" s="69" t="s">
        <v>1927</v>
      </c>
      <c r="D479" s="69">
        <v>9860000045</v>
      </c>
      <c r="E479" s="69" t="s">
        <v>1928</v>
      </c>
      <c r="F479" s="69" t="s">
        <v>206</v>
      </c>
      <c r="G479" s="26">
        <v>8</v>
      </c>
      <c r="H479" s="26">
        <v>1</v>
      </c>
      <c r="I479" s="26">
        <v>29</v>
      </c>
      <c r="J479" s="26">
        <v>31</v>
      </c>
      <c r="K479" s="26">
        <v>9</v>
      </c>
      <c r="L479" s="26">
        <v>16</v>
      </c>
      <c r="M479" s="26">
        <v>3</v>
      </c>
      <c r="N479" s="26">
        <v>3</v>
      </c>
      <c r="O479" s="26">
        <v>4</v>
      </c>
      <c r="P479" s="26">
        <v>4</v>
      </c>
      <c r="Q479" s="70">
        <v>1</v>
      </c>
      <c r="R479" s="26">
        <v>109</v>
      </c>
    </row>
    <row r="480" spans="1:18" x14ac:dyDescent="0.35">
      <c r="A480" s="69">
        <v>47210147</v>
      </c>
      <c r="B480" s="69" t="s">
        <v>1929</v>
      </c>
      <c r="C480" s="69" t="s">
        <v>1930</v>
      </c>
      <c r="D480" s="69">
        <v>9922074607</v>
      </c>
      <c r="E480" s="69" t="s">
        <v>1931</v>
      </c>
      <c r="F480" s="69" t="s">
        <v>206</v>
      </c>
      <c r="G480" s="26">
        <v>13</v>
      </c>
      <c r="H480" s="26">
        <v>4</v>
      </c>
      <c r="I480" s="26">
        <v>47</v>
      </c>
      <c r="J480" s="26">
        <v>26</v>
      </c>
      <c r="K480" s="26">
        <v>5</v>
      </c>
      <c r="L480" s="26">
        <v>5</v>
      </c>
      <c r="M480" s="26">
        <v>6</v>
      </c>
      <c r="N480" s="26">
        <v>4</v>
      </c>
      <c r="O480" s="26"/>
      <c r="P480" s="26">
        <v>6</v>
      </c>
      <c r="Q480" s="70">
        <v>0</v>
      </c>
      <c r="R480" s="26">
        <v>116</v>
      </c>
    </row>
    <row r="481" spans="1:18" x14ac:dyDescent="0.35">
      <c r="A481" s="69">
        <v>47210148</v>
      </c>
      <c r="B481" s="69" t="s">
        <v>1186</v>
      </c>
      <c r="C481" s="69" t="s">
        <v>1932</v>
      </c>
      <c r="D481" s="69">
        <v>9730998160</v>
      </c>
      <c r="E481" s="69" t="s">
        <v>1933</v>
      </c>
      <c r="F481" s="69" t="s">
        <v>206</v>
      </c>
      <c r="G481" s="26">
        <v>8</v>
      </c>
      <c r="H481" s="26">
        <v>2</v>
      </c>
      <c r="I481" s="26">
        <v>69</v>
      </c>
      <c r="J481" s="26">
        <v>92</v>
      </c>
      <c r="K481" s="26">
        <v>7</v>
      </c>
      <c r="L481" s="26"/>
      <c r="M481" s="26">
        <v>7</v>
      </c>
      <c r="N481" s="26">
        <v>3</v>
      </c>
      <c r="O481" s="26">
        <v>2</v>
      </c>
      <c r="P481" s="26">
        <v>4</v>
      </c>
      <c r="Q481" s="70">
        <v>10</v>
      </c>
      <c r="R481" s="26">
        <v>204</v>
      </c>
    </row>
    <row r="482" spans="1:18" x14ac:dyDescent="0.35">
      <c r="A482" s="69">
        <v>47210150</v>
      </c>
      <c r="B482" s="69" t="s">
        <v>1186</v>
      </c>
      <c r="C482" s="69" t="s">
        <v>1934</v>
      </c>
      <c r="D482" s="69">
        <v>9922153153</v>
      </c>
      <c r="E482" s="69" t="s">
        <v>1935</v>
      </c>
      <c r="F482" s="69" t="s">
        <v>206</v>
      </c>
      <c r="G482" s="26">
        <v>45</v>
      </c>
      <c r="H482" s="26">
        <v>14</v>
      </c>
      <c r="I482" s="26">
        <v>50</v>
      </c>
      <c r="J482" s="26">
        <v>165</v>
      </c>
      <c r="K482" s="26">
        <v>39</v>
      </c>
      <c r="L482" s="26">
        <v>13</v>
      </c>
      <c r="M482" s="26">
        <v>30</v>
      </c>
      <c r="N482" s="26">
        <v>22</v>
      </c>
      <c r="O482" s="26">
        <v>12</v>
      </c>
      <c r="P482" s="26">
        <v>26</v>
      </c>
      <c r="Q482" s="70">
        <v>7</v>
      </c>
      <c r="R482" s="26">
        <v>423</v>
      </c>
    </row>
    <row r="483" spans="1:18" x14ac:dyDescent="0.35">
      <c r="A483" s="69">
        <v>47210151</v>
      </c>
      <c r="B483" s="69" t="s">
        <v>1936</v>
      </c>
      <c r="C483" s="69" t="s">
        <v>1937</v>
      </c>
      <c r="D483" s="69">
        <v>9881615740</v>
      </c>
      <c r="E483" s="69" t="s">
        <v>1938</v>
      </c>
      <c r="F483" s="69" t="s">
        <v>206</v>
      </c>
      <c r="G483" s="26">
        <v>4</v>
      </c>
      <c r="H483" s="26"/>
      <c r="I483" s="26">
        <v>34</v>
      </c>
      <c r="J483" s="26">
        <v>14</v>
      </c>
      <c r="K483" s="26">
        <v>5</v>
      </c>
      <c r="L483" s="26"/>
      <c r="M483" s="26">
        <v>8</v>
      </c>
      <c r="N483" s="26">
        <v>3</v>
      </c>
      <c r="O483" s="26">
        <v>1</v>
      </c>
      <c r="P483" s="26">
        <v>5</v>
      </c>
      <c r="Q483" s="70">
        <v>1</v>
      </c>
      <c r="R483" s="26">
        <v>75</v>
      </c>
    </row>
    <row r="484" spans="1:18" x14ac:dyDescent="0.35">
      <c r="A484" s="69">
        <v>48210005</v>
      </c>
      <c r="B484" s="69" t="s">
        <v>935</v>
      </c>
      <c r="C484" s="69" t="s">
        <v>1939</v>
      </c>
      <c r="D484" s="69">
        <v>9869214286</v>
      </c>
      <c r="E484" s="69" t="s">
        <v>1940</v>
      </c>
      <c r="F484" s="69" t="s">
        <v>1629</v>
      </c>
      <c r="G484" s="26">
        <v>15</v>
      </c>
      <c r="H484" s="26"/>
      <c r="I484" s="26"/>
      <c r="J484" s="26">
        <v>65</v>
      </c>
      <c r="K484" s="26"/>
      <c r="L484" s="26">
        <v>27</v>
      </c>
      <c r="M484" s="26"/>
      <c r="N484" s="26">
        <v>20</v>
      </c>
      <c r="O484" s="26"/>
      <c r="P484" s="26">
        <v>31</v>
      </c>
      <c r="Q484" s="70">
        <v>3</v>
      </c>
      <c r="R484" s="26">
        <v>161</v>
      </c>
    </row>
    <row r="485" spans="1:18" x14ac:dyDescent="0.35">
      <c r="A485" s="69">
        <v>48210007</v>
      </c>
      <c r="B485" s="69" t="s">
        <v>1941</v>
      </c>
      <c r="C485" s="69" t="s">
        <v>1942</v>
      </c>
      <c r="D485" s="69">
        <v>9322042651</v>
      </c>
      <c r="E485" s="69" t="s">
        <v>1943</v>
      </c>
      <c r="F485" s="69" t="s">
        <v>1629</v>
      </c>
      <c r="G485" s="26">
        <v>13</v>
      </c>
      <c r="H485" s="26">
        <v>11</v>
      </c>
      <c r="I485" s="26">
        <v>4</v>
      </c>
      <c r="J485" s="26">
        <v>58</v>
      </c>
      <c r="K485" s="26">
        <v>18</v>
      </c>
      <c r="L485" s="26">
        <v>13</v>
      </c>
      <c r="M485" s="26">
        <v>11</v>
      </c>
      <c r="N485" s="26">
        <v>5</v>
      </c>
      <c r="O485" s="26">
        <v>8</v>
      </c>
      <c r="P485" s="26">
        <v>4</v>
      </c>
      <c r="Q485" s="70">
        <v>1</v>
      </c>
      <c r="R485" s="26">
        <v>146</v>
      </c>
    </row>
    <row r="486" spans="1:18" x14ac:dyDescent="0.35">
      <c r="A486" s="69">
        <v>48210008</v>
      </c>
      <c r="B486" s="69" t="s">
        <v>1944</v>
      </c>
      <c r="C486" s="69" t="s">
        <v>1945</v>
      </c>
      <c r="D486" s="69">
        <v>8108282955</v>
      </c>
      <c r="E486" s="69" t="s">
        <v>1946</v>
      </c>
      <c r="F486" s="69" t="s">
        <v>1629</v>
      </c>
      <c r="G486" s="26">
        <v>15</v>
      </c>
      <c r="H486" s="26">
        <v>2</v>
      </c>
      <c r="I486" s="26"/>
      <c r="J486" s="26">
        <v>16</v>
      </c>
      <c r="K486" s="26">
        <v>8</v>
      </c>
      <c r="L486" s="26">
        <v>5</v>
      </c>
      <c r="M486" s="26">
        <v>4</v>
      </c>
      <c r="N486" s="26">
        <v>2</v>
      </c>
      <c r="O486" s="26"/>
      <c r="P486" s="26">
        <v>1</v>
      </c>
      <c r="Q486" s="70">
        <v>0</v>
      </c>
      <c r="R486" s="26">
        <v>53</v>
      </c>
    </row>
    <row r="487" spans="1:18" x14ac:dyDescent="0.35">
      <c r="A487" s="69">
        <v>48210009</v>
      </c>
      <c r="B487" s="69" t="s">
        <v>935</v>
      </c>
      <c r="C487" s="69" t="s">
        <v>1947</v>
      </c>
      <c r="D487" s="69">
        <v>9819204678</v>
      </c>
      <c r="E487" s="69" t="s">
        <v>1948</v>
      </c>
      <c r="F487" s="69" t="s">
        <v>1629</v>
      </c>
      <c r="G487" s="26"/>
      <c r="H487" s="26">
        <v>17</v>
      </c>
      <c r="I487" s="26"/>
      <c r="J487" s="26">
        <v>47</v>
      </c>
      <c r="K487" s="26"/>
      <c r="L487" s="26">
        <v>59</v>
      </c>
      <c r="M487" s="26"/>
      <c r="N487" s="26">
        <v>15</v>
      </c>
      <c r="O487" s="26"/>
      <c r="P487" s="26">
        <v>41</v>
      </c>
      <c r="Q487" s="70">
        <v>0</v>
      </c>
      <c r="R487" s="26">
        <v>179</v>
      </c>
    </row>
    <row r="488" spans="1:18" x14ac:dyDescent="0.35">
      <c r="A488" s="69">
        <v>48210010</v>
      </c>
      <c r="B488" s="69" t="s">
        <v>935</v>
      </c>
      <c r="C488" s="69" t="s">
        <v>1949</v>
      </c>
      <c r="D488" s="69">
        <v>9869214286</v>
      </c>
      <c r="E488" s="69" t="s">
        <v>1950</v>
      </c>
      <c r="F488" s="69" t="s">
        <v>1629</v>
      </c>
      <c r="G488" s="26">
        <v>25</v>
      </c>
      <c r="H488" s="26">
        <v>9</v>
      </c>
      <c r="I488" s="26">
        <v>3</v>
      </c>
      <c r="J488" s="26">
        <v>50</v>
      </c>
      <c r="K488" s="26">
        <v>9</v>
      </c>
      <c r="L488" s="26">
        <v>23</v>
      </c>
      <c r="M488" s="26">
        <v>15</v>
      </c>
      <c r="N488" s="26">
        <v>8</v>
      </c>
      <c r="O488" s="26">
        <v>7</v>
      </c>
      <c r="P488" s="26">
        <v>9</v>
      </c>
      <c r="Q488" s="70">
        <v>2</v>
      </c>
      <c r="R488" s="26">
        <v>160</v>
      </c>
    </row>
    <row r="489" spans="1:18" x14ac:dyDescent="0.35">
      <c r="A489" s="69">
        <v>48210032</v>
      </c>
      <c r="B489" s="69" t="s">
        <v>935</v>
      </c>
      <c r="C489" s="69" t="s">
        <v>1951</v>
      </c>
      <c r="D489" s="69">
        <v>9869660484</v>
      </c>
      <c r="E489" s="69" t="s">
        <v>1952</v>
      </c>
      <c r="F489" s="69" t="s">
        <v>1629</v>
      </c>
      <c r="G489" s="26">
        <v>43</v>
      </c>
      <c r="H489" s="26"/>
      <c r="I489" s="26">
        <v>50</v>
      </c>
      <c r="J489" s="26">
        <v>135</v>
      </c>
      <c r="K489" s="26">
        <v>5</v>
      </c>
      <c r="L489" s="26">
        <v>1</v>
      </c>
      <c r="M489" s="26">
        <v>52</v>
      </c>
      <c r="N489" s="26">
        <v>46</v>
      </c>
      <c r="O489" s="26">
        <v>16</v>
      </c>
      <c r="P489" s="26">
        <v>30</v>
      </c>
      <c r="Q489" s="70">
        <v>0</v>
      </c>
      <c r="R489" s="26">
        <v>378</v>
      </c>
    </row>
    <row r="490" spans="1:18" x14ac:dyDescent="0.35">
      <c r="A490" s="69">
        <v>48210040</v>
      </c>
      <c r="B490" s="69" t="s">
        <v>935</v>
      </c>
      <c r="C490" s="69" t="s">
        <v>1953</v>
      </c>
      <c r="D490" s="69">
        <v>9699067475</v>
      </c>
      <c r="E490" s="69" t="s">
        <v>1954</v>
      </c>
      <c r="F490" s="69" t="s">
        <v>1629</v>
      </c>
      <c r="G490" s="26">
        <v>16</v>
      </c>
      <c r="H490" s="26"/>
      <c r="I490" s="26"/>
      <c r="J490" s="26">
        <v>86</v>
      </c>
      <c r="K490" s="26"/>
      <c r="L490" s="26">
        <v>28</v>
      </c>
      <c r="M490" s="26">
        <v>25</v>
      </c>
      <c r="N490" s="26">
        <v>27</v>
      </c>
      <c r="O490" s="26"/>
      <c r="P490" s="26">
        <v>15</v>
      </c>
      <c r="Q490" s="70">
        <v>1</v>
      </c>
      <c r="R490" s="26">
        <v>198</v>
      </c>
    </row>
    <row r="491" spans="1:18" x14ac:dyDescent="0.35">
      <c r="A491" s="69">
        <v>48210054</v>
      </c>
      <c r="B491" s="69" t="s">
        <v>1955</v>
      </c>
      <c r="C491" s="69" t="s">
        <v>1956</v>
      </c>
      <c r="D491" s="69">
        <v>9869214286</v>
      </c>
      <c r="E491" s="69" t="s">
        <v>1957</v>
      </c>
      <c r="F491" s="69" t="s">
        <v>1629</v>
      </c>
      <c r="G491" s="26">
        <v>5</v>
      </c>
      <c r="H491" s="26"/>
      <c r="I491" s="26">
        <v>10</v>
      </c>
      <c r="J491" s="26">
        <v>34</v>
      </c>
      <c r="K491" s="26">
        <v>6</v>
      </c>
      <c r="L491" s="26">
        <v>26</v>
      </c>
      <c r="M491" s="26">
        <v>19</v>
      </c>
      <c r="N491" s="26">
        <v>1</v>
      </c>
      <c r="O491" s="26">
        <v>5</v>
      </c>
      <c r="P491" s="26">
        <v>14</v>
      </c>
      <c r="Q491" s="70">
        <v>1</v>
      </c>
      <c r="R491" s="26">
        <v>121</v>
      </c>
    </row>
    <row r="492" spans="1:18" x14ac:dyDescent="0.35">
      <c r="A492" s="69">
        <v>48210083</v>
      </c>
      <c r="B492" s="69" t="s">
        <v>935</v>
      </c>
      <c r="C492" s="69" t="s">
        <v>1958</v>
      </c>
      <c r="D492" s="69">
        <v>9869214286</v>
      </c>
      <c r="E492" s="69" t="s">
        <v>1959</v>
      </c>
      <c r="F492" s="69" t="s">
        <v>1629</v>
      </c>
      <c r="G492" s="26">
        <v>14</v>
      </c>
      <c r="H492" s="26"/>
      <c r="I492" s="26"/>
      <c r="J492" s="26">
        <v>68</v>
      </c>
      <c r="K492" s="26">
        <v>15</v>
      </c>
      <c r="L492" s="26">
        <v>7</v>
      </c>
      <c r="M492" s="26"/>
      <c r="N492" s="26">
        <v>15</v>
      </c>
      <c r="O492" s="26"/>
      <c r="P492" s="26">
        <v>17</v>
      </c>
      <c r="Q492" s="70">
        <v>5</v>
      </c>
      <c r="R492" s="26">
        <v>141</v>
      </c>
    </row>
    <row r="493" spans="1:18" x14ac:dyDescent="0.35">
      <c r="A493" s="69">
        <v>48210092</v>
      </c>
      <c r="B493" s="69" t="s">
        <v>1960</v>
      </c>
      <c r="C493" s="69" t="s">
        <v>1961</v>
      </c>
      <c r="D493" s="69">
        <v>9869214286</v>
      </c>
      <c r="E493" s="69" t="s">
        <v>1962</v>
      </c>
      <c r="F493" s="69" t="s">
        <v>1629</v>
      </c>
      <c r="G493" s="26">
        <v>19</v>
      </c>
      <c r="H493" s="26"/>
      <c r="I493" s="26"/>
      <c r="J493" s="26">
        <v>88</v>
      </c>
      <c r="K493" s="26"/>
      <c r="L493" s="26"/>
      <c r="M493" s="26">
        <v>47</v>
      </c>
      <c r="N493" s="26"/>
      <c r="O493" s="26">
        <v>0</v>
      </c>
      <c r="P493" s="26">
        <v>36</v>
      </c>
      <c r="Q493" s="70">
        <v>0</v>
      </c>
      <c r="R493" s="26">
        <v>190</v>
      </c>
    </row>
    <row r="494" spans="1:18" x14ac:dyDescent="0.35">
      <c r="A494" s="69">
        <v>48210094</v>
      </c>
      <c r="B494" s="69" t="s">
        <v>1960</v>
      </c>
      <c r="C494" s="69" t="s">
        <v>1963</v>
      </c>
      <c r="D494" s="69">
        <v>9869214286</v>
      </c>
      <c r="E494" s="69" t="s">
        <v>1964</v>
      </c>
      <c r="F494" s="69" t="s">
        <v>1629</v>
      </c>
      <c r="G494" s="26">
        <v>26</v>
      </c>
      <c r="H494" s="26">
        <v>10</v>
      </c>
      <c r="I494" s="26"/>
      <c r="J494" s="26">
        <v>57</v>
      </c>
      <c r="K494" s="26">
        <v>16</v>
      </c>
      <c r="L494" s="26">
        <v>30</v>
      </c>
      <c r="M494" s="26">
        <v>12</v>
      </c>
      <c r="N494" s="26">
        <v>9</v>
      </c>
      <c r="O494" s="26">
        <v>8</v>
      </c>
      <c r="P494" s="26">
        <v>15</v>
      </c>
      <c r="Q494" s="70">
        <v>4</v>
      </c>
      <c r="R494" s="26">
        <v>187</v>
      </c>
    </row>
    <row r="495" spans="1:18" x14ac:dyDescent="0.35">
      <c r="A495" s="69">
        <v>48210125</v>
      </c>
      <c r="B495" s="69" t="s">
        <v>1965</v>
      </c>
      <c r="C495" s="69" t="s">
        <v>1966</v>
      </c>
      <c r="D495" s="69">
        <v>9869669298</v>
      </c>
      <c r="E495" s="69" t="s">
        <v>1967</v>
      </c>
      <c r="F495" s="69" t="s">
        <v>203</v>
      </c>
      <c r="G495" s="26">
        <v>12</v>
      </c>
      <c r="H495" s="26">
        <v>12</v>
      </c>
      <c r="I495" s="26"/>
      <c r="J495" s="26">
        <v>185</v>
      </c>
      <c r="K495" s="26">
        <v>9</v>
      </c>
      <c r="L495" s="26"/>
      <c r="M495" s="26">
        <v>15</v>
      </c>
      <c r="N495" s="26">
        <v>2</v>
      </c>
      <c r="O495" s="26">
        <v>4</v>
      </c>
      <c r="P495" s="26">
        <v>10</v>
      </c>
      <c r="Q495" s="70">
        <v>0</v>
      </c>
      <c r="R495" s="26">
        <v>249</v>
      </c>
    </row>
    <row r="496" spans="1:18" x14ac:dyDescent="0.35">
      <c r="A496" s="69">
        <v>48210128</v>
      </c>
      <c r="B496" s="69" t="s">
        <v>1968</v>
      </c>
      <c r="C496" s="69" t="s">
        <v>1969</v>
      </c>
      <c r="D496" s="69">
        <v>9820016523</v>
      </c>
      <c r="E496" s="69" t="s">
        <v>1970</v>
      </c>
      <c r="F496" s="69" t="s">
        <v>1629</v>
      </c>
      <c r="G496" s="26"/>
      <c r="H496" s="26"/>
      <c r="I496" s="26">
        <v>15</v>
      </c>
      <c r="J496" s="26">
        <v>16</v>
      </c>
      <c r="K496" s="26">
        <v>5</v>
      </c>
      <c r="L496" s="26">
        <v>9</v>
      </c>
      <c r="M496" s="26">
        <v>13</v>
      </c>
      <c r="N496" s="26">
        <v>6</v>
      </c>
      <c r="O496" s="26">
        <v>1</v>
      </c>
      <c r="P496" s="26">
        <v>5</v>
      </c>
      <c r="Q496" s="70">
        <v>3</v>
      </c>
      <c r="R496" s="26">
        <v>73</v>
      </c>
    </row>
    <row r="497" spans="1:18" x14ac:dyDescent="0.35">
      <c r="A497" s="69">
        <v>52210001</v>
      </c>
      <c r="B497" s="69" t="s">
        <v>1971</v>
      </c>
      <c r="C497" s="69" t="s">
        <v>1972</v>
      </c>
      <c r="D497" s="69">
        <v>9850339391</v>
      </c>
      <c r="E497" s="69" t="s">
        <v>1973</v>
      </c>
      <c r="F497" s="69" t="s">
        <v>1974</v>
      </c>
      <c r="G497" s="26">
        <v>36</v>
      </c>
      <c r="H497" s="26">
        <v>18</v>
      </c>
      <c r="I497" s="26">
        <v>7</v>
      </c>
      <c r="J497" s="26">
        <v>119</v>
      </c>
      <c r="K497" s="26">
        <v>30</v>
      </c>
      <c r="L497" s="26">
        <v>19</v>
      </c>
      <c r="M497" s="26">
        <v>32</v>
      </c>
      <c r="N497" s="26">
        <v>19</v>
      </c>
      <c r="O497" s="26">
        <v>17</v>
      </c>
      <c r="P497" s="26">
        <v>0</v>
      </c>
      <c r="Q497" s="70">
        <v>15</v>
      </c>
      <c r="R497" s="26">
        <v>312</v>
      </c>
    </row>
    <row r="498" spans="1:18" x14ac:dyDescent="0.35">
      <c r="A498" s="69">
        <v>52210003</v>
      </c>
      <c r="B498" s="69" t="s">
        <v>1975</v>
      </c>
      <c r="C498" s="69" t="s">
        <v>1976</v>
      </c>
      <c r="D498" s="69">
        <v>9423425750</v>
      </c>
      <c r="E498" s="69" t="s">
        <v>1977</v>
      </c>
      <c r="F498" s="69" t="s">
        <v>1974</v>
      </c>
      <c r="G498" s="26">
        <v>43</v>
      </c>
      <c r="H498" s="26"/>
      <c r="I498" s="26">
        <v>84</v>
      </c>
      <c r="J498" s="26">
        <v>130</v>
      </c>
      <c r="K498" s="26">
        <v>7</v>
      </c>
      <c r="L498" s="26">
        <v>4</v>
      </c>
      <c r="M498" s="26">
        <v>18</v>
      </c>
      <c r="N498" s="26">
        <v>35</v>
      </c>
      <c r="O498" s="26"/>
      <c r="P498" s="26">
        <v>29</v>
      </c>
      <c r="Q498" s="70">
        <v>6</v>
      </c>
      <c r="R498" s="26">
        <v>356</v>
      </c>
    </row>
    <row r="499" spans="1:18" x14ac:dyDescent="0.35">
      <c r="A499" s="69">
        <v>52210005</v>
      </c>
      <c r="B499" s="69" t="s">
        <v>1978</v>
      </c>
      <c r="C499" s="69" t="s">
        <v>1979</v>
      </c>
      <c r="D499" s="69">
        <v>9890531736</v>
      </c>
      <c r="E499" s="69" t="s">
        <v>1980</v>
      </c>
      <c r="F499" s="69" t="s">
        <v>1974</v>
      </c>
      <c r="G499" s="26">
        <v>74</v>
      </c>
      <c r="H499" s="26"/>
      <c r="I499" s="26">
        <v>147</v>
      </c>
      <c r="J499" s="26">
        <v>69</v>
      </c>
      <c r="K499" s="26"/>
      <c r="L499" s="26">
        <v>56</v>
      </c>
      <c r="M499" s="26">
        <v>38</v>
      </c>
      <c r="N499" s="26">
        <v>41</v>
      </c>
      <c r="O499" s="26">
        <v>18</v>
      </c>
      <c r="P499" s="26">
        <v>21</v>
      </c>
      <c r="Q499" s="70">
        <v>2</v>
      </c>
      <c r="R499" s="26">
        <v>466</v>
      </c>
    </row>
    <row r="500" spans="1:18" x14ac:dyDescent="0.35">
      <c r="A500" s="69">
        <v>52210008</v>
      </c>
      <c r="B500" s="69" t="s">
        <v>1981</v>
      </c>
      <c r="C500" s="69" t="s">
        <v>1982</v>
      </c>
      <c r="D500" s="69">
        <v>9421737767</v>
      </c>
      <c r="E500" s="69" t="s">
        <v>1983</v>
      </c>
      <c r="F500" s="69" t="s">
        <v>1974</v>
      </c>
      <c r="G500" s="26">
        <v>5</v>
      </c>
      <c r="H500" s="26"/>
      <c r="I500" s="26"/>
      <c r="J500" s="26">
        <v>44</v>
      </c>
      <c r="K500" s="26">
        <v>7</v>
      </c>
      <c r="L500" s="26"/>
      <c r="M500" s="26">
        <v>2</v>
      </c>
      <c r="N500" s="26"/>
      <c r="O500" s="26">
        <v>7</v>
      </c>
      <c r="P500" s="26">
        <v>4</v>
      </c>
      <c r="Q500" s="70">
        <v>0</v>
      </c>
      <c r="R500" s="26">
        <v>69</v>
      </c>
    </row>
    <row r="501" spans="1:18" x14ac:dyDescent="0.35">
      <c r="A501" s="69">
        <v>52210010</v>
      </c>
      <c r="B501" s="69" t="s">
        <v>1984</v>
      </c>
      <c r="C501" s="69" t="s">
        <v>1985</v>
      </c>
      <c r="D501" s="69">
        <v>9423647135</v>
      </c>
      <c r="E501" s="69" t="s">
        <v>1986</v>
      </c>
      <c r="F501" s="69" t="s">
        <v>1974</v>
      </c>
      <c r="G501" s="26">
        <v>53</v>
      </c>
      <c r="H501" s="26">
        <v>7</v>
      </c>
      <c r="I501" s="26">
        <v>51</v>
      </c>
      <c r="J501" s="26">
        <v>120</v>
      </c>
      <c r="K501" s="26">
        <v>15</v>
      </c>
      <c r="L501" s="26"/>
      <c r="M501" s="26">
        <v>11</v>
      </c>
      <c r="N501" s="26">
        <v>12</v>
      </c>
      <c r="O501" s="26">
        <v>17</v>
      </c>
      <c r="P501" s="26">
        <v>14</v>
      </c>
      <c r="Q501" s="70">
        <v>6</v>
      </c>
      <c r="R501" s="26">
        <v>306</v>
      </c>
    </row>
    <row r="502" spans="1:18" x14ac:dyDescent="0.35">
      <c r="A502" s="69">
        <v>52210063</v>
      </c>
      <c r="B502" s="69" t="s">
        <v>1987</v>
      </c>
      <c r="C502" s="69" t="s">
        <v>1988</v>
      </c>
      <c r="D502" s="69">
        <v>9423126963</v>
      </c>
      <c r="E502" s="69" t="s">
        <v>1989</v>
      </c>
      <c r="F502" s="69" t="s">
        <v>1974</v>
      </c>
      <c r="G502" s="26"/>
      <c r="H502" s="26"/>
      <c r="I502" s="26"/>
      <c r="J502" s="26">
        <v>25</v>
      </c>
      <c r="K502" s="26"/>
      <c r="L502" s="26"/>
      <c r="M502" s="26"/>
      <c r="N502" s="26"/>
      <c r="O502" s="26"/>
      <c r="P502" s="26">
        <v>0</v>
      </c>
      <c r="Q502" s="70">
        <v>0</v>
      </c>
      <c r="R502" s="26">
        <v>25</v>
      </c>
    </row>
    <row r="503" spans="1:18" x14ac:dyDescent="0.35">
      <c r="A503" s="69">
        <v>52210065</v>
      </c>
      <c r="B503" s="69" t="s">
        <v>1990</v>
      </c>
      <c r="C503" s="69" t="s">
        <v>1991</v>
      </c>
      <c r="D503" s="69">
        <v>9422144999</v>
      </c>
      <c r="E503" s="69" t="s">
        <v>1992</v>
      </c>
      <c r="F503" s="69" t="s">
        <v>1974</v>
      </c>
      <c r="G503" s="26">
        <v>10</v>
      </c>
      <c r="H503" s="26"/>
      <c r="I503" s="26">
        <v>14</v>
      </c>
      <c r="J503" s="26">
        <v>36</v>
      </c>
      <c r="K503" s="26">
        <v>33</v>
      </c>
      <c r="L503" s="26"/>
      <c r="M503" s="26">
        <v>7</v>
      </c>
      <c r="N503" s="26">
        <v>17</v>
      </c>
      <c r="O503" s="26">
        <v>8</v>
      </c>
      <c r="P503" s="26">
        <v>12</v>
      </c>
      <c r="Q503" s="70">
        <v>0</v>
      </c>
      <c r="R503" s="26">
        <v>137</v>
      </c>
    </row>
    <row r="504" spans="1:18" x14ac:dyDescent="0.35">
      <c r="A504" s="69">
        <v>52210080</v>
      </c>
      <c r="B504" s="69" t="s">
        <v>1993</v>
      </c>
      <c r="C504" s="69" t="s">
        <v>1994</v>
      </c>
      <c r="D504" s="69">
        <v>9422158244</v>
      </c>
      <c r="E504" s="69" t="s">
        <v>1995</v>
      </c>
      <c r="F504" s="69" t="s">
        <v>1974</v>
      </c>
      <c r="G504" s="26"/>
      <c r="H504" s="26">
        <v>16</v>
      </c>
      <c r="I504" s="26">
        <v>3</v>
      </c>
      <c r="J504" s="26">
        <v>87</v>
      </c>
      <c r="K504" s="26">
        <v>21</v>
      </c>
      <c r="L504" s="26">
        <v>9</v>
      </c>
      <c r="M504" s="26">
        <v>5</v>
      </c>
      <c r="N504" s="26">
        <v>0</v>
      </c>
      <c r="O504" s="26">
        <v>12</v>
      </c>
      <c r="P504" s="26">
        <v>0</v>
      </c>
      <c r="Q504" s="70">
        <v>0</v>
      </c>
      <c r="R504" s="26">
        <v>153</v>
      </c>
    </row>
    <row r="505" spans="1:18" x14ac:dyDescent="0.35">
      <c r="A505" s="69">
        <v>52210103</v>
      </c>
      <c r="B505" s="69" t="s">
        <v>1996</v>
      </c>
      <c r="C505" s="69" t="s">
        <v>1997</v>
      </c>
      <c r="D505" s="69">
        <v>9421742042</v>
      </c>
      <c r="E505" s="69" t="s">
        <v>1998</v>
      </c>
      <c r="F505" s="69" t="s">
        <v>1974</v>
      </c>
      <c r="G505" s="26">
        <v>6</v>
      </c>
      <c r="H505" s="26">
        <v>2</v>
      </c>
      <c r="I505" s="26">
        <v>3</v>
      </c>
      <c r="J505" s="26">
        <v>24</v>
      </c>
      <c r="K505" s="26">
        <v>9</v>
      </c>
      <c r="L505" s="26"/>
      <c r="M505" s="26">
        <v>5</v>
      </c>
      <c r="N505" s="26">
        <v>5</v>
      </c>
      <c r="O505" s="26">
        <v>5</v>
      </c>
      <c r="P505" s="26">
        <v>3</v>
      </c>
      <c r="Q505" s="70">
        <v>4</v>
      </c>
      <c r="R505" s="26">
        <v>66</v>
      </c>
    </row>
    <row r="506" spans="1:18" x14ac:dyDescent="0.35">
      <c r="A506" s="69">
        <v>52210108</v>
      </c>
      <c r="B506" s="69" t="s">
        <v>1999</v>
      </c>
      <c r="C506" s="69" t="s">
        <v>2000</v>
      </c>
      <c r="D506" s="69">
        <v>9371864007</v>
      </c>
      <c r="E506" s="69" t="s">
        <v>2001</v>
      </c>
      <c r="F506" s="69" t="s">
        <v>1974</v>
      </c>
      <c r="G506" s="26"/>
      <c r="H506" s="26">
        <v>13</v>
      </c>
      <c r="I506" s="26"/>
      <c r="J506" s="26">
        <v>31</v>
      </c>
      <c r="K506" s="26">
        <v>11</v>
      </c>
      <c r="L506" s="26"/>
      <c r="M506" s="26">
        <v>3</v>
      </c>
      <c r="N506" s="26"/>
      <c r="O506" s="26">
        <v>17</v>
      </c>
      <c r="P506" s="26">
        <v>0</v>
      </c>
      <c r="Q506" s="70">
        <v>0</v>
      </c>
      <c r="R506" s="26">
        <v>75</v>
      </c>
    </row>
    <row r="507" spans="1:18" x14ac:dyDescent="0.35">
      <c r="A507" s="69">
        <v>52210110</v>
      </c>
      <c r="B507" s="69" t="s">
        <v>2002</v>
      </c>
      <c r="C507" s="69" t="s">
        <v>2003</v>
      </c>
      <c r="D507" s="69">
        <v>9823509439</v>
      </c>
      <c r="E507" s="69" t="s">
        <v>2004</v>
      </c>
      <c r="F507" s="69" t="s">
        <v>1974</v>
      </c>
      <c r="G507" s="26">
        <v>19</v>
      </c>
      <c r="H507" s="26"/>
      <c r="I507" s="26"/>
      <c r="J507" s="26">
        <v>33</v>
      </c>
      <c r="K507" s="26">
        <v>7</v>
      </c>
      <c r="L507" s="26"/>
      <c r="M507" s="26">
        <v>6</v>
      </c>
      <c r="N507" s="26">
        <v>0</v>
      </c>
      <c r="O507" s="26">
        <v>10</v>
      </c>
      <c r="P507" s="26">
        <v>31</v>
      </c>
      <c r="Q507" s="70">
        <v>0</v>
      </c>
      <c r="R507" s="26">
        <v>106</v>
      </c>
    </row>
    <row r="508" spans="1:18" x14ac:dyDescent="0.35">
      <c r="A508" s="69">
        <v>52210111</v>
      </c>
      <c r="B508" s="69" t="s">
        <v>2005</v>
      </c>
      <c r="C508" s="69" t="s">
        <v>2006</v>
      </c>
      <c r="D508" s="69">
        <v>9423609578</v>
      </c>
      <c r="E508" s="69" t="s">
        <v>2007</v>
      </c>
      <c r="F508" s="69" t="s">
        <v>1974</v>
      </c>
      <c r="G508" s="26">
        <v>20</v>
      </c>
      <c r="H508" s="26"/>
      <c r="I508" s="26">
        <v>31</v>
      </c>
      <c r="J508" s="26">
        <v>20</v>
      </c>
      <c r="K508" s="26">
        <v>6</v>
      </c>
      <c r="L508" s="26"/>
      <c r="M508" s="26"/>
      <c r="N508" s="26">
        <v>10</v>
      </c>
      <c r="O508" s="26">
        <v>8</v>
      </c>
      <c r="P508" s="26">
        <v>8</v>
      </c>
      <c r="Q508" s="70">
        <v>2</v>
      </c>
      <c r="R508" s="26">
        <v>105</v>
      </c>
    </row>
    <row r="509" spans="1:18" x14ac:dyDescent="0.35">
      <c r="A509" s="69">
        <v>52210116</v>
      </c>
      <c r="B509" s="69" t="s">
        <v>2008</v>
      </c>
      <c r="C509" s="69" t="s">
        <v>2009</v>
      </c>
      <c r="D509" s="69">
        <v>9860169737</v>
      </c>
      <c r="E509" s="69" t="s">
        <v>2010</v>
      </c>
      <c r="F509" s="69" t="s">
        <v>1974</v>
      </c>
      <c r="G509" s="26">
        <v>22</v>
      </c>
      <c r="H509" s="26"/>
      <c r="I509" s="26"/>
      <c r="J509" s="26">
        <v>70</v>
      </c>
      <c r="K509" s="26">
        <v>14</v>
      </c>
      <c r="L509" s="26"/>
      <c r="M509" s="26">
        <v>13</v>
      </c>
      <c r="N509" s="26">
        <v>7</v>
      </c>
      <c r="O509" s="26"/>
      <c r="P509" s="26">
        <v>13</v>
      </c>
      <c r="Q509" s="70">
        <v>0</v>
      </c>
      <c r="R509" s="26">
        <v>139</v>
      </c>
    </row>
    <row r="510" spans="1:18" x14ac:dyDescent="0.35">
      <c r="A510" s="69">
        <v>52210121</v>
      </c>
      <c r="B510" s="69" t="s">
        <v>2011</v>
      </c>
      <c r="C510" s="69" t="s">
        <v>2012</v>
      </c>
      <c r="D510" s="69">
        <v>9923563646</v>
      </c>
      <c r="E510" s="69" t="s">
        <v>2013</v>
      </c>
      <c r="F510" s="69" t="s">
        <v>1974</v>
      </c>
      <c r="G510" s="26"/>
      <c r="H510" s="26">
        <v>1</v>
      </c>
      <c r="I510" s="26">
        <v>28</v>
      </c>
      <c r="J510" s="26">
        <v>45</v>
      </c>
      <c r="K510" s="26">
        <v>9</v>
      </c>
      <c r="L510" s="26"/>
      <c r="M510" s="26">
        <v>9</v>
      </c>
      <c r="N510" s="26">
        <v>15</v>
      </c>
      <c r="O510" s="26">
        <v>6</v>
      </c>
      <c r="P510" s="26">
        <v>1</v>
      </c>
      <c r="Q510" s="70">
        <v>2</v>
      </c>
      <c r="R510" s="26">
        <v>116</v>
      </c>
    </row>
    <row r="511" spans="1:18" x14ac:dyDescent="0.35">
      <c r="A511" s="69">
        <v>52210122</v>
      </c>
      <c r="B511" s="69" t="s">
        <v>2014</v>
      </c>
      <c r="C511" s="69" t="s">
        <v>2015</v>
      </c>
      <c r="D511" s="69">
        <v>9823410147</v>
      </c>
      <c r="E511" s="69" t="s">
        <v>2016</v>
      </c>
      <c r="F511" s="69" t="s">
        <v>1974</v>
      </c>
      <c r="G511" s="26">
        <v>19</v>
      </c>
      <c r="H511" s="26"/>
      <c r="I511" s="26">
        <v>30</v>
      </c>
      <c r="J511" s="26">
        <v>87</v>
      </c>
      <c r="K511" s="26">
        <v>17</v>
      </c>
      <c r="L511" s="26"/>
      <c r="M511" s="26">
        <v>21</v>
      </c>
      <c r="N511" s="26">
        <v>11</v>
      </c>
      <c r="O511" s="26"/>
      <c r="P511" s="26">
        <v>8</v>
      </c>
      <c r="Q511" s="70">
        <v>3</v>
      </c>
      <c r="R511" s="26">
        <v>196</v>
      </c>
    </row>
    <row r="512" spans="1:18" x14ac:dyDescent="0.35">
      <c r="A512" s="69">
        <v>52210130</v>
      </c>
      <c r="B512" s="69" t="s">
        <v>2017</v>
      </c>
      <c r="C512" s="69" t="s">
        <v>2018</v>
      </c>
      <c r="D512" s="69">
        <v>9960046474</v>
      </c>
      <c r="E512" s="69" t="s">
        <v>2019</v>
      </c>
      <c r="F512" s="69" t="s">
        <v>1974</v>
      </c>
      <c r="G512" s="26">
        <v>37</v>
      </c>
      <c r="H512" s="26">
        <v>6</v>
      </c>
      <c r="I512" s="26">
        <v>63</v>
      </c>
      <c r="J512" s="26">
        <v>92</v>
      </c>
      <c r="K512" s="26">
        <v>43</v>
      </c>
      <c r="L512" s="26">
        <v>14</v>
      </c>
      <c r="M512" s="26">
        <v>22</v>
      </c>
      <c r="N512" s="26">
        <v>29</v>
      </c>
      <c r="O512" s="26">
        <v>12</v>
      </c>
      <c r="P512" s="26">
        <v>11</v>
      </c>
      <c r="Q512" s="70">
        <v>8</v>
      </c>
      <c r="R512" s="26">
        <v>337</v>
      </c>
    </row>
    <row r="513" spans="1:18" x14ac:dyDescent="0.35">
      <c r="A513" s="69">
        <v>52210131</v>
      </c>
      <c r="B513" s="69" t="s">
        <v>2020</v>
      </c>
      <c r="C513" s="69" t="s">
        <v>2021</v>
      </c>
      <c r="D513" s="69">
        <v>9420077454</v>
      </c>
      <c r="E513" s="69" t="s">
        <v>2022</v>
      </c>
      <c r="F513" s="69" t="s">
        <v>1974</v>
      </c>
      <c r="G513" s="26">
        <v>49</v>
      </c>
      <c r="H513" s="26">
        <v>8</v>
      </c>
      <c r="I513" s="26">
        <v>44</v>
      </c>
      <c r="J513" s="26">
        <v>105</v>
      </c>
      <c r="K513" s="26">
        <v>43</v>
      </c>
      <c r="L513" s="26">
        <v>42</v>
      </c>
      <c r="M513" s="26">
        <v>22</v>
      </c>
      <c r="N513" s="26">
        <v>10</v>
      </c>
      <c r="O513" s="26">
        <v>7</v>
      </c>
      <c r="P513" s="26">
        <v>24</v>
      </c>
      <c r="Q513" s="70">
        <v>7</v>
      </c>
      <c r="R513" s="26">
        <v>361</v>
      </c>
    </row>
    <row r="514" spans="1:18" x14ac:dyDescent="0.35">
      <c r="A514" s="69">
        <v>52210137</v>
      </c>
      <c r="B514" s="69" t="s">
        <v>2023</v>
      </c>
      <c r="C514" s="69" t="s">
        <v>2024</v>
      </c>
      <c r="D514" s="69">
        <v>9850714585</v>
      </c>
      <c r="E514" s="69" t="s">
        <v>2025</v>
      </c>
      <c r="F514" s="69" t="s">
        <v>1974</v>
      </c>
      <c r="G514" s="26"/>
      <c r="H514" s="26">
        <v>16</v>
      </c>
      <c r="I514" s="26"/>
      <c r="J514" s="26">
        <v>87</v>
      </c>
      <c r="K514" s="26">
        <v>7</v>
      </c>
      <c r="L514" s="26"/>
      <c r="M514" s="26"/>
      <c r="N514" s="26">
        <v>5</v>
      </c>
      <c r="O514" s="26"/>
      <c r="P514" s="26">
        <v>21</v>
      </c>
      <c r="Q514" s="70">
        <v>8</v>
      </c>
      <c r="R514" s="26">
        <v>144</v>
      </c>
    </row>
    <row r="515" spans="1:18" x14ac:dyDescent="0.35">
      <c r="A515" s="69">
        <v>52210139</v>
      </c>
      <c r="B515" s="69" t="s">
        <v>2026</v>
      </c>
      <c r="C515" s="69" t="s">
        <v>2027</v>
      </c>
      <c r="D515" s="69">
        <v>9890907580</v>
      </c>
      <c r="E515" s="69" t="s">
        <v>2028</v>
      </c>
      <c r="F515" s="69" t="s">
        <v>1974</v>
      </c>
      <c r="G515" s="26">
        <v>13</v>
      </c>
      <c r="H515" s="26"/>
      <c r="I515" s="26">
        <v>20</v>
      </c>
      <c r="J515" s="26">
        <v>21</v>
      </c>
      <c r="K515" s="26">
        <v>20</v>
      </c>
      <c r="L515" s="26">
        <v>3</v>
      </c>
      <c r="M515" s="26">
        <v>8</v>
      </c>
      <c r="N515" s="26"/>
      <c r="O515" s="26">
        <v>9</v>
      </c>
      <c r="P515" s="26">
        <v>0</v>
      </c>
      <c r="Q515" s="70">
        <v>0</v>
      </c>
      <c r="R515" s="26">
        <v>94</v>
      </c>
    </row>
    <row r="516" spans="1:18" x14ac:dyDescent="0.35">
      <c r="A516" s="69">
        <v>52210140</v>
      </c>
      <c r="B516" s="69" t="s">
        <v>2029</v>
      </c>
      <c r="C516" s="69" t="s">
        <v>2030</v>
      </c>
      <c r="D516" s="69">
        <v>8805345971</v>
      </c>
      <c r="E516" s="69" t="s">
        <v>2031</v>
      </c>
      <c r="F516" s="69" t="s">
        <v>1974</v>
      </c>
      <c r="G516" s="26"/>
      <c r="H516" s="26"/>
      <c r="I516" s="26"/>
      <c r="J516" s="26">
        <v>8</v>
      </c>
      <c r="K516" s="26"/>
      <c r="L516" s="26">
        <v>2</v>
      </c>
      <c r="M516" s="26"/>
      <c r="N516" s="26"/>
      <c r="O516" s="26">
        <v>13</v>
      </c>
      <c r="P516" s="26">
        <v>16</v>
      </c>
      <c r="Q516" s="70">
        <v>0</v>
      </c>
      <c r="R516" s="26">
        <v>39</v>
      </c>
    </row>
    <row r="517" spans="1:18" x14ac:dyDescent="0.35">
      <c r="A517" s="69">
        <v>52210142</v>
      </c>
      <c r="B517" s="69" t="s">
        <v>2032</v>
      </c>
      <c r="C517" s="69" t="s">
        <v>2033</v>
      </c>
      <c r="D517" s="69">
        <v>9421738559</v>
      </c>
      <c r="E517" s="69" t="s">
        <v>2034</v>
      </c>
      <c r="F517" s="69" t="s">
        <v>1974</v>
      </c>
      <c r="G517" s="26">
        <v>27</v>
      </c>
      <c r="H517" s="26"/>
      <c r="I517" s="26">
        <v>53</v>
      </c>
      <c r="J517" s="26">
        <v>76</v>
      </c>
      <c r="K517" s="26">
        <v>38</v>
      </c>
      <c r="L517" s="26"/>
      <c r="M517" s="26">
        <v>17</v>
      </c>
      <c r="N517" s="26">
        <v>20</v>
      </c>
      <c r="O517" s="26">
        <v>53</v>
      </c>
      <c r="P517" s="26">
        <v>8</v>
      </c>
      <c r="Q517" s="70">
        <v>0</v>
      </c>
      <c r="R517" s="26">
        <v>292</v>
      </c>
    </row>
    <row r="518" spans="1:18" x14ac:dyDescent="0.35">
      <c r="A518" s="69">
        <v>52210143</v>
      </c>
      <c r="B518" s="69" t="s">
        <v>2035</v>
      </c>
      <c r="C518" s="69" t="s">
        <v>2036</v>
      </c>
      <c r="D518" s="69">
        <v>9595169968</v>
      </c>
      <c r="E518" s="69" t="s">
        <v>2037</v>
      </c>
      <c r="F518" s="69" t="s">
        <v>1974</v>
      </c>
      <c r="G518" s="26"/>
      <c r="H518" s="26"/>
      <c r="I518" s="26"/>
      <c r="J518" s="26"/>
      <c r="K518" s="26"/>
      <c r="L518" s="26"/>
      <c r="M518" s="26"/>
      <c r="N518" s="26">
        <v>15</v>
      </c>
      <c r="O518" s="26">
        <v>6</v>
      </c>
      <c r="P518" s="26">
        <v>18</v>
      </c>
      <c r="Q518" s="70">
        <v>0</v>
      </c>
      <c r="R518" s="26">
        <v>39</v>
      </c>
    </row>
    <row r="519" spans="1:18" x14ac:dyDescent="0.35">
      <c r="A519" s="69">
        <v>52210146</v>
      </c>
      <c r="B519" s="69" t="s">
        <v>2038</v>
      </c>
      <c r="C519" s="69" t="s">
        <v>2039</v>
      </c>
      <c r="D519" s="69">
        <v>9420189580</v>
      </c>
      <c r="E519" s="69" t="s">
        <v>2040</v>
      </c>
      <c r="F519" s="69" t="s">
        <v>1974</v>
      </c>
      <c r="G519" s="26">
        <v>19</v>
      </c>
      <c r="H519" s="26">
        <v>5</v>
      </c>
      <c r="I519" s="26">
        <v>10</v>
      </c>
      <c r="J519" s="26">
        <v>8</v>
      </c>
      <c r="K519" s="26">
        <v>17</v>
      </c>
      <c r="L519" s="26">
        <v>1</v>
      </c>
      <c r="M519" s="26"/>
      <c r="N519" s="26">
        <v>4</v>
      </c>
      <c r="O519" s="26">
        <v>13</v>
      </c>
      <c r="P519" s="26">
        <v>12</v>
      </c>
      <c r="Q519" s="70">
        <v>3</v>
      </c>
      <c r="R519" s="26">
        <v>92</v>
      </c>
    </row>
    <row r="520" spans="1:18" x14ac:dyDescent="0.35">
      <c r="A520" s="69">
        <v>52210148</v>
      </c>
      <c r="B520" s="69" t="s">
        <v>2041</v>
      </c>
      <c r="C520" s="69" t="s">
        <v>2042</v>
      </c>
      <c r="D520" s="69">
        <v>9730195814</v>
      </c>
      <c r="E520" s="69" t="s">
        <v>2043</v>
      </c>
      <c r="F520" s="69" t="s">
        <v>1974</v>
      </c>
      <c r="G520" s="26">
        <v>21</v>
      </c>
      <c r="H520" s="26"/>
      <c r="I520" s="26">
        <v>41</v>
      </c>
      <c r="J520" s="26">
        <v>73</v>
      </c>
      <c r="K520" s="26">
        <v>30</v>
      </c>
      <c r="L520" s="26">
        <v>24</v>
      </c>
      <c r="M520" s="26">
        <v>27</v>
      </c>
      <c r="N520" s="26">
        <v>17</v>
      </c>
      <c r="O520" s="26">
        <v>12</v>
      </c>
      <c r="P520" s="26">
        <v>12</v>
      </c>
      <c r="Q520" s="70">
        <v>13</v>
      </c>
      <c r="R520" s="26">
        <v>270</v>
      </c>
    </row>
    <row r="521" spans="1:18" x14ac:dyDescent="0.35">
      <c r="A521" s="69">
        <v>52210150</v>
      </c>
      <c r="B521" s="69" t="s">
        <v>2044</v>
      </c>
      <c r="C521" s="69" t="s">
        <v>2045</v>
      </c>
      <c r="D521" s="69">
        <v>9850330989</v>
      </c>
      <c r="E521" s="69" t="s">
        <v>2046</v>
      </c>
      <c r="F521" s="69" t="s">
        <v>1974</v>
      </c>
      <c r="G521" s="26"/>
      <c r="H521" s="26"/>
      <c r="I521" s="26"/>
      <c r="J521" s="26"/>
      <c r="K521" s="26">
        <v>17</v>
      </c>
      <c r="L521" s="26"/>
      <c r="M521" s="26"/>
      <c r="N521" s="26"/>
      <c r="O521" s="26">
        <v>0</v>
      </c>
      <c r="P521" s="26">
        <v>0</v>
      </c>
      <c r="Q521" s="70">
        <v>13</v>
      </c>
      <c r="R521" s="26">
        <v>30</v>
      </c>
    </row>
    <row r="522" spans="1:18" x14ac:dyDescent="0.35">
      <c r="A522" s="69">
        <v>52210154</v>
      </c>
      <c r="B522" s="69" t="s">
        <v>2047</v>
      </c>
      <c r="C522" s="69" t="s">
        <v>2048</v>
      </c>
      <c r="D522" s="69">
        <v>9860474645</v>
      </c>
      <c r="E522" s="69" t="s">
        <v>2049</v>
      </c>
      <c r="F522" s="69" t="s">
        <v>1974</v>
      </c>
      <c r="G522" s="26"/>
      <c r="H522" s="26">
        <v>2</v>
      </c>
      <c r="I522" s="26">
        <v>4</v>
      </c>
      <c r="J522" s="26">
        <v>30</v>
      </c>
      <c r="K522" s="26"/>
      <c r="L522" s="26">
        <v>15</v>
      </c>
      <c r="M522" s="26">
        <v>1</v>
      </c>
      <c r="N522" s="26">
        <v>0</v>
      </c>
      <c r="O522" s="26">
        <v>0</v>
      </c>
      <c r="P522" s="26">
        <v>9</v>
      </c>
      <c r="Q522" s="70">
        <v>0</v>
      </c>
      <c r="R522" s="26">
        <v>61</v>
      </c>
    </row>
    <row r="523" spans="1:18" x14ac:dyDescent="0.35">
      <c r="A523" s="69">
        <v>52210155</v>
      </c>
      <c r="B523" s="69" t="s">
        <v>2050</v>
      </c>
      <c r="C523" s="69" t="s">
        <v>2051</v>
      </c>
      <c r="D523" s="69">
        <v>9403312283</v>
      </c>
      <c r="E523" s="69" t="s">
        <v>2052</v>
      </c>
      <c r="F523" s="69" t="s">
        <v>1974</v>
      </c>
      <c r="G523" s="26">
        <v>7</v>
      </c>
      <c r="H523" s="26">
        <v>6</v>
      </c>
      <c r="I523" s="26">
        <v>29</v>
      </c>
      <c r="J523" s="26">
        <v>26</v>
      </c>
      <c r="K523" s="26"/>
      <c r="L523" s="26"/>
      <c r="M523" s="26">
        <v>20</v>
      </c>
      <c r="N523" s="26">
        <v>10</v>
      </c>
      <c r="O523" s="26"/>
      <c r="P523" s="26">
        <v>4</v>
      </c>
      <c r="Q523" s="70">
        <v>1</v>
      </c>
      <c r="R523" s="26">
        <v>103</v>
      </c>
    </row>
    <row r="524" spans="1:18" x14ac:dyDescent="0.35">
      <c r="A524" s="69">
        <v>52210157</v>
      </c>
      <c r="B524" s="69" t="s">
        <v>2053</v>
      </c>
      <c r="C524" s="69" t="s">
        <v>2054</v>
      </c>
      <c r="D524" s="69">
        <v>9326277444</v>
      </c>
      <c r="E524" s="69" t="s">
        <v>2055</v>
      </c>
      <c r="F524" s="69" t="s">
        <v>1974</v>
      </c>
      <c r="G524" s="26">
        <v>39</v>
      </c>
      <c r="H524" s="26"/>
      <c r="I524" s="26">
        <v>51</v>
      </c>
      <c r="J524" s="26">
        <v>48</v>
      </c>
      <c r="K524" s="26">
        <v>36</v>
      </c>
      <c r="L524" s="26">
        <v>17</v>
      </c>
      <c r="M524" s="26">
        <v>17</v>
      </c>
      <c r="N524" s="26">
        <v>32</v>
      </c>
      <c r="O524" s="26"/>
      <c r="P524" s="26">
        <v>20</v>
      </c>
      <c r="Q524" s="70">
        <v>4</v>
      </c>
      <c r="R524" s="26">
        <v>264</v>
      </c>
    </row>
    <row r="525" spans="1:18" x14ac:dyDescent="0.35">
      <c r="A525" s="69">
        <v>52210159</v>
      </c>
      <c r="B525" s="69" t="s">
        <v>2056</v>
      </c>
      <c r="C525" s="69" t="s">
        <v>2057</v>
      </c>
      <c r="D525" s="69">
        <v>9371893252</v>
      </c>
      <c r="E525" s="69" t="s">
        <v>2058</v>
      </c>
      <c r="F525" s="69" t="s">
        <v>1974</v>
      </c>
      <c r="G525" s="26"/>
      <c r="H525" s="26">
        <v>7</v>
      </c>
      <c r="I525" s="26"/>
      <c r="J525" s="26">
        <v>72</v>
      </c>
      <c r="K525" s="26">
        <v>3</v>
      </c>
      <c r="L525" s="26"/>
      <c r="M525" s="26"/>
      <c r="N525" s="26">
        <v>4</v>
      </c>
      <c r="O525" s="26"/>
      <c r="P525" s="26">
        <v>9</v>
      </c>
      <c r="Q525" s="70">
        <v>4</v>
      </c>
      <c r="R525" s="26">
        <v>99</v>
      </c>
    </row>
    <row r="526" spans="1:18" x14ac:dyDescent="0.35">
      <c r="A526" s="69">
        <v>52210163</v>
      </c>
      <c r="B526" s="69" t="s">
        <v>2059</v>
      </c>
      <c r="C526" s="69" t="s">
        <v>2060</v>
      </c>
      <c r="D526" s="69">
        <v>9765021393</v>
      </c>
      <c r="E526" s="69" t="s">
        <v>2061</v>
      </c>
      <c r="F526" s="69" t="s">
        <v>1974</v>
      </c>
      <c r="G526" s="26"/>
      <c r="H526" s="26"/>
      <c r="I526" s="26"/>
      <c r="J526" s="26">
        <v>51</v>
      </c>
      <c r="K526" s="26">
        <v>17</v>
      </c>
      <c r="L526" s="26"/>
      <c r="M526" s="26"/>
      <c r="N526" s="26">
        <v>18</v>
      </c>
      <c r="O526" s="26"/>
      <c r="P526" s="26">
        <v>14</v>
      </c>
      <c r="Q526" s="70">
        <v>0</v>
      </c>
      <c r="R526" s="26">
        <v>100</v>
      </c>
    </row>
    <row r="527" spans="1:18" x14ac:dyDescent="0.35">
      <c r="A527" s="69">
        <v>52210164</v>
      </c>
      <c r="B527" s="69" t="s">
        <v>2062</v>
      </c>
      <c r="C527" s="69" t="s">
        <v>2063</v>
      </c>
      <c r="D527" s="69">
        <v>9923910105</v>
      </c>
      <c r="E527" s="69" t="s">
        <v>2064</v>
      </c>
      <c r="F527" s="69" t="s">
        <v>1974</v>
      </c>
      <c r="G527" s="26">
        <v>13</v>
      </c>
      <c r="H527" s="26"/>
      <c r="I527" s="26"/>
      <c r="J527" s="26">
        <v>24</v>
      </c>
      <c r="K527" s="26">
        <v>20</v>
      </c>
      <c r="L527" s="26">
        <v>6</v>
      </c>
      <c r="M527" s="26"/>
      <c r="N527" s="26">
        <v>19</v>
      </c>
      <c r="O527" s="26"/>
      <c r="P527" s="26">
        <v>8</v>
      </c>
      <c r="Q527" s="70">
        <v>0</v>
      </c>
      <c r="R527" s="26">
        <v>90</v>
      </c>
    </row>
    <row r="528" spans="1:18" x14ac:dyDescent="0.35">
      <c r="A528" s="69">
        <v>52210167</v>
      </c>
      <c r="B528" s="69" t="s">
        <v>2065</v>
      </c>
      <c r="C528" s="69" t="s">
        <v>2066</v>
      </c>
      <c r="D528" s="69">
        <v>9421787095</v>
      </c>
      <c r="E528" s="69" t="s">
        <v>2067</v>
      </c>
      <c r="F528" s="69" t="s">
        <v>1974</v>
      </c>
      <c r="G528" s="26"/>
      <c r="H528" s="26">
        <v>24</v>
      </c>
      <c r="I528" s="26"/>
      <c r="J528" s="26">
        <v>28</v>
      </c>
      <c r="K528" s="26"/>
      <c r="L528" s="26"/>
      <c r="M528" s="26"/>
      <c r="N528" s="26"/>
      <c r="O528" s="26"/>
      <c r="P528" s="26">
        <v>0</v>
      </c>
      <c r="Q528" s="70">
        <v>0</v>
      </c>
      <c r="R528" s="26">
        <v>52</v>
      </c>
    </row>
    <row r="529" spans="1:18" x14ac:dyDescent="0.35">
      <c r="A529" s="69">
        <v>52210168</v>
      </c>
      <c r="B529" s="69" t="s">
        <v>2068</v>
      </c>
      <c r="C529" s="69" t="s">
        <v>2069</v>
      </c>
      <c r="D529" s="69">
        <v>9890856227</v>
      </c>
      <c r="E529" s="69" t="s">
        <v>2070</v>
      </c>
      <c r="F529" s="69" t="s">
        <v>1974</v>
      </c>
      <c r="G529" s="26"/>
      <c r="H529" s="26"/>
      <c r="I529" s="26"/>
      <c r="J529" s="26">
        <v>60</v>
      </c>
      <c r="K529" s="26">
        <v>5</v>
      </c>
      <c r="L529" s="26">
        <v>6</v>
      </c>
      <c r="M529" s="26"/>
      <c r="N529" s="26">
        <v>4</v>
      </c>
      <c r="O529" s="26">
        <v>2</v>
      </c>
      <c r="P529" s="26">
        <v>2</v>
      </c>
      <c r="Q529" s="70">
        <v>2</v>
      </c>
      <c r="R529" s="26">
        <v>81</v>
      </c>
    </row>
    <row r="530" spans="1:18" x14ac:dyDescent="0.35">
      <c r="A530" s="69">
        <v>52210187</v>
      </c>
      <c r="B530" s="69" t="s">
        <v>2071</v>
      </c>
      <c r="C530" s="69" t="s">
        <v>2072</v>
      </c>
      <c r="D530" s="69">
        <v>8149940542</v>
      </c>
      <c r="E530" s="69" t="s">
        <v>2073</v>
      </c>
      <c r="F530" s="69" t="s">
        <v>1974</v>
      </c>
      <c r="G530" s="26">
        <v>10</v>
      </c>
      <c r="H530" s="26"/>
      <c r="I530" s="26">
        <v>4</v>
      </c>
      <c r="J530" s="26">
        <v>55</v>
      </c>
      <c r="K530" s="26">
        <v>18</v>
      </c>
      <c r="L530" s="26">
        <v>3</v>
      </c>
      <c r="M530" s="26">
        <v>4</v>
      </c>
      <c r="N530" s="26">
        <v>11</v>
      </c>
      <c r="O530" s="26">
        <v>5</v>
      </c>
      <c r="P530" s="26">
        <v>0</v>
      </c>
      <c r="Q530" s="70">
        <v>32</v>
      </c>
      <c r="R530" s="26">
        <v>142</v>
      </c>
    </row>
    <row r="531" spans="1:18" x14ac:dyDescent="0.35">
      <c r="A531" s="69">
        <v>52210190</v>
      </c>
      <c r="B531" s="69" t="s">
        <v>2074</v>
      </c>
      <c r="C531" s="69" t="s">
        <v>2075</v>
      </c>
      <c r="D531" s="69">
        <v>9890101680</v>
      </c>
      <c r="E531" s="69" t="s">
        <v>2076</v>
      </c>
      <c r="F531" s="69" t="s">
        <v>1974</v>
      </c>
      <c r="G531" s="26"/>
      <c r="H531" s="26"/>
      <c r="I531" s="26"/>
      <c r="J531" s="26">
        <v>1</v>
      </c>
      <c r="K531" s="26"/>
      <c r="L531" s="26"/>
      <c r="M531" s="26"/>
      <c r="N531" s="26">
        <v>2</v>
      </c>
      <c r="O531" s="26">
        <v>1</v>
      </c>
      <c r="P531" s="26">
        <v>0</v>
      </c>
      <c r="Q531" s="70">
        <v>0</v>
      </c>
      <c r="R531" s="26">
        <v>4</v>
      </c>
    </row>
    <row r="532" spans="1:18" x14ac:dyDescent="0.35">
      <c r="A532" s="69">
        <v>52210192</v>
      </c>
      <c r="B532" s="69" t="s">
        <v>2077</v>
      </c>
      <c r="C532" s="69" t="s">
        <v>2078</v>
      </c>
      <c r="D532" s="69">
        <v>9423608907</v>
      </c>
      <c r="E532" s="69" t="s">
        <v>2079</v>
      </c>
      <c r="F532" s="69" t="s">
        <v>1974</v>
      </c>
      <c r="G532" s="26">
        <v>17</v>
      </c>
      <c r="H532" s="26"/>
      <c r="I532" s="26">
        <v>32</v>
      </c>
      <c r="J532" s="26">
        <v>88</v>
      </c>
      <c r="K532" s="26">
        <v>32</v>
      </c>
      <c r="L532" s="26">
        <v>9</v>
      </c>
      <c r="M532" s="26"/>
      <c r="N532" s="26"/>
      <c r="O532" s="26">
        <v>13</v>
      </c>
      <c r="P532" s="26">
        <v>9</v>
      </c>
      <c r="Q532" s="70">
        <v>0</v>
      </c>
      <c r="R532" s="26">
        <v>200</v>
      </c>
    </row>
    <row r="533" spans="1:18" x14ac:dyDescent="0.35">
      <c r="A533" s="69">
        <v>52210193</v>
      </c>
      <c r="B533" s="69" t="s">
        <v>2080</v>
      </c>
      <c r="C533" s="69" t="s">
        <v>2081</v>
      </c>
      <c r="D533" s="69">
        <v>9960919646</v>
      </c>
      <c r="E533" s="69" t="s">
        <v>2082</v>
      </c>
      <c r="F533" s="69" t="s">
        <v>1974</v>
      </c>
      <c r="G533" s="26"/>
      <c r="H533" s="26"/>
      <c r="I533" s="26"/>
      <c r="J533" s="26">
        <v>14</v>
      </c>
      <c r="K533" s="26"/>
      <c r="L533" s="26"/>
      <c r="M533" s="26">
        <v>0</v>
      </c>
      <c r="N533" s="26">
        <v>18</v>
      </c>
      <c r="O533" s="26"/>
      <c r="P533" s="26">
        <v>0</v>
      </c>
      <c r="Q533" s="70">
        <v>0</v>
      </c>
      <c r="R533" s="26">
        <v>32</v>
      </c>
    </row>
    <row r="534" spans="1:18" x14ac:dyDescent="0.35">
      <c r="A534" s="69">
        <v>52210195</v>
      </c>
      <c r="B534" s="69" t="s">
        <v>2083</v>
      </c>
      <c r="C534" s="69" t="s">
        <v>2084</v>
      </c>
      <c r="D534" s="69">
        <v>9403169771</v>
      </c>
      <c r="E534" s="69" t="s">
        <v>2085</v>
      </c>
      <c r="F534" s="69" t="s">
        <v>1974</v>
      </c>
      <c r="G534" s="26">
        <v>15</v>
      </c>
      <c r="H534" s="26"/>
      <c r="I534" s="26"/>
      <c r="J534" s="26">
        <v>79</v>
      </c>
      <c r="K534" s="26">
        <v>25</v>
      </c>
      <c r="L534" s="26">
        <v>15</v>
      </c>
      <c r="M534" s="26">
        <v>10</v>
      </c>
      <c r="N534" s="26">
        <v>0</v>
      </c>
      <c r="O534" s="26">
        <v>20</v>
      </c>
      <c r="P534" s="26">
        <v>3</v>
      </c>
      <c r="Q534" s="70">
        <v>3</v>
      </c>
      <c r="R534" s="26">
        <v>170</v>
      </c>
    </row>
    <row r="535" spans="1:18" x14ac:dyDescent="0.35">
      <c r="A535" s="69">
        <v>52210204</v>
      </c>
      <c r="B535" s="69" t="s">
        <v>2086</v>
      </c>
      <c r="C535" s="69" t="s">
        <v>2087</v>
      </c>
      <c r="D535" s="69">
        <v>8055115977</v>
      </c>
      <c r="E535" s="69" t="s">
        <v>2088</v>
      </c>
      <c r="F535" s="69" t="s">
        <v>1974</v>
      </c>
      <c r="G535" s="26">
        <v>8</v>
      </c>
      <c r="H535" s="26">
        <v>6</v>
      </c>
      <c r="I535" s="26">
        <v>11</v>
      </c>
      <c r="J535" s="26">
        <v>11</v>
      </c>
      <c r="K535" s="26">
        <v>22</v>
      </c>
      <c r="L535" s="26"/>
      <c r="M535" s="26">
        <v>11</v>
      </c>
      <c r="N535" s="26">
        <v>0</v>
      </c>
      <c r="O535" s="26">
        <v>10</v>
      </c>
      <c r="P535" s="26">
        <v>7</v>
      </c>
      <c r="Q535" s="70">
        <v>1</v>
      </c>
      <c r="R535" s="26">
        <v>87</v>
      </c>
    </row>
    <row r="536" spans="1:18" x14ac:dyDescent="0.35">
      <c r="A536" s="69">
        <v>52210206</v>
      </c>
      <c r="B536" s="69" t="s">
        <v>2089</v>
      </c>
      <c r="C536" s="69" t="s">
        <v>2090</v>
      </c>
      <c r="D536" s="69">
        <v>9665185171</v>
      </c>
      <c r="E536" s="69" t="s">
        <v>2091</v>
      </c>
      <c r="F536" s="69" t="s">
        <v>1974</v>
      </c>
      <c r="G536" s="26">
        <v>14</v>
      </c>
      <c r="H536" s="26">
        <v>3</v>
      </c>
      <c r="I536" s="26">
        <v>70</v>
      </c>
      <c r="J536" s="26">
        <v>47</v>
      </c>
      <c r="K536" s="26">
        <v>17</v>
      </c>
      <c r="L536" s="26">
        <v>9</v>
      </c>
      <c r="M536" s="26">
        <v>6</v>
      </c>
      <c r="N536" s="26">
        <v>4</v>
      </c>
      <c r="O536" s="26">
        <v>2</v>
      </c>
      <c r="P536" s="26">
        <v>0</v>
      </c>
      <c r="Q536" s="70">
        <v>0</v>
      </c>
      <c r="R536" s="26">
        <v>172</v>
      </c>
    </row>
    <row r="537" spans="1:18" x14ac:dyDescent="0.35">
      <c r="A537" s="69">
        <v>52210208</v>
      </c>
      <c r="B537" s="69" t="s">
        <v>2092</v>
      </c>
      <c r="C537" s="69" t="s">
        <v>2093</v>
      </c>
      <c r="D537" s="69">
        <v>9579276524</v>
      </c>
      <c r="E537" s="69" t="s">
        <v>2094</v>
      </c>
      <c r="F537" s="69" t="s">
        <v>1974</v>
      </c>
      <c r="G537" s="26"/>
      <c r="H537" s="26">
        <v>8</v>
      </c>
      <c r="I537" s="26"/>
      <c r="J537" s="26">
        <v>32</v>
      </c>
      <c r="K537" s="26">
        <v>8</v>
      </c>
      <c r="L537" s="26">
        <v>10</v>
      </c>
      <c r="M537" s="26">
        <v>3</v>
      </c>
      <c r="N537" s="26"/>
      <c r="O537" s="26">
        <v>4</v>
      </c>
      <c r="P537" s="26">
        <v>1</v>
      </c>
      <c r="Q537" s="70">
        <v>0</v>
      </c>
      <c r="R537" s="26">
        <v>66</v>
      </c>
    </row>
    <row r="538" spans="1:18" x14ac:dyDescent="0.35">
      <c r="A538" s="69">
        <v>52210223</v>
      </c>
      <c r="B538" s="69" t="s">
        <v>2095</v>
      </c>
      <c r="C538" s="69" t="s">
        <v>2096</v>
      </c>
      <c r="D538" s="69">
        <v>9423393780</v>
      </c>
      <c r="E538" s="69" t="s">
        <v>2097</v>
      </c>
      <c r="F538" s="69" t="s">
        <v>1974</v>
      </c>
      <c r="G538" s="26"/>
      <c r="H538" s="26"/>
      <c r="I538" s="26">
        <v>4</v>
      </c>
      <c r="J538" s="26">
        <v>5</v>
      </c>
      <c r="K538" s="26">
        <v>4</v>
      </c>
      <c r="L538" s="26">
        <v>2</v>
      </c>
      <c r="M538" s="26">
        <v>2</v>
      </c>
      <c r="N538" s="26">
        <v>10</v>
      </c>
      <c r="O538" s="26">
        <v>14</v>
      </c>
      <c r="P538" s="26">
        <v>4</v>
      </c>
      <c r="Q538" s="70">
        <v>3</v>
      </c>
      <c r="R538" s="26">
        <v>48</v>
      </c>
    </row>
    <row r="539" spans="1:18" x14ac:dyDescent="0.35">
      <c r="A539" s="69">
        <v>54210001</v>
      </c>
      <c r="B539" s="69" t="s">
        <v>2098</v>
      </c>
      <c r="C539" s="69" t="s">
        <v>2099</v>
      </c>
      <c r="D539" s="69">
        <v>9923776408</v>
      </c>
      <c r="E539" s="69" t="s">
        <v>2100</v>
      </c>
      <c r="F539" s="69" t="s">
        <v>2101</v>
      </c>
      <c r="G539" s="26">
        <v>48</v>
      </c>
      <c r="H539" s="26">
        <v>24</v>
      </c>
      <c r="I539" s="26">
        <v>68</v>
      </c>
      <c r="J539" s="26">
        <v>162</v>
      </c>
      <c r="K539" s="26">
        <v>60</v>
      </c>
      <c r="L539" s="26">
        <v>20</v>
      </c>
      <c r="M539" s="26">
        <v>26</v>
      </c>
      <c r="N539" s="26">
        <v>25</v>
      </c>
      <c r="O539" s="26"/>
      <c r="P539" s="26">
        <v>45</v>
      </c>
      <c r="Q539" s="70">
        <v>13</v>
      </c>
      <c r="R539" s="26">
        <v>491</v>
      </c>
    </row>
    <row r="540" spans="1:18" x14ac:dyDescent="0.35">
      <c r="A540" s="69">
        <v>54210002</v>
      </c>
      <c r="B540" s="69" t="s">
        <v>1993</v>
      </c>
      <c r="C540" s="69" t="s">
        <v>2102</v>
      </c>
      <c r="D540" s="69">
        <v>9890503200</v>
      </c>
      <c r="E540" s="69" t="s">
        <v>2103</v>
      </c>
      <c r="F540" s="69" t="s">
        <v>2101</v>
      </c>
      <c r="G540" s="26">
        <v>39</v>
      </c>
      <c r="H540" s="26">
        <v>19</v>
      </c>
      <c r="I540" s="26">
        <v>67</v>
      </c>
      <c r="J540" s="26">
        <v>20</v>
      </c>
      <c r="K540" s="26">
        <v>108</v>
      </c>
      <c r="L540" s="26"/>
      <c r="M540" s="26">
        <v>110</v>
      </c>
      <c r="N540" s="26">
        <v>12</v>
      </c>
      <c r="O540" s="26"/>
      <c r="P540" s="26">
        <v>73</v>
      </c>
      <c r="Q540" s="70">
        <v>0</v>
      </c>
      <c r="R540" s="26">
        <v>448</v>
      </c>
    </row>
    <row r="541" spans="1:18" x14ac:dyDescent="0.35">
      <c r="A541" s="69">
        <v>54210004</v>
      </c>
      <c r="B541" s="69" t="s">
        <v>2104</v>
      </c>
      <c r="C541" s="69" t="s">
        <v>2105</v>
      </c>
      <c r="D541" s="69">
        <v>9765323428</v>
      </c>
      <c r="E541" s="69" t="s">
        <v>2106</v>
      </c>
      <c r="F541" s="69" t="s">
        <v>2101</v>
      </c>
      <c r="G541" s="26">
        <v>23</v>
      </c>
      <c r="H541" s="26"/>
      <c r="I541" s="26">
        <v>58</v>
      </c>
      <c r="J541" s="26">
        <v>11</v>
      </c>
      <c r="K541" s="26">
        <v>9</v>
      </c>
      <c r="L541" s="26"/>
      <c r="M541" s="26">
        <v>6</v>
      </c>
      <c r="N541" s="26">
        <v>10</v>
      </c>
      <c r="O541" s="26">
        <v>8</v>
      </c>
      <c r="P541" s="26">
        <v>8</v>
      </c>
      <c r="Q541" s="70">
        <v>5</v>
      </c>
      <c r="R541" s="26">
        <v>138</v>
      </c>
    </row>
    <row r="542" spans="1:18" x14ac:dyDescent="0.35">
      <c r="A542" s="69">
        <v>54210007</v>
      </c>
      <c r="B542" s="69" t="s">
        <v>2107</v>
      </c>
      <c r="C542" s="69" t="s">
        <v>2108</v>
      </c>
      <c r="D542" s="69">
        <v>9823870310</v>
      </c>
      <c r="E542" s="69" t="s">
        <v>2109</v>
      </c>
      <c r="F542" s="69" t="s">
        <v>2101</v>
      </c>
      <c r="G542" s="26">
        <v>32</v>
      </c>
      <c r="H542" s="26">
        <v>10</v>
      </c>
      <c r="I542" s="26">
        <v>51</v>
      </c>
      <c r="J542" s="26">
        <v>244</v>
      </c>
      <c r="K542" s="26">
        <v>16</v>
      </c>
      <c r="L542" s="26">
        <v>7</v>
      </c>
      <c r="M542" s="26">
        <v>7</v>
      </c>
      <c r="N542" s="26">
        <v>3</v>
      </c>
      <c r="O542" s="26"/>
      <c r="P542" s="26">
        <v>21</v>
      </c>
      <c r="Q542" s="70">
        <v>10</v>
      </c>
      <c r="R542" s="26">
        <v>401</v>
      </c>
    </row>
    <row r="543" spans="1:18" x14ac:dyDescent="0.35">
      <c r="A543" s="69">
        <v>54210008</v>
      </c>
      <c r="B543" s="69" t="s">
        <v>2110</v>
      </c>
      <c r="C543" s="69" t="s">
        <v>2111</v>
      </c>
      <c r="D543" s="69">
        <v>9370508484</v>
      </c>
      <c r="E543" s="69" t="s">
        <v>2112</v>
      </c>
      <c r="F543" s="69" t="s">
        <v>2101</v>
      </c>
      <c r="G543" s="26">
        <v>90</v>
      </c>
      <c r="H543" s="26">
        <v>11</v>
      </c>
      <c r="I543" s="26">
        <v>131</v>
      </c>
      <c r="J543" s="26">
        <v>67</v>
      </c>
      <c r="K543" s="26">
        <v>35</v>
      </c>
      <c r="L543" s="26"/>
      <c r="M543" s="26">
        <v>70</v>
      </c>
      <c r="N543" s="26">
        <v>41</v>
      </c>
      <c r="O543" s="26">
        <v>24</v>
      </c>
      <c r="P543" s="26">
        <v>38</v>
      </c>
      <c r="Q543" s="70">
        <v>21</v>
      </c>
      <c r="R543" s="26">
        <v>528</v>
      </c>
    </row>
    <row r="544" spans="1:18" x14ac:dyDescent="0.35">
      <c r="A544" s="69">
        <v>54210009</v>
      </c>
      <c r="B544" s="69" t="s">
        <v>2113</v>
      </c>
      <c r="C544" s="69" t="s">
        <v>2114</v>
      </c>
      <c r="D544" s="69">
        <v>9764706777</v>
      </c>
      <c r="E544" s="69" t="s">
        <v>2115</v>
      </c>
      <c r="F544" s="69" t="s">
        <v>2101</v>
      </c>
      <c r="G544" s="26">
        <v>20</v>
      </c>
      <c r="H544" s="26">
        <v>7</v>
      </c>
      <c r="I544" s="26">
        <v>53</v>
      </c>
      <c r="J544" s="26">
        <v>35</v>
      </c>
      <c r="K544" s="26">
        <v>3</v>
      </c>
      <c r="L544" s="26"/>
      <c r="M544" s="26">
        <v>21</v>
      </c>
      <c r="N544" s="26">
        <v>8</v>
      </c>
      <c r="O544" s="26">
        <v>0</v>
      </c>
      <c r="P544" s="26">
        <v>12</v>
      </c>
      <c r="Q544" s="70">
        <v>4</v>
      </c>
      <c r="R544" s="26">
        <v>163</v>
      </c>
    </row>
    <row r="545" spans="1:18" x14ac:dyDescent="0.35">
      <c r="A545" s="69">
        <v>54210010</v>
      </c>
      <c r="B545" s="69" t="s">
        <v>2116</v>
      </c>
      <c r="C545" s="69" t="s">
        <v>2117</v>
      </c>
      <c r="D545" s="69">
        <v>9049759187</v>
      </c>
      <c r="E545" s="69" t="s">
        <v>2118</v>
      </c>
      <c r="F545" s="69" t="s">
        <v>2101</v>
      </c>
      <c r="G545" s="26">
        <v>14</v>
      </c>
      <c r="H545" s="26">
        <v>15</v>
      </c>
      <c r="I545" s="26">
        <v>81</v>
      </c>
      <c r="J545" s="26">
        <v>17</v>
      </c>
      <c r="K545" s="26">
        <v>42</v>
      </c>
      <c r="L545" s="26"/>
      <c r="M545" s="26"/>
      <c r="N545" s="26">
        <v>0</v>
      </c>
      <c r="O545" s="26"/>
      <c r="P545" s="26">
        <v>26</v>
      </c>
      <c r="Q545" s="70">
        <v>0</v>
      </c>
      <c r="R545" s="26">
        <v>195</v>
      </c>
    </row>
    <row r="546" spans="1:18" x14ac:dyDescent="0.35">
      <c r="A546" s="69">
        <v>54210011</v>
      </c>
      <c r="B546" s="69" t="s">
        <v>2119</v>
      </c>
      <c r="C546" s="69" t="s">
        <v>2120</v>
      </c>
      <c r="D546" s="69">
        <v>9423186499</v>
      </c>
      <c r="E546" s="69" t="s">
        <v>2121</v>
      </c>
      <c r="F546" s="69" t="s">
        <v>2101</v>
      </c>
      <c r="G546" s="26">
        <v>69</v>
      </c>
      <c r="H546" s="26">
        <v>24</v>
      </c>
      <c r="I546" s="26">
        <v>73</v>
      </c>
      <c r="J546" s="26">
        <v>62</v>
      </c>
      <c r="K546" s="26">
        <v>67</v>
      </c>
      <c r="L546" s="26">
        <v>19</v>
      </c>
      <c r="M546" s="26">
        <v>23</v>
      </c>
      <c r="N546" s="26">
        <v>16</v>
      </c>
      <c r="O546" s="26">
        <v>27</v>
      </c>
      <c r="P546" s="26">
        <v>23</v>
      </c>
      <c r="Q546" s="70">
        <v>10</v>
      </c>
      <c r="R546" s="26">
        <v>413</v>
      </c>
    </row>
    <row r="547" spans="1:18" x14ac:dyDescent="0.35">
      <c r="A547" s="69">
        <v>54210023</v>
      </c>
      <c r="B547" s="69" t="s">
        <v>2122</v>
      </c>
      <c r="C547" s="69" t="s">
        <v>2123</v>
      </c>
      <c r="D547" s="69">
        <v>9326810962</v>
      </c>
      <c r="E547" s="69" t="s">
        <v>2124</v>
      </c>
      <c r="F547" s="69" t="s">
        <v>2101</v>
      </c>
      <c r="G547" s="26"/>
      <c r="H547" s="26">
        <v>29</v>
      </c>
      <c r="I547" s="26">
        <v>36</v>
      </c>
      <c r="J547" s="26">
        <v>28</v>
      </c>
      <c r="K547" s="26"/>
      <c r="L547" s="26">
        <v>36</v>
      </c>
      <c r="M547" s="26">
        <v>0</v>
      </c>
      <c r="N547" s="26">
        <v>33</v>
      </c>
      <c r="O547" s="26"/>
      <c r="P547" s="26">
        <v>13</v>
      </c>
      <c r="Q547" s="70">
        <v>0</v>
      </c>
      <c r="R547" s="26">
        <v>175</v>
      </c>
    </row>
    <row r="548" spans="1:18" x14ac:dyDescent="0.35">
      <c r="A548" s="69">
        <v>54210054</v>
      </c>
      <c r="B548" s="69" t="s">
        <v>2125</v>
      </c>
      <c r="C548" s="69" t="s">
        <v>2126</v>
      </c>
      <c r="D548" s="69">
        <v>9271225340</v>
      </c>
      <c r="E548" s="69" t="s">
        <v>2127</v>
      </c>
      <c r="F548" s="69" t="s">
        <v>2101</v>
      </c>
      <c r="G548" s="26">
        <v>13</v>
      </c>
      <c r="H548" s="26">
        <v>8</v>
      </c>
      <c r="I548" s="26">
        <v>26</v>
      </c>
      <c r="J548" s="26">
        <v>38</v>
      </c>
      <c r="K548" s="26">
        <v>7</v>
      </c>
      <c r="L548" s="26">
        <v>6</v>
      </c>
      <c r="M548" s="26">
        <v>6</v>
      </c>
      <c r="N548" s="26">
        <v>3</v>
      </c>
      <c r="O548" s="26">
        <v>4</v>
      </c>
      <c r="P548" s="26">
        <v>5</v>
      </c>
      <c r="Q548" s="70">
        <v>4</v>
      </c>
      <c r="R548" s="26">
        <v>120</v>
      </c>
    </row>
    <row r="549" spans="1:18" x14ac:dyDescent="0.35">
      <c r="A549" s="69">
        <v>54210055</v>
      </c>
      <c r="B549" s="69" t="s">
        <v>2128</v>
      </c>
      <c r="C549" s="69" t="s">
        <v>2129</v>
      </c>
      <c r="D549" s="69">
        <v>9420618695</v>
      </c>
      <c r="E549" s="69" t="s">
        <v>2130</v>
      </c>
      <c r="F549" s="69" t="s">
        <v>2101</v>
      </c>
      <c r="G549" s="26">
        <v>23</v>
      </c>
      <c r="H549" s="26">
        <v>25</v>
      </c>
      <c r="I549" s="26">
        <v>73</v>
      </c>
      <c r="J549" s="26">
        <v>40</v>
      </c>
      <c r="K549" s="26">
        <v>15</v>
      </c>
      <c r="L549" s="26">
        <v>11</v>
      </c>
      <c r="M549" s="26">
        <v>9</v>
      </c>
      <c r="N549" s="26">
        <v>4</v>
      </c>
      <c r="O549" s="26">
        <v>12</v>
      </c>
      <c r="P549" s="26">
        <v>8</v>
      </c>
      <c r="Q549" s="70">
        <v>1</v>
      </c>
      <c r="R549" s="26">
        <v>221</v>
      </c>
    </row>
    <row r="550" spans="1:18" x14ac:dyDescent="0.35">
      <c r="A550" s="69">
        <v>54210087</v>
      </c>
      <c r="B550" s="69" t="s">
        <v>2131</v>
      </c>
      <c r="C550" s="69" t="s">
        <v>2132</v>
      </c>
      <c r="D550" s="69">
        <v>9423617885</v>
      </c>
      <c r="E550" s="69" t="s">
        <v>2133</v>
      </c>
      <c r="F550" s="69" t="s">
        <v>2101</v>
      </c>
      <c r="G550" s="26">
        <v>31</v>
      </c>
      <c r="H550" s="26">
        <v>2</v>
      </c>
      <c r="I550" s="26">
        <v>62</v>
      </c>
      <c r="J550" s="26">
        <v>19</v>
      </c>
      <c r="K550" s="26">
        <v>12</v>
      </c>
      <c r="L550" s="26">
        <v>7</v>
      </c>
      <c r="M550" s="26">
        <v>18</v>
      </c>
      <c r="N550" s="26">
        <v>10</v>
      </c>
      <c r="O550" s="26">
        <v>10</v>
      </c>
      <c r="P550" s="26">
        <v>23</v>
      </c>
      <c r="Q550" s="70">
        <v>5</v>
      </c>
      <c r="R550" s="26">
        <v>199</v>
      </c>
    </row>
    <row r="551" spans="1:18" x14ac:dyDescent="0.35">
      <c r="A551" s="69">
        <v>57210002</v>
      </c>
      <c r="B551" s="69" t="s">
        <v>2134</v>
      </c>
      <c r="C551" s="69" t="s">
        <v>2135</v>
      </c>
      <c r="D551" s="69">
        <v>9890223667</v>
      </c>
      <c r="E551" s="69" t="s">
        <v>2136</v>
      </c>
      <c r="F551" s="69" t="s">
        <v>2137</v>
      </c>
      <c r="G551" s="26">
        <v>18</v>
      </c>
      <c r="H551" s="26"/>
      <c r="I551" s="26">
        <v>19</v>
      </c>
      <c r="J551" s="26">
        <v>121</v>
      </c>
      <c r="K551" s="26">
        <v>4</v>
      </c>
      <c r="L551" s="26">
        <v>33</v>
      </c>
      <c r="M551" s="26">
        <v>11</v>
      </c>
      <c r="N551" s="26">
        <v>11</v>
      </c>
      <c r="O551" s="26"/>
      <c r="P551" s="26">
        <v>15</v>
      </c>
      <c r="Q551" s="70">
        <v>4</v>
      </c>
      <c r="R551" s="26">
        <v>236</v>
      </c>
    </row>
    <row r="552" spans="1:18" x14ac:dyDescent="0.35">
      <c r="A552" s="69">
        <v>57210003</v>
      </c>
      <c r="B552" s="69" t="s">
        <v>2138</v>
      </c>
      <c r="C552" s="69" t="s">
        <v>2139</v>
      </c>
      <c r="D552" s="69">
        <v>9890143733</v>
      </c>
      <c r="E552" s="69" t="s">
        <v>2140</v>
      </c>
      <c r="F552" s="69" t="s">
        <v>2137</v>
      </c>
      <c r="G552" s="26">
        <v>17</v>
      </c>
      <c r="H552" s="26"/>
      <c r="I552" s="26">
        <v>75</v>
      </c>
      <c r="J552" s="26">
        <v>164</v>
      </c>
      <c r="K552" s="26">
        <v>16</v>
      </c>
      <c r="L552" s="26"/>
      <c r="M552" s="26">
        <v>51</v>
      </c>
      <c r="N552" s="26">
        <v>13</v>
      </c>
      <c r="O552" s="26"/>
      <c r="P552" s="26">
        <v>17</v>
      </c>
      <c r="Q552" s="70">
        <v>9</v>
      </c>
      <c r="R552" s="26">
        <v>362</v>
      </c>
    </row>
    <row r="553" spans="1:18" x14ac:dyDescent="0.35">
      <c r="A553" s="69">
        <v>57210004</v>
      </c>
      <c r="B553" s="69" t="s">
        <v>2141</v>
      </c>
      <c r="C553" s="69" t="s">
        <v>2142</v>
      </c>
      <c r="D553" s="69">
        <v>9270076615</v>
      </c>
      <c r="E553" s="69" t="s">
        <v>2143</v>
      </c>
      <c r="F553" s="69" t="s">
        <v>2137</v>
      </c>
      <c r="G553" s="26">
        <v>5</v>
      </c>
      <c r="H553" s="26">
        <v>3</v>
      </c>
      <c r="I553" s="26">
        <v>50</v>
      </c>
      <c r="J553" s="26">
        <v>49</v>
      </c>
      <c r="K553" s="26">
        <v>20</v>
      </c>
      <c r="L553" s="26">
        <v>11</v>
      </c>
      <c r="M553" s="26">
        <v>7</v>
      </c>
      <c r="N553" s="26">
        <v>1</v>
      </c>
      <c r="O553" s="26">
        <v>9</v>
      </c>
      <c r="P553" s="26">
        <v>5</v>
      </c>
      <c r="Q553" s="70">
        <v>10</v>
      </c>
      <c r="R553" s="26">
        <v>170</v>
      </c>
    </row>
    <row r="554" spans="1:18" x14ac:dyDescent="0.35">
      <c r="A554" s="69">
        <v>57210005</v>
      </c>
      <c r="B554" s="69" t="s">
        <v>2144</v>
      </c>
      <c r="C554" s="69" t="s">
        <v>2145</v>
      </c>
      <c r="D554" s="69">
        <v>9823378183</v>
      </c>
      <c r="E554" s="69" t="s">
        <v>2146</v>
      </c>
      <c r="F554" s="69" t="s">
        <v>2137</v>
      </c>
      <c r="G554" s="26">
        <v>9</v>
      </c>
      <c r="H554" s="26">
        <v>3</v>
      </c>
      <c r="I554" s="26"/>
      <c r="J554" s="26">
        <v>32</v>
      </c>
      <c r="K554" s="26">
        <v>13</v>
      </c>
      <c r="L554" s="26">
        <v>7</v>
      </c>
      <c r="M554" s="26">
        <v>6</v>
      </c>
      <c r="N554" s="26"/>
      <c r="O554" s="26">
        <v>0</v>
      </c>
      <c r="P554" s="26">
        <v>14</v>
      </c>
      <c r="Q554" s="70">
        <v>0</v>
      </c>
      <c r="R554" s="26">
        <v>84</v>
      </c>
    </row>
    <row r="555" spans="1:18" x14ac:dyDescent="0.35">
      <c r="A555" s="69">
        <v>57210006</v>
      </c>
      <c r="B555" s="69" t="s">
        <v>2147</v>
      </c>
      <c r="C555" s="69" t="s">
        <v>2148</v>
      </c>
      <c r="D555" s="69">
        <v>9850069170</v>
      </c>
      <c r="E555" s="69" t="s">
        <v>2149</v>
      </c>
      <c r="F555" s="69" t="s">
        <v>2137</v>
      </c>
      <c r="G555" s="26">
        <v>35</v>
      </c>
      <c r="H555" s="26">
        <v>9</v>
      </c>
      <c r="I555" s="26">
        <v>16</v>
      </c>
      <c r="J555" s="26">
        <v>90</v>
      </c>
      <c r="K555" s="26">
        <v>41</v>
      </c>
      <c r="L555" s="26">
        <v>15</v>
      </c>
      <c r="M555" s="26">
        <v>21</v>
      </c>
      <c r="N555" s="26">
        <v>20</v>
      </c>
      <c r="O555" s="26">
        <v>23</v>
      </c>
      <c r="P555" s="26">
        <v>7</v>
      </c>
      <c r="Q555" s="70">
        <v>0</v>
      </c>
      <c r="R555" s="26">
        <v>277</v>
      </c>
    </row>
    <row r="556" spans="1:18" x14ac:dyDescent="0.35">
      <c r="A556" s="69">
        <v>57210014</v>
      </c>
      <c r="B556" s="69" t="s">
        <v>2150</v>
      </c>
      <c r="C556" s="69" t="s">
        <v>2151</v>
      </c>
      <c r="D556" s="69">
        <v>9422774133</v>
      </c>
      <c r="E556" s="69" t="s">
        <v>2152</v>
      </c>
      <c r="F556" s="69" t="s">
        <v>2137</v>
      </c>
      <c r="G556" s="26">
        <v>23</v>
      </c>
      <c r="H556" s="26">
        <v>5</v>
      </c>
      <c r="I556" s="26"/>
      <c r="J556" s="26">
        <v>81</v>
      </c>
      <c r="K556" s="26">
        <v>31</v>
      </c>
      <c r="L556" s="26">
        <v>12</v>
      </c>
      <c r="M556" s="26">
        <v>10</v>
      </c>
      <c r="N556" s="26">
        <v>13</v>
      </c>
      <c r="O556" s="26">
        <v>7</v>
      </c>
      <c r="P556" s="26">
        <v>5</v>
      </c>
      <c r="Q556" s="70">
        <v>3</v>
      </c>
      <c r="R556" s="26">
        <v>190</v>
      </c>
    </row>
    <row r="557" spans="1:18" x14ac:dyDescent="0.35">
      <c r="A557" s="69">
        <v>57210015</v>
      </c>
      <c r="B557" s="69" t="s">
        <v>2153</v>
      </c>
      <c r="C557" s="69" t="s">
        <v>2154</v>
      </c>
      <c r="D557" s="69">
        <v>9422250746</v>
      </c>
      <c r="E557" s="69" t="s">
        <v>2155</v>
      </c>
      <c r="F557" s="69" t="s">
        <v>2137</v>
      </c>
      <c r="G557" s="26">
        <v>6</v>
      </c>
      <c r="H557" s="26">
        <v>2</v>
      </c>
      <c r="I557" s="26">
        <v>20</v>
      </c>
      <c r="J557" s="26">
        <v>30</v>
      </c>
      <c r="K557" s="26">
        <v>15</v>
      </c>
      <c r="L557" s="26">
        <v>8</v>
      </c>
      <c r="M557" s="26">
        <v>4</v>
      </c>
      <c r="N557" s="26">
        <v>7</v>
      </c>
      <c r="O557" s="26">
        <v>3</v>
      </c>
      <c r="P557" s="26">
        <v>5</v>
      </c>
      <c r="Q557" s="70">
        <v>1</v>
      </c>
      <c r="R557" s="26">
        <v>101</v>
      </c>
    </row>
    <row r="558" spans="1:18" x14ac:dyDescent="0.35">
      <c r="A558" s="69">
        <v>57210016</v>
      </c>
      <c r="B558" s="69" t="s">
        <v>2156</v>
      </c>
      <c r="C558" s="69" t="s">
        <v>2157</v>
      </c>
      <c r="D558" s="69">
        <v>9822847521</v>
      </c>
      <c r="E558" s="69" t="s">
        <v>2158</v>
      </c>
      <c r="F558" s="69" t="s">
        <v>2137</v>
      </c>
      <c r="G558" s="26">
        <v>42</v>
      </c>
      <c r="H558" s="26">
        <v>16</v>
      </c>
      <c r="I558" s="26">
        <v>69</v>
      </c>
      <c r="J558" s="26">
        <v>232</v>
      </c>
      <c r="K558" s="26">
        <v>69</v>
      </c>
      <c r="L558" s="26">
        <v>12</v>
      </c>
      <c r="M558" s="26">
        <v>26</v>
      </c>
      <c r="N558" s="26">
        <v>19</v>
      </c>
      <c r="O558" s="26">
        <v>14</v>
      </c>
      <c r="P558" s="26">
        <v>11</v>
      </c>
      <c r="Q558" s="70">
        <v>9</v>
      </c>
      <c r="R558" s="26">
        <v>519</v>
      </c>
    </row>
    <row r="559" spans="1:18" x14ac:dyDescent="0.35">
      <c r="A559" s="69">
        <v>57210018</v>
      </c>
      <c r="B559" s="69" t="s">
        <v>2159</v>
      </c>
      <c r="C559" s="69" t="s">
        <v>2160</v>
      </c>
      <c r="D559" s="69">
        <v>9850092806</v>
      </c>
      <c r="E559" s="69" t="s">
        <v>2161</v>
      </c>
      <c r="F559" s="69" t="s">
        <v>2137</v>
      </c>
      <c r="G559" s="26">
        <v>31</v>
      </c>
      <c r="H559" s="26">
        <v>12</v>
      </c>
      <c r="I559" s="26">
        <v>37</v>
      </c>
      <c r="J559" s="26">
        <v>75</v>
      </c>
      <c r="K559" s="26">
        <v>33</v>
      </c>
      <c r="L559" s="26">
        <v>8</v>
      </c>
      <c r="M559" s="26">
        <v>11</v>
      </c>
      <c r="N559" s="26">
        <v>20</v>
      </c>
      <c r="O559" s="26">
        <v>7</v>
      </c>
      <c r="P559" s="26">
        <v>11</v>
      </c>
      <c r="Q559" s="70">
        <v>6</v>
      </c>
      <c r="R559" s="26">
        <v>251</v>
      </c>
    </row>
    <row r="560" spans="1:18" x14ac:dyDescent="0.35">
      <c r="A560" s="69">
        <v>57210040</v>
      </c>
      <c r="B560" s="69" t="s">
        <v>1174</v>
      </c>
      <c r="C560" s="69" t="s">
        <v>2162</v>
      </c>
      <c r="D560" s="69">
        <v>9850753907</v>
      </c>
      <c r="E560" s="69" t="s">
        <v>2163</v>
      </c>
      <c r="F560" s="69" t="s">
        <v>2137</v>
      </c>
      <c r="G560" s="26">
        <v>10</v>
      </c>
      <c r="H560" s="26"/>
      <c r="I560" s="26"/>
      <c r="J560" s="26">
        <v>119</v>
      </c>
      <c r="K560" s="26">
        <v>16</v>
      </c>
      <c r="L560" s="26"/>
      <c r="M560" s="26">
        <v>29</v>
      </c>
      <c r="N560" s="26"/>
      <c r="O560" s="26">
        <v>9</v>
      </c>
      <c r="P560" s="26">
        <v>15</v>
      </c>
      <c r="Q560" s="70">
        <v>0</v>
      </c>
      <c r="R560" s="26">
        <v>198</v>
      </c>
    </row>
    <row r="561" spans="1:18" x14ac:dyDescent="0.35">
      <c r="A561" s="69">
        <v>57210047</v>
      </c>
      <c r="B561" s="69" t="s">
        <v>2164</v>
      </c>
      <c r="C561" s="69" t="s">
        <v>2165</v>
      </c>
      <c r="D561" s="69">
        <v>9850961599</v>
      </c>
      <c r="E561" s="69" t="s">
        <v>2166</v>
      </c>
      <c r="F561" s="69" t="s">
        <v>2137</v>
      </c>
      <c r="G561" s="26">
        <v>31</v>
      </c>
      <c r="H561" s="26">
        <v>21</v>
      </c>
      <c r="I561" s="26">
        <v>50</v>
      </c>
      <c r="J561" s="26">
        <v>102</v>
      </c>
      <c r="K561" s="26">
        <v>99</v>
      </c>
      <c r="L561" s="26">
        <v>47</v>
      </c>
      <c r="M561" s="26">
        <v>18</v>
      </c>
      <c r="N561" s="26">
        <v>26</v>
      </c>
      <c r="O561" s="26">
        <v>25</v>
      </c>
      <c r="P561" s="26">
        <v>7</v>
      </c>
      <c r="Q561" s="70">
        <v>6</v>
      </c>
      <c r="R561" s="26">
        <v>432</v>
      </c>
    </row>
    <row r="562" spans="1:18" x14ac:dyDescent="0.35">
      <c r="A562" s="69">
        <v>57210056</v>
      </c>
      <c r="B562" s="69" t="s">
        <v>2167</v>
      </c>
      <c r="C562" s="69" t="s">
        <v>2168</v>
      </c>
      <c r="D562" s="69">
        <v>9226838787</v>
      </c>
      <c r="E562" s="69" t="s">
        <v>2169</v>
      </c>
      <c r="F562" s="69" t="s">
        <v>2137</v>
      </c>
      <c r="G562" s="26">
        <v>16</v>
      </c>
      <c r="H562" s="26"/>
      <c r="I562" s="26">
        <v>11</v>
      </c>
      <c r="J562" s="26">
        <v>55</v>
      </c>
      <c r="K562" s="26">
        <v>21</v>
      </c>
      <c r="L562" s="26">
        <v>4</v>
      </c>
      <c r="M562" s="26">
        <v>0</v>
      </c>
      <c r="N562" s="26">
        <v>15</v>
      </c>
      <c r="O562" s="26">
        <v>4</v>
      </c>
      <c r="P562" s="26">
        <v>1</v>
      </c>
      <c r="Q562" s="70">
        <v>2</v>
      </c>
      <c r="R562" s="26">
        <v>129</v>
      </c>
    </row>
    <row r="563" spans="1:18" x14ac:dyDescent="0.35">
      <c r="A563" s="69">
        <v>57210057</v>
      </c>
      <c r="B563" s="69" t="s">
        <v>2170</v>
      </c>
      <c r="C563" s="69" t="s">
        <v>2171</v>
      </c>
      <c r="D563" s="69">
        <v>9370233992</v>
      </c>
      <c r="E563" s="69" t="s">
        <v>2172</v>
      </c>
      <c r="F563" s="69" t="s">
        <v>2137</v>
      </c>
      <c r="G563" s="26"/>
      <c r="H563" s="26">
        <v>24</v>
      </c>
      <c r="I563" s="26"/>
      <c r="J563" s="26">
        <v>47</v>
      </c>
      <c r="K563" s="26">
        <v>14</v>
      </c>
      <c r="L563" s="26"/>
      <c r="M563" s="26">
        <v>10</v>
      </c>
      <c r="N563" s="26">
        <v>0</v>
      </c>
      <c r="O563" s="26">
        <v>11</v>
      </c>
      <c r="P563" s="26">
        <v>0</v>
      </c>
      <c r="Q563" s="70">
        <v>14</v>
      </c>
      <c r="R563" s="26">
        <v>120</v>
      </c>
    </row>
    <row r="564" spans="1:18" x14ac:dyDescent="0.35">
      <c r="A564" s="69">
        <v>57210078</v>
      </c>
      <c r="B564" s="69" t="s">
        <v>2173</v>
      </c>
      <c r="C564" s="69" t="s">
        <v>2174</v>
      </c>
      <c r="D564" s="69">
        <v>9372710080</v>
      </c>
      <c r="E564" s="69" t="s">
        <v>2175</v>
      </c>
      <c r="F564" s="69" t="s">
        <v>2137</v>
      </c>
      <c r="G564" s="26">
        <v>23</v>
      </c>
      <c r="H564" s="26"/>
      <c r="I564" s="26">
        <v>58</v>
      </c>
      <c r="J564" s="26">
        <v>107</v>
      </c>
      <c r="K564" s="26">
        <v>54</v>
      </c>
      <c r="L564" s="26"/>
      <c r="M564" s="26">
        <v>25</v>
      </c>
      <c r="N564" s="26"/>
      <c r="O564" s="26">
        <v>3</v>
      </c>
      <c r="P564" s="26">
        <v>13</v>
      </c>
      <c r="Q564" s="70">
        <v>22</v>
      </c>
      <c r="R564" s="26">
        <v>305</v>
      </c>
    </row>
    <row r="565" spans="1:18" x14ac:dyDescent="0.35">
      <c r="A565" s="69">
        <v>57210080</v>
      </c>
      <c r="B565" s="69" t="s">
        <v>2176</v>
      </c>
      <c r="C565" s="69" t="s">
        <v>2177</v>
      </c>
      <c r="D565" s="69">
        <v>9822006929</v>
      </c>
      <c r="E565" s="69" t="s">
        <v>2178</v>
      </c>
      <c r="F565" s="69" t="s">
        <v>2137</v>
      </c>
      <c r="G565" s="26">
        <v>8</v>
      </c>
      <c r="H565" s="26"/>
      <c r="I565" s="26">
        <v>7</v>
      </c>
      <c r="J565" s="26">
        <v>15</v>
      </c>
      <c r="K565" s="26">
        <v>7</v>
      </c>
      <c r="L565" s="26">
        <v>4</v>
      </c>
      <c r="M565" s="26">
        <v>6</v>
      </c>
      <c r="N565" s="26"/>
      <c r="O565" s="26">
        <v>4</v>
      </c>
      <c r="P565" s="26">
        <v>3</v>
      </c>
      <c r="Q565" s="70">
        <v>2</v>
      </c>
      <c r="R565" s="26">
        <v>56</v>
      </c>
    </row>
    <row r="566" spans="1:18" x14ac:dyDescent="0.35">
      <c r="A566" s="69">
        <v>57210081</v>
      </c>
      <c r="B566" s="69" t="s">
        <v>2179</v>
      </c>
      <c r="C566" s="69" t="s">
        <v>2180</v>
      </c>
      <c r="D566" s="69">
        <v>9420227200</v>
      </c>
      <c r="E566" s="69" t="s">
        <v>2181</v>
      </c>
      <c r="F566" s="69" t="s">
        <v>2137</v>
      </c>
      <c r="G566" s="26">
        <v>19</v>
      </c>
      <c r="H566" s="26"/>
      <c r="I566" s="26">
        <v>6</v>
      </c>
      <c r="J566" s="26">
        <v>30</v>
      </c>
      <c r="K566" s="26">
        <v>10</v>
      </c>
      <c r="L566" s="26">
        <v>7</v>
      </c>
      <c r="M566" s="26">
        <v>9</v>
      </c>
      <c r="N566" s="26">
        <v>8</v>
      </c>
      <c r="O566" s="26">
        <v>9</v>
      </c>
      <c r="P566" s="26">
        <v>6</v>
      </c>
      <c r="Q566" s="70">
        <v>5</v>
      </c>
      <c r="R566" s="26">
        <v>109</v>
      </c>
    </row>
    <row r="567" spans="1:18" x14ac:dyDescent="0.35">
      <c r="A567" s="69">
        <v>57210099</v>
      </c>
      <c r="B567" s="69" t="s">
        <v>2182</v>
      </c>
      <c r="C567" s="69" t="s">
        <v>2183</v>
      </c>
      <c r="D567" s="69">
        <v>9975156284</v>
      </c>
      <c r="E567" s="69" t="s">
        <v>2184</v>
      </c>
      <c r="F567" s="69" t="s">
        <v>2137</v>
      </c>
      <c r="G567" s="26"/>
      <c r="H567" s="26">
        <v>11</v>
      </c>
      <c r="I567" s="26"/>
      <c r="J567" s="26">
        <v>91</v>
      </c>
      <c r="K567" s="26">
        <v>20</v>
      </c>
      <c r="L567" s="26">
        <v>4</v>
      </c>
      <c r="M567" s="26">
        <v>6</v>
      </c>
      <c r="N567" s="26">
        <v>12</v>
      </c>
      <c r="O567" s="26">
        <v>8</v>
      </c>
      <c r="P567" s="26">
        <v>2</v>
      </c>
      <c r="Q567" s="70">
        <v>4</v>
      </c>
      <c r="R567" s="26">
        <v>158</v>
      </c>
    </row>
    <row r="568" spans="1:18" x14ac:dyDescent="0.35">
      <c r="A568" s="69">
        <v>57210100</v>
      </c>
      <c r="B568" s="69" t="s">
        <v>2185</v>
      </c>
      <c r="C568" s="69" t="s">
        <v>2186</v>
      </c>
      <c r="D568" s="69">
        <v>9850255532</v>
      </c>
      <c r="E568" s="69" t="s">
        <v>2187</v>
      </c>
      <c r="F568" s="69" t="s">
        <v>2137</v>
      </c>
      <c r="G568" s="26">
        <v>62</v>
      </c>
      <c r="H568" s="26"/>
      <c r="I568" s="26">
        <v>51</v>
      </c>
      <c r="J568" s="26">
        <v>358</v>
      </c>
      <c r="K568" s="26">
        <v>122</v>
      </c>
      <c r="L568" s="26"/>
      <c r="M568" s="26">
        <v>63</v>
      </c>
      <c r="N568" s="26">
        <v>29</v>
      </c>
      <c r="O568" s="26">
        <v>29</v>
      </c>
      <c r="P568" s="26">
        <v>21</v>
      </c>
      <c r="Q568" s="70">
        <v>11</v>
      </c>
      <c r="R568" s="26">
        <v>746</v>
      </c>
    </row>
    <row r="569" spans="1:18" x14ac:dyDescent="0.35">
      <c r="A569" s="69">
        <v>57210101</v>
      </c>
      <c r="B569" s="69" t="s">
        <v>2188</v>
      </c>
      <c r="C569" s="69" t="s">
        <v>2189</v>
      </c>
      <c r="D569" s="69">
        <v>9421505477</v>
      </c>
      <c r="E569" s="69" t="s">
        <v>2190</v>
      </c>
      <c r="F569" s="69" t="s">
        <v>2137</v>
      </c>
      <c r="G569" s="26"/>
      <c r="H569" s="26"/>
      <c r="I569" s="26"/>
      <c r="J569" s="26"/>
      <c r="K569" s="26"/>
      <c r="L569" s="26"/>
      <c r="M569" s="26"/>
      <c r="N569" s="26"/>
      <c r="O569" s="26"/>
      <c r="P569" s="26">
        <v>0</v>
      </c>
      <c r="Q569" s="70">
        <v>0</v>
      </c>
      <c r="R569" s="26">
        <v>0</v>
      </c>
    </row>
    <row r="570" spans="1:18" x14ac:dyDescent="0.35">
      <c r="A570" s="69">
        <v>57210110</v>
      </c>
      <c r="B570" s="69" t="s">
        <v>2191</v>
      </c>
      <c r="C570" s="69" t="s">
        <v>2192</v>
      </c>
      <c r="D570" s="69">
        <v>9326039783</v>
      </c>
      <c r="E570" s="69" t="s">
        <v>2193</v>
      </c>
      <c r="F570" s="69" t="s">
        <v>2137</v>
      </c>
      <c r="G570" s="26">
        <v>52</v>
      </c>
      <c r="H570" s="26"/>
      <c r="I570" s="26">
        <v>28</v>
      </c>
      <c r="J570" s="26">
        <v>206</v>
      </c>
      <c r="K570" s="26"/>
      <c r="L570" s="26">
        <v>87</v>
      </c>
      <c r="M570" s="26">
        <v>11</v>
      </c>
      <c r="N570" s="26">
        <v>66</v>
      </c>
      <c r="O570" s="26">
        <v>30</v>
      </c>
      <c r="P570" s="26">
        <v>16</v>
      </c>
      <c r="Q570" s="70">
        <v>14</v>
      </c>
      <c r="R570" s="26">
        <v>510</v>
      </c>
    </row>
    <row r="571" spans="1:18" x14ac:dyDescent="0.35">
      <c r="A571" s="69">
        <v>57210124</v>
      </c>
      <c r="B571" s="69" t="s">
        <v>2194</v>
      </c>
      <c r="C571" s="69" t="s">
        <v>2195</v>
      </c>
      <c r="D571" s="69">
        <v>9850142586</v>
      </c>
      <c r="E571" s="69" t="s">
        <v>2196</v>
      </c>
      <c r="F571" s="69" t="s">
        <v>2137</v>
      </c>
      <c r="G571" s="26">
        <v>38</v>
      </c>
      <c r="H571" s="26"/>
      <c r="I571" s="26">
        <v>13</v>
      </c>
      <c r="J571" s="26">
        <v>198</v>
      </c>
      <c r="K571" s="26">
        <v>28</v>
      </c>
      <c r="L571" s="26">
        <v>24</v>
      </c>
      <c r="M571" s="26">
        <v>13</v>
      </c>
      <c r="N571" s="26">
        <v>10</v>
      </c>
      <c r="O571" s="26">
        <v>9</v>
      </c>
      <c r="P571" s="26">
        <v>18</v>
      </c>
      <c r="Q571" s="70">
        <v>8</v>
      </c>
      <c r="R571" s="26">
        <v>359</v>
      </c>
    </row>
    <row r="572" spans="1:18" x14ac:dyDescent="0.35">
      <c r="A572" s="69">
        <v>57210141</v>
      </c>
      <c r="B572" s="69" t="s">
        <v>2197</v>
      </c>
      <c r="C572" s="69" t="s">
        <v>2198</v>
      </c>
      <c r="D572" s="69">
        <v>9890363460</v>
      </c>
      <c r="E572" s="69" t="s">
        <v>2199</v>
      </c>
      <c r="F572" s="69" t="s">
        <v>2137</v>
      </c>
      <c r="G572" s="26">
        <v>7</v>
      </c>
      <c r="H572" s="26">
        <v>2</v>
      </c>
      <c r="I572" s="26">
        <v>35</v>
      </c>
      <c r="J572" s="26">
        <v>93</v>
      </c>
      <c r="K572" s="26">
        <v>16</v>
      </c>
      <c r="L572" s="26">
        <v>7</v>
      </c>
      <c r="M572" s="26">
        <v>2</v>
      </c>
      <c r="N572" s="26">
        <v>11</v>
      </c>
      <c r="O572" s="26">
        <v>8</v>
      </c>
      <c r="P572" s="26">
        <v>10</v>
      </c>
      <c r="Q572" s="70">
        <v>0</v>
      </c>
      <c r="R572" s="26">
        <v>191</v>
      </c>
    </row>
    <row r="573" spans="1:18" x14ac:dyDescent="0.35">
      <c r="A573" s="69">
        <v>57210163</v>
      </c>
      <c r="B573" s="69" t="s">
        <v>2200</v>
      </c>
      <c r="C573" s="69" t="s">
        <v>2201</v>
      </c>
      <c r="D573" s="69">
        <v>9850855540</v>
      </c>
      <c r="E573" s="69" t="s">
        <v>2202</v>
      </c>
      <c r="F573" s="69" t="s">
        <v>2137</v>
      </c>
      <c r="G573" s="26">
        <v>64</v>
      </c>
      <c r="H573" s="26">
        <v>10</v>
      </c>
      <c r="I573" s="26">
        <v>102</v>
      </c>
      <c r="J573" s="26">
        <v>176</v>
      </c>
      <c r="K573" s="26">
        <v>40</v>
      </c>
      <c r="L573" s="26">
        <v>21</v>
      </c>
      <c r="M573" s="26">
        <v>44</v>
      </c>
      <c r="N573" s="26">
        <v>44</v>
      </c>
      <c r="O573" s="26">
        <v>25</v>
      </c>
      <c r="P573" s="26">
        <v>17</v>
      </c>
      <c r="Q573" s="70">
        <v>0</v>
      </c>
      <c r="R573" s="26">
        <v>543</v>
      </c>
    </row>
    <row r="574" spans="1:18" x14ac:dyDescent="0.35">
      <c r="A574" s="69">
        <v>57210164</v>
      </c>
      <c r="B574" s="69" t="s">
        <v>2203</v>
      </c>
      <c r="C574" s="69" t="s">
        <v>2204</v>
      </c>
      <c r="D574" s="69">
        <v>9423200039</v>
      </c>
      <c r="E574" s="69" t="s">
        <v>2205</v>
      </c>
      <c r="F574" s="69" t="s">
        <v>2137</v>
      </c>
      <c r="G574" s="26">
        <v>41</v>
      </c>
      <c r="H574" s="26">
        <v>2</v>
      </c>
      <c r="I574" s="26">
        <v>50</v>
      </c>
      <c r="J574" s="26">
        <v>33</v>
      </c>
      <c r="K574" s="26">
        <v>6</v>
      </c>
      <c r="L574" s="26">
        <v>6</v>
      </c>
      <c r="M574" s="26">
        <v>40</v>
      </c>
      <c r="N574" s="26">
        <v>3</v>
      </c>
      <c r="O574" s="26">
        <v>17</v>
      </c>
      <c r="P574" s="26">
        <v>11</v>
      </c>
      <c r="Q574" s="70">
        <v>1</v>
      </c>
      <c r="R574" s="26">
        <v>210</v>
      </c>
    </row>
    <row r="575" spans="1:18" x14ac:dyDescent="0.35">
      <c r="A575" s="69">
        <v>57210165</v>
      </c>
      <c r="B575" s="69" t="s">
        <v>2206</v>
      </c>
      <c r="C575" s="69" t="s">
        <v>2207</v>
      </c>
      <c r="D575" s="69">
        <v>9890955528</v>
      </c>
      <c r="E575" s="69" t="s">
        <v>2208</v>
      </c>
      <c r="F575" s="69" t="s">
        <v>2137</v>
      </c>
      <c r="G575" s="26">
        <v>40</v>
      </c>
      <c r="H575" s="26">
        <v>17</v>
      </c>
      <c r="I575" s="26">
        <v>60</v>
      </c>
      <c r="J575" s="26">
        <v>119</v>
      </c>
      <c r="K575" s="26">
        <v>15</v>
      </c>
      <c r="L575" s="26"/>
      <c r="M575" s="26">
        <v>34</v>
      </c>
      <c r="N575" s="26">
        <v>0</v>
      </c>
      <c r="O575" s="26">
        <v>6</v>
      </c>
      <c r="P575" s="26">
        <v>14</v>
      </c>
      <c r="Q575" s="70">
        <v>7</v>
      </c>
      <c r="R575" s="26">
        <v>312</v>
      </c>
    </row>
    <row r="576" spans="1:18" x14ac:dyDescent="0.35">
      <c r="A576" s="69">
        <v>57210168</v>
      </c>
      <c r="B576" s="69" t="s">
        <v>736</v>
      </c>
      <c r="C576" s="69" t="s">
        <v>2209</v>
      </c>
      <c r="D576" s="69">
        <v>9890171893</v>
      </c>
      <c r="E576" s="69" t="s">
        <v>2210</v>
      </c>
      <c r="F576" s="69" t="s">
        <v>2137</v>
      </c>
      <c r="G576" s="26">
        <v>82</v>
      </c>
      <c r="H576" s="26">
        <v>4</v>
      </c>
      <c r="I576" s="26">
        <v>52</v>
      </c>
      <c r="J576" s="26">
        <v>146</v>
      </c>
      <c r="K576" s="26">
        <v>43</v>
      </c>
      <c r="L576" s="26">
        <v>8</v>
      </c>
      <c r="M576" s="26">
        <v>15</v>
      </c>
      <c r="N576" s="26">
        <v>26</v>
      </c>
      <c r="O576" s="26">
        <v>6</v>
      </c>
      <c r="P576" s="26">
        <v>63</v>
      </c>
      <c r="Q576" s="70">
        <v>0</v>
      </c>
      <c r="R576" s="26">
        <v>445</v>
      </c>
    </row>
    <row r="577" spans="1:18" x14ac:dyDescent="0.35">
      <c r="A577" s="69">
        <v>57210169</v>
      </c>
      <c r="B577" s="69" t="s">
        <v>2211</v>
      </c>
      <c r="C577" s="69" t="s">
        <v>2212</v>
      </c>
      <c r="D577" s="69">
        <v>9372422229</v>
      </c>
      <c r="E577" s="69" t="s">
        <v>2213</v>
      </c>
      <c r="F577" s="69" t="s">
        <v>2137</v>
      </c>
      <c r="G577" s="26">
        <v>20</v>
      </c>
      <c r="H577" s="26">
        <v>2</v>
      </c>
      <c r="I577" s="26">
        <v>41</v>
      </c>
      <c r="J577" s="26">
        <v>78</v>
      </c>
      <c r="K577" s="26">
        <v>18</v>
      </c>
      <c r="L577" s="26">
        <v>25</v>
      </c>
      <c r="M577" s="26">
        <v>28</v>
      </c>
      <c r="N577" s="26"/>
      <c r="O577" s="26">
        <v>12</v>
      </c>
      <c r="P577" s="26">
        <v>10</v>
      </c>
      <c r="Q577" s="70">
        <v>18</v>
      </c>
      <c r="R577" s="26">
        <v>252</v>
      </c>
    </row>
    <row r="578" spans="1:18" x14ac:dyDescent="0.35">
      <c r="A578" s="69">
        <v>57210170</v>
      </c>
      <c r="B578" s="69" t="s">
        <v>2214</v>
      </c>
      <c r="C578" s="69" t="s">
        <v>2215</v>
      </c>
      <c r="D578" s="69">
        <v>9822879008</v>
      </c>
      <c r="E578" s="69" t="s">
        <v>2216</v>
      </c>
      <c r="F578" s="69" t="s">
        <v>2137</v>
      </c>
      <c r="G578" s="26"/>
      <c r="H578" s="26">
        <v>7</v>
      </c>
      <c r="I578" s="26"/>
      <c r="J578" s="26">
        <v>53</v>
      </c>
      <c r="K578" s="26">
        <v>11</v>
      </c>
      <c r="L578" s="26"/>
      <c r="M578" s="26"/>
      <c r="N578" s="26">
        <v>5</v>
      </c>
      <c r="O578" s="26"/>
      <c r="P578" s="26">
        <v>0</v>
      </c>
      <c r="Q578" s="70">
        <v>0</v>
      </c>
      <c r="R578" s="26">
        <v>76</v>
      </c>
    </row>
    <row r="579" spans="1:18" x14ac:dyDescent="0.35">
      <c r="A579" s="69">
        <v>57210171</v>
      </c>
      <c r="B579" s="69" t="s">
        <v>2217</v>
      </c>
      <c r="C579" s="69" t="s">
        <v>2218</v>
      </c>
      <c r="D579" s="69">
        <v>9823929402</v>
      </c>
      <c r="E579" s="69" t="s">
        <v>2219</v>
      </c>
      <c r="F579" s="69" t="s">
        <v>2137</v>
      </c>
      <c r="G579" s="26"/>
      <c r="H579" s="26">
        <v>1</v>
      </c>
      <c r="I579" s="26"/>
      <c r="J579" s="26">
        <v>138</v>
      </c>
      <c r="K579" s="26">
        <v>20</v>
      </c>
      <c r="L579" s="26">
        <v>5</v>
      </c>
      <c r="M579" s="26">
        <v>5</v>
      </c>
      <c r="N579" s="26">
        <v>1</v>
      </c>
      <c r="O579" s="26"/>
      <c r="P579" s="26">
        <v>3</v>
      </c>
      <c r="Q579" s="70">
        <v>1</v>
      </c>
      <c r="R579" s="26">
        <v>174</v>
      </c>
    </row>
    <row r="580" spans="1:18" x14ac:dyDescent="0.35">
      <c r="A580" s="69">
        <v>57210172</v>
      </c>
      <c r="B580" s="69" t="s">
        <v>2220</v>
      </c>
      <c r="C580" s="69" t="s">
        <v>2221</v>
      </c>
      <c r="D580" s="69">
        <v>9890653907</v>
      </c>
      <c r="E580" s="69" t="s">
        <v>2222</v>
      </c>
      <c r="F580" s="69" t="s">
        <v>2137</v>
      </c>
      <c r="G580" s="26">
        <v>14</v>
      </c>
      <c r="H580" s="26">
        <v>5</v>
      </c>
      <c r="I580" s="26"/>
      <c r="J580" s="26">
        <v>108</v>
      </c>
      <c r="K580" s="26">
        <v>15</v>
      </c>
      <c r="L580" s="26"/>
      <c r="M580" s="26">
        <v>10</v>
      </c>
      <c r="N580" s="26">
        <v>18</v>
      </c>
      <c r="O580" s="26">
        <v>14</v>
      </c>
      <c r="P580" s="26">
        <v>1</v>
      </c>
      <c r="Q580" s="70">
        <v>7</v>
      </c>
      <c r="R580" s="26">
        <v>192</v>
      </c>
    </row>
    <row r="581" spans="1:18" x14ac:dyDescent="0.35">
      <c r="A581" s="69">
        <v>57210176</v>
      </c>
      <c r="B581" s="69" t="s">
        <v>2223</v>
      </c>
      <c r="C581" s="69" t="s">
        <v>2224</v>
      </c>
      <c r="D581" s="69">
        <v>9049694646</v>
      </c>
      <c r="E581" s="69" t="s">
        <v>2225</v>
      </c>
      <c r="F581" s="69" t="s">
        <v>2137</v>
      </c>
      <c r="G581" s="26"/>
      <c r="H581" s="26">
        <v>7</v>
      </c>
      <c r="I581" s="26"/>
      <c r="J581" s="26">
        <v>50</v>
      </c>
      <c r="K581" s="26"/>
      <c r="L581" s="26">
        <v>7</v>
      </c>
      <c r="M581" s="26">
        <v>3</v>
      </c>
      <c r="N581" s="26">
        <v>0</v>
      </c>
      <c r="O581" s="26">
        <v>6</v>
      </c>
      <c r="P581" s="26">
        <v>8</v>
      </c>
      <c r="Q581" s="70">
        <v>7</v>
      </c>
      <c r="R581" s="26">
        <v>88</v>
      </c>
    </row>
    <row r="582" spans="1:18" x14ac:dyDescent="0.35">
      <c r="A582" s="69">
        <v>57210177</v>
      </c>
      <c r="B582" s="69" t="s">
        <v>2226</v>
      </c>
      <c r="C582" s="69" t="s">
        <v>2227</v>
      </c>
      <c r="D582" s="69">
        <v>9922112206</v>
      </c>
      <c r="E582" s="69" t="s">
        <v>2228</v>
      </c>
      <c r="F582" s="69" t="s">
        <v>2137</v>
      </c>
      <c r="G582" s="26">
        <v>3</v>
      </c>
      <c r="H582" s="26">
        <v>1</v>
      </c>
      <c r="I582" s="26">
        <v>27</v>
      </c>
      <c r="J582" s="26">
        <v>42</v>
      </c>
      <c r="K582" s="26">
        <v>14</v>
      </c>
      <c r="L582" s="26">
        <v>6</v>
      </c>
      <c r="M582" s="26">
        <v>11</v>
      </c>
      <c r="N582" s="26">
        <v>4</v>
      </c>
      <c r="O582" s="26">
        <v>4</v>
      </c>
      <c r="P582" s="26">
        <v>6</v>
      </c>
      <c r="Q582" s="70">
        <v>6</v>
      </c>
      <c r="R582" s="26">
        <v>124</v>
      </c>
    </row>
    <row r="583" spans="1:18" x14ac:dyDescent="0.35">
      <c r="A583" s="69">
        <v>57210179</v>
      </c>
      <c r="B583" s="69" t="s">
        <v>2229</v>
      </c>
      <c r="C583" s="69" t="s">
        <v>2230</v>
      </c>
      <c r="D583" s="69">
        <v>9623107426</v>
      </c>
      <c r="E583" s="69" t="s">
        <v>2231</v>
      </c>
      <c r="F583" s="69" t="s">
        <v>2137</v>
      </c>
      <c r="G583" s="26">
        <v>2</v>
      </c>
      <c r="H583" s="26"/>
      <c r="I583" s="26">
        <v>9</v>
      </c>
      <c r="J583" s="26">
        <v>56</v>
      </c>
      <c r="K583" s="26">
        <v>10</v>
      </c>
      <c r="L583" s="26"/>
      <c r="M583" s="26">
        <v>9</v>
      </c>
      <c r="N583" s="26">
        <v>4</v>
      </c>
      <c r="O583" s="26">
        <v>5</v>
      </c>
      <c r="P583" s="26">
        <v>0</v>
      </c>
      <c r="Q583" s="70">
        <v>0</v>
      </c>
      <c r="R583" s="26">
        <v>95</v>
      </c>
    </row>
    <row r="584" spans="1:18" x14ac:dyDescent="0.35">
      <c r="A584" s="69">
        <v>57210180</v>
      </c>
      <c r="B584" s="69" t="s">
        <v>2232</v>
      </c>
      <c r="C584" s="69" t="s">
        <v>2233</v>
      </c>
      <c r="D584" s="69">
        <v>9420707442</v>
      </c>
      <c r="E584" s="69" t="s">
        <v>2234</v>
      </c>
      <c r="F584" s="69" t="s">
        <v>2137</v>
      </c>
      <c r="G584" s="26">
        <v>18</v>
      </c>
      <c r="H584" s="26">
        <v>3</v>
      </c>
      <c r="I584" s="26">
        <v>10</v>
      </c>
      <c r="J584" s="26">
        <v>61</v>
      </c>
      <c r="K584" s="26">
        <v>15</v>
      </c>
      <c r="L584" s="26"/>
      <c r="M584" s="26">
        <v>20</v>
      </c>
      <c r="N584" s="26">
        <v>16</v>
      </c>
      <c r="O584" s="26">
        <v>5</v>
      </c>
      <c r="P584" s="26">
        <v>14</v>
      </c>
      <c r="Q584" s="70">
        <v>0</v>
      </c>
      <c r="R584" s="26">
        <v>162</v>
      </c>
    </row>
    <row r="585" spans="1:18" x14ac:dyDescent="0.35">
      <c r="A585" s="69">
        <v>57210187</v>
      </c>
      <c r="B585" s="69" t="s">
        <v>2235</v>
      </c>
      <c r="C585" s="69" t="s">
        <v>2236</v>
      </c>
      <c r="D585" s="69">
        <v>9225116059</v>
      </c>
      <c r="E585" s="69" t="s">
        <v>2237</v>
      </c>
      <c r="F585" s="69" t="s">
        <v>2137</v>
      </c>
      <c r="G585" s="26">
        <v>10</v>
      </c>
      <c r="H585" s="26"/>
      <c r="I585" s="26">
        <v>11</v>
      </c>
      <c r="J585" s="26">
        <v>37</v>
      </c>
      <c r="K585" s="26">
        <v>38</v>
      </c>
      <c r="L585" s="26">
        <v>9</v>
      </c>
      <c r="M585" s="26">
        <v>24</v>
      </c>
      <c r="N585" s="26"/>
      <c r="O585" s="26">
        <v>0</v>
      </c>
      <c r="P585" s="26">
        <v>4</v>
      </c>
      <c r="Q585" s="70">
        <v>37</v>
      </c>
      <c r="R585" s="26">
        <v>170</v>
      </c>
    </row>
    <row r="586" spans="1:18" x14ac:dyDescent="0.35">
      <c r="A586" s="69">
        <v>57210194</v>
      </c>
      <c r="B586" s="69" t="s">
        <v>2238</v>
      </c>
      <c r="C586" s="69" t="s">
        <v>2239</v>
      </c>
      <c r="D586" s="69">
        <v>9423258939</v>
      </c>
      <c r="E586" s="69" t="s">
        <v>2240</v>
      </c>
      <c r="F586" s="69" t="s">
        <v>2137</v>
      </c>
      <c r="G586" s="26">
        <v>13</v>
      </c>
      <c r="H586" s="26"/>
      <c r="I586" s="26">
        <v>84</v>
      </c>
      <c r="J586" s="26">
        <v>20</v>
      </c>
      <c r="K586" s="26">
        <v>3</v>
      </c>
      <c r="L586" s="26"/>
      <c r="M586" s="26"/>
      <c r="N586" s="26">
        <v>4</v>
      </c>
      <c r="O586" s="26">
        <v>10</v>
      </c>
      <c r="P586" s="26">
        <v>4</v>
      </c>
      <c r="Q586" s="70">
        <v>0</v>
      </c>
      <c r="R586" s="26">
        <v>138</v>
      </c>
    </row>
    <row r="587" spans="1:18" x14ac:dyDescent="0.35">
      <c r="A587" s="69">
        <v>57210198</v>
      </c>
      <c r="B587" s="69" t="s">
        <v>2241</v>
      </c>
      <c r="C587" s="69" t="s">
        <v>2242</v>
      </c>
      <c r="D587" s="69">
        <v>9226775587</v>
      </c>
      <c r="E587" s="69" t="s">
        <v>2243</v>
      </c>
      <c r="F587" s="69" t="s">
        <v>2137</v>
      </c>
      <c r="G587" s="26">
        <v>15</v>
      </c>
      <c r="H587" s="26">
        <v>2</v>
      </c>
      <c r="I587" s="26"/>
      <c r="J587" s="26">
        <v>80</v>
      </c>
      <c r="K587" s="26">
        <v>31</v>
      </c>
      <c r="L587" s="26">
        <v>12</v>
      </c>
      <c r="M587" s="26">
        <v>6</v>
      </c>
      <c r="N587" s="26">
        <v>5</v>
      </c>
      <c r="O587" s="26">
        <v>8</v>
      </c>
      <c r="P587" s="26">
        <v>3</v>
      </c>
      <c r="Q587" s="70">
        <v>0</v>
      </c>
      <c r="R587" s="26">
        <v>162</v>
      </c>
    </row>
    <row r="588" spans="1:18" x14ac:dyDescent="0.35">
      <c r="A588" s="69">
        <v>57210225</v>
      </c>
      <c r="B588" s="69" t="s">
        <v>2244</v>
      </c>
      <c r="C588" s="69" t="s">
        <v>2245</v>
      </c>
      <c r="D588" s="69">
        <v>9325199507</v>
      </c>
      <c r="E588" s="69" t="s">
        <v>2246</v>
      </c>
      <c r="F588" s="69" t="s">
        <v>2137</v>
      </c>
      <c r="G588" s="26">
        <v>30</v>
      </c>
      <c r="H588" s="26"/>
      <c r="I588" s="26">
        <v>34</v>
      </c>
      <c r="J588" s="26">
        <v>57</v>
      </c>
      <c r="K588" s="26">
        <v>21</v>
      </c>
      <c r="L588" s="26"/>
      <c r="M588" s="26">
        <v>24</v>
      </c>
      <c r="N588" s="26"/>
      <c r="O588" s="26"/>
      <c r="P588" s="26">
        <v>34</v>
      </c>
      <c r="Q588" s="70">
        <v>0</v>
      </c>
      <c r="R588" s="26">
        <v>200</v>
      </c>
    </row>
    <row r="589" spans="1:18" x14ac:dyDescent="0.35">
      <c r="A589" s="69">
        <v>57210227</v>
      </c>
      <c r="B589" s="69" t="s">
        <v>2247</v>
      </c>
      <c r="C589" s="69" t="s">
        <v>2248</v>
      </c>
      <c r="D589" s="69">
        <v>9209204378</v>
      </c>
      <c r="E589" s="69" t="s">
        <v>2249</v>
      </c>
      <c r="F589" s="69" t="s">
        <v>2137</v>
      </c>
      <c r="G589" s="26">
        <v>40</v>
      </c>
      <c r="H589" s="26">
        <v>7</v>
      </c>
      <c r="I589" s="26">
        <v>58</v>
      </c>
      <c r="J589" s="26">
        <v>79</v>
      </c>
      <c r="K589" s="26">
        <v>45</v>
      </c>
      <c r="L589" s="26">
        <v>18</v>
      </c>
      <c r="M589" s="26">
        <v>20</v>
      </c>
      <c r="N589" s="26">
        <v>24</v>
      </c>
      <c r="O589" s="26">
        <v>14</v>
      </c>
      <c r="P589" s="26">
        <v>15</v>
      </c>
      <c r="Q589" s="70">
        <v>6</v>
      </c>
      <c r="R589" s="26">
        <v>326</v>
      </c>
    </row>
    <row r="590" spans="1:18" x14ac:dyDescent="0.35">
      <c r="A590" s="69">
        <v>57210228</v>
      </c>
      <c r="B590" s="69" t="s">
        <v>2250</v>
      </c>
      <c r="C590" s="69" t="s">
        <v>2251</v>
      </c>
      <c r="D590" s="69">
        <v>9822196217</v>
      </c>
      <c r="E590" s="69" t="s">
        <v>2252</v>
      </c>
      <c r="F590" s="69" t="s">
        <v>2137</v>
      </c>
      <c r="G590" s="26">
        <v>25</v>
      </c>
      <c r="H590" s="26">
        <v>11</v>
      </c>
      <c r="I590" s="26"/>
      <c r="J590" s="26">
        <v>49</v>
      </c>
      <c r="K590" s="26">
        <v>18</v>
      </c>
      <c r="L590" s="26"/>
      <c r="M590" s="26">
        <v>17</v>
      </c>
      <c r="N590" s="26">
        <v>13</v>
      </c>
      <c r="O590" s="26">
        <v>5</v>
      </c>
      <c r="P590" s="26">
        <v>7</v>
      </c>
      <c r="Q590" s="70">
        <v>0</v>
      </c>
      <c r="R590" s="26">
        <v>145</v>
      </c>
    </row>
    <row r="591" spans="1:18" x14ac:dyDescent="0.35">
      <c r="A591" s="69">
        <v>57210236</v>
      </c>
      <c r="B591" s="69" t="s">
        <v>2167</v>
      </c>
      <c r="C591" s="69" t="s">
        <v>2253</v>
      </c>
      <c r="D591" s="69">
        <v>9226838787</v>
      </c>
      <c r="E591" s="69" t="s">
        <v>2169</v>
      </c>
      <c r="F591" s="69" t="s">
        <v>2137</v>
      </c>
      <c r="G591" s="26"/>
      <c r="H591" s="26"/>
      <c r="I591" s="26">
        <v>10</v>
      </c>
      <c r="J591" s="26">
        <v>38</v>
      </c>
      <c r="K591" s="26">
        <v>11</v>
      </c>
      <c r="L591" s="26">
        <v>2</v>
      </c>
      <c r="M591" s="26"/>
      <c r="N591" s="26">
        <v>1</v>
      </c>
      <c r="O591" s="26">
        <v>3</v>
      </c>
      <c r="P591" s="26">
        <v>2</v>
      </c>
      <c r="Q591" s="70">
        <v>0</v>
      </c>
      <c r="R591" s="26">
        <v>67</v>
      </c>
    </row>
    <row r="592" spans="1:18" x14ac:dyDescent="0.35">
      <c r="A592" s="69">
        <v>57210241</v>
      </c>
      <c r="B592" s="69" t="s">
        <v>2254</v>
      </c>
      <c r="C592" s="69" t="s">
        <v>2255</v>
      </c>
      <c r="D592" s="69">
        <v>9822950516</v>
      </c>
      <c r="E592" s="69" t="s">
        <v>2256</v>
      </c>
      <c r="F592" s="69" t="s">
        <v>2137</v>
      </c>
      <c r="G592" s="26"/>
      <c r="H592" s="26"/>
      <c r="I592" s="26">
        <v>3</v>
      </c>
      <c r="J592" s="26">
        <v>15</v>
      </c>
      <c r="K592" s="26"/>
      <c r="L592" s="26">
        <v>6</v>
      </c>
      <c r="M592" s="26">
        <v>0</v>
      </c>
      <c r="N592" s="26"/>
      <c r="O592" s="26"/>
      <c r="P592" s="26">
        <v>0</v>
      </c>
      <c r="Q592" s="70">
        <v>0</v>
      </c>
      <c r="R592" s="26">
        <v>24</v>
      </c>
    </row>
    <row r="593" spans="1:18" x14ac:dyDescent="0.35">
      <c r="A593" s="69">
        <v>57210243</v>
      </c>
      <c r="B593" s="69" t="s">
        <v>2257</v>
      </c>
      <c r="C593" s="69" t="s">
        <v>2258</v>
      </c>
      <c r="D593" s="69">
        <v>9890418120</v>
      </c>
      <c r="E593" s="69" t="s">
        <v>2259</v>
      </c>
      <c r="F593" s="69" t="s">
        <v>2137</v>
      </c>
      <c r="G593" s="26">
        <v>8</v>
      </c>
      <c r="H593" s="26">
        <v>2</v>
      </c>
      <c r="I593" s="26">
        <v>33</v>
      </c>
      <c r="J593" s="26">
        <v>37</v>
      </c>
      <c r="K593" s="26">
        <v>6</v>
      </c>
      <c r="L593" s="26">
        <v>3</v>
      </c>
      <c r="M593" s="26">
        <v>9</v>
      </c>
      <c r="N593" s="26">
        <v>7</v>
      </c>
      <c r="O593" s="26">
        <v>2</v>
      </c>
      <c r="P593" s="26">
        <v>3</v>
      </c>
      <c r="Q593" s="70">
        <v>3</v>
      </c>
      <c r="R593" s="26">
        <v>113</v>
      </c>
    </row>
    <row r="594" spans="1:18" x14ac:dyDescent="0.35">
      <c r="A594" s="69">
        <v>57210252</v>
      </c>
      <c r="B594" s="69" t="s">
        <v>2260</v>
      </c>
      <c r="C594" s="69" t="s">
        <v>2261</v>
      </c>
      <c r="D594" s="69">
        <v>9423969269</v>
      </c>
      <c r="E594" s="69" t="s">
        <v>2262</v>
      </c>
      <c r="F594" s="69" t="s">
        <v>2137</v>
      </c>
      <c r="G594" s="26">
        <v>11</v>
      </c>
      <c r="H594" s="26"/>
      <c r="I594" s="26">
        <v>20</v>
      </c>
      <c r="J594" s="26">
        <v>33</v>
      </c>
      <c r="K594" s="26">
        <v>7</v>
      </c>
      <c r="L594" s="26">
        <v>6</v>
      </c>
      <c r="M594" s="26">
        <v>5</v>
      </c>
      <c r="N594" s="26">
        <v>7</v>
      </c>
      <c r="O594" s="26">
        <v>5</v>
      </c>
      <c r="P594" s="26">
        <v>5</v>
      </c>
      <c r="Q594" s="70">
        <v>1</v>
      </c>
      <c r="R594" s="26">
        <v>100</v>
      </c>
    </row>
    <row r="595" spans="1:18" x14ac:dyDescent="0.35">
      <c r="A595" s="69">
        <v>57210260</v>
      </c>
      <c r="B595" s="69" t="s">
        <v>2263</v>
      </c>
      <c r="C595" s="69" t="s">
        <v>2264</v>
      </c>
      <c r="D595" s="69">
        <v>9422248045</v>
      </c>
      <c r="E595" s="69" t="s">
        <v>2265</v>
      </c>
      <c r="F595" s="69" t="s">
        <v>2137</v>
      </c>
      <c r="G595" s="26">
        <v>62</v>
      </c>
      <c r="H595" s="26"/>
      <c r="I595" s="26">
        <v>20</v>
      </c>
      <c r="J595" s="26">
        <v>151</v>
      </c>
      <c r="K595" s="26">
        <v>118</v>
      </c>
      <c r="L595" s="26">
        <v>13</v>
      </c>
      <c r="M595" s="26">
        <v>40</v>
      </c>
      <c r="N595" s="26">
        <v>8</v>
      </c>
      <c r="O595" s="26"/>
      <c r="P595" s="26">
        <v>21</v>
      </c>
      <c r="Q595" s="70">
        <v>0</v>
      </c>
      <c r="R595" s="26">
        <v>433</v>
      </c>
    </row>
    <row r="596" spans="1:18" x14ac:dyDescent="0.35">
      <c r="A596" s="69">
        <v>57210262</v>
      </c>
      <c r="B596" s="69" t="s">
        <v>2266</v>
      </c>
      <c r="C596" s="69" t="s">
        <v>2267</v>
      </c>
      <c r="D596" s="69">
        <v>9881148899</v>
      </c>
      <c r="E596" s="69" t="s">
        <v>2268</v>
      </c>
      <c r="F596" s="69" t="s">
        <v>2137</v>
      </c>
      <c r="G596" s="26">
        <v>6</v>
      </c>
      <c r="H596" s="26">
        <v>4</v>
      </c>
      <c r="I596" s="26"/>
      <c r="J596" s="26">
        <v>76</v>
      </c>
      <c r="K596" s="26"/>
      <c r="L596" s="26"/>
      <c r="M596" s="26">
        <v>8</v>
      </c>
      <c r="N596" s="26">
        <v>2</v>
      </c>
      <c r="O596" s="26"/>
      <c r="P596" s="26">
        <v>13</v>
      </c>
      <c r="Q596" s="70">
        <v>0</v>
      </c>
      <c r="R596" s="26">
        <v>109</v>
      </c>
    </row>
    <row r="597" spans="1:18" x14ac:dyDescent="0.35">
      <c r="A597" s="69">
        <v>57210264</v>
      </c>
      <c r="B597" s="69" t="s">
        <v>2269</v>
      </c>
      <c r="C597" s="69" t="s">
        <v>2270</v>
      </c>
      <c r="D597" s="69">
        <v>9960399582</v>
      </c>
      <c r="E597" s="69" t="s">
        <v>2271</v>
      </c>
      <c r="F597" s="69" t="s">
        <v>2137</v>
      </c>
      <c r="G597" s="26">
        <v>5</v>
      </c>
      <c r="H597" s="26">
        <v>7</v>
      </c>
      <c r="I597" s="26"/>
      <c r="J597" s="26">
        <v>66</v>
      </c>
      <c r="K597" s="26">
        <v>15</v>
      </c>
      <c r="L597" s="26"/>
      <c r="M597" s="26">
        <v>9</v>
      </c>
      <c r="N597" s="26">
        <v>0</v>
      </c>
      <c r="O597" s="26">
        <v>9</v>
      </c>
      <c r="P597" s="26">
        <v>10</v>
      </c>
      <c r="Q597" s="70">
        <v>6</v>
      </c>
      <c r="R597" s="26">
        <v>127</v>
      </c>
    </row>
    <row r="598" spans="1:18" x14ac:dyDescent="0.35">
      <c r="A598" s="69">
        <v>57210270</v>
      </c>
      <c r="B598" s="69" t="s">
        <v>2272</v>
      </c>
      <c r="C598" s="69" t="s">
        <v>2273</v>
      </c>
      <c r="D598" s="69">
        <v>9325945526</v>
      </c>
      <c r="E598" s="69" t="s">
        <v>2274</v>
      </c>
      <c r="F598" s="69" t="s">
        <v>2137</v>
      </c>
      <c r="G598" s="26">
        <v>16</v>
      </c>
      <c r="H598" s="26"/>
      <c r="I598" s="26"/>
      <c r="J598" s="26">
        <v>14</v>
      </c>
      <c r="K598" s="26">
        <v>14</v>
      </c>
      <c r="L598" s="26"/>
      <c r="M598" s="26"/>
      <c r="N598" s="26"/>
      <c r="O598" s="26"/>
      <c r="P598" s="26">
        <v>0</v>
      </c>
      <c r="Q598" s="70">
        <v>0</v>
      </c>
      <c r="R598" s="26">
        <v>44</v>
      </c>
    </row>
    <row r="599" spans="1:18" x14ac:dyDescent="0.35">
      <c r="A599" s="69">
        <v>57210272</v>
      </c>
      <c r="B599" s="69" t="s">
        <v>2275</v>
      </c>
      <c r="C599" s="69" t="s">
        <v>2276</v>
      </c>
      <c r="D599" s="69">
        <v>9226901596</v>
      </c>
      <c r="E599" s="69" t="s">
        <v>2277</v>
      </c>
      <c r="F599" s="69" t="s">
        <v>2137</v>
      </c>
      <c r="G599" s="26"/>
      <c r="H599" s="26"/>
      <c r="I599" s="26"/>
      <c r="J599" s="26">
        <v>41</v>
      </c>
      <c r="K599" s="26">
        <v>25</v>
      </c>
      <c r="L599" s="26"/>
      <c r="M599" s="26">
        <v>11</v>
      </c>
      <c r="N599" s="26">
        <v>10</v>
      </c>
      <c r="O599" s="26">
        <v>3</v>
      </c>
      <c r="P599" s="26">
        <v>0</v>
      </c>
      <c r="Q599" s="70">
        <v>17</v>
      </c>
      <c r="R599" s="26">
        <v>107</v>
      </c>
    </row>
    <row r="600" spans="1:18" x14ac:dyDescent="0.35">
      <c r="A600" s="69">
        <v>57210273</v>
      </c>
      <c r="B600" s="69" t="s">
        <v>2278</v>
      </c>
      <c r="C600" s="69" t="s">
        <v>2279</v>
      </c>
      <c r="D600" s="69">
        <v>9011968616</v>
      </c>
      <c r="E600" s="69" t="s">
        <v>2280</v>
      </c>
      <c r="F600" s="69" t="s">
        <v>2137</v>
      </c>
      <c r="G600" s="26">
        <v>9</v>
      </c>
      <c r="H600" s="26"/>
      <c r="I600" s="26"/>
      <c r="J600" s="26">
        <v>71</v>
      </c>
      <c r="K600" s="26">
        <v>13</v>
      </c>
      <c r="L600" s="26">
        <v>1</v>
      </c>
      <c r="M600" s="26">
        <v>13</v>
      </c>
      <c r="N600" s="26">
        <v>2</v>
      </c>
      <c r="O600" s="26">
        <v>4</v>
      </c>
      <c r="P600" s="26">
        <v>1</v>
      </c>
      <c r="Q600" s="70">
        <v>3</v>
      </c>
      <c r="R600" s="26">
        <v>117</v>
      </c>
    </row>
    <row r="601" spans="1:18" x14ac:dyDescent="0.35">
      <c r="A601" s="69">
        <v>57210282</v>
      </c>
      <c r="B601" s="69" t="s">
        <v>2134</v>
      </c>
      <c r="C601" s="69" t="s">
        <v>2281</v>
      </c>
      <c r="D601" s="69">
        <v>9890223667</v>
      </c>
      <c r="E601" s="69" t="s">
        <v>2136</v>
      </c>
      <c r="F601" s="69" t="s">
        <v>2137</v>
      </c>
      <c r="G601" s="26"/>
      <c r="H601" s="26"/>
      <c r="I601" s="26"/>
      <c r="J601" s="26">
        <v>32</v>
      </c>
      <c r="K601" s="26"/>
      <c r="L601" s="26">
        <v>16</v>
      </c>
      <c r="M601" s="26">
        <v>25</v>
      </c>
      <c r="N601" s="26">
        <v>3</v>
      </c>
      <c r="O601" s="26"/>
      <c r="P601" s="26">
        <v>6</v>
      </c>
      <c r="Q601" s="70">
        <v>2</v>
      </c>
      <c r="R601" s="26">
        <v>84</v>
      </c>
    </row>
    <row r="602" spans="1:18" x14ac:dyDescent="0.35">
      <c r="A602" s="69">
        <v>57210284</v>
      </c>
      <c r="B602" s="69" t="s">
        <v>2282</v>
      </c>
      <c r="C602" s="69" t="s">
        <v>2283</v>
      </c>
      <c r="D602" s="69">
        <v>9890030270</v>
      </c>
      <c r="E602" s="69" t="s">
        <v>2284</v>
      </c>
      <c r="F602" s="69" t="s">
        <v>2137</v>
      </c>
      <c r="G602" s="26"/>
      <c r="H602" s="26"/>
      <c r="I602" s="26">
        <v>36</v>
      </c>
      <c r="J602" s="26">
        <v>54</v>
      </c>
      <c r="K602" s="26">
        <v>18</v>
      </c>
      <c r="L602" s="26"/>
      <c r="M602" s="26"/>
      <c r="N602" s="26">
        <v>4</v>
      </c>
      <c r="O602" s="26"/>
      <c r="P602" s="26">
        <v>0</v>
      </c>
      <c r="Q602" s="70">
        <v>0</v>
      </c>
      <c r="R602" s="26">
        <v>112</v>
      </c>
    </row>
    <row r="603" spans="1:18" x14ac:dyDescent="0.35">
      <c r="A603" s="69">
        <v>57210289</v>
      </c>
      <c r="B603" s="69" t="s">
        <v>2285</v>
      </c>
      <c r="C603" s="69" t="s">
        <v>2286</v>
      </c>
      <c r="D603" s="69">
        <v>9545754511</v>
      </c>
      <c r="E603" s="69" t="s">
        <v>2287</v>
      </c>
      <c r="F603" s="69" t="s">
        <v>2137</v>
      </c>
      <c r="G603" s="26"/>
      <c r="H603" s="26"/>
      <c r="I603" s="26"/>
      <c r="J603" s="26">
        <v>39</v>
      </c>
      <c r="K603" s="26">
        <v>4</v>
      </c>
      <c r="L603" s="26">
        <v>4</v>
      </c>
      <c r="M603" s="26"/>
      <c r="N603" s="26">
        <v>2</v>
      </c>
      <c r="O603" s="26">
        <v>3</v>
      </c>
      <c r="P603" s="26">
        <v>0</v>
      </c>
      <c r="Q603" s="70">
        <v>0</v>
      </c>
      <c r="R603" s="26">
        <v>52</v>
      </c>
    </row>
    <row r="604" spans="1:18" x14ac:dyDescent="0.35">
      <c r="A604" s="69">
        <v>57210293</v>
      </c>
      <c r="B604" s="69" t="s">
        <v>2288</v>
      </c>
      <c r="C604" s="69" t="s">
        <v>2289</v>
      </c>
      <c r="D604" s="69">
        <v>9767890998</v>
      </c>
      <c r="E604" s="69" t="s">
        <v>2290</v>
      </c>
      <c r="F604" s="69" t="s">
        <v>2137</v>
      </c>
      <c r="G604" s="26">
        <v>57</v>
      </c>
      <c r="H604" s="26"/>
      <c r="I604" s="26">
        <v>56</v>
      </c>
      <c r="J604" s="26">
        <v>94</v>
      </c>
      <c r="K604" s="26">
        <v>19</v>
      </c>
      <c r="L604" s="26">
        <v>8</v>
      </c>
      <c r="M604" s="26">
        <v>22</v>
      </c>
      <c r="N604" s="26">
        <v>26</v>
      </c>
      <c r="O604" s="26"/>
      <c r="P604" s="26">
        <v>43</v>
      </c>
      <c r="Q604" s="70">
        <v>25</v>
      </c>
      <c r="R604" s="26">
        <v>350</v>
      </c>
    </row>
    <row r="605" spans="1:18" x14ac:dyDescent="0.35">
      <c r="A605" s="69">
        <v>57210297</v>
      </c>
      <c r="B605" s="69" t="s">
        <v>2291</v>
      </c>
      <c r="C605" s="69" t="s">
        <v>2292</v>
      </c>
      <c r="D605" s="69">
        <v>9371527340</v>
      </c>
      <c r="E605" s="69" t="s">
        <v>2293</v>
      </c>
      <c r="F605" s="69" t="s">
        <v>2137</v>
      </c>
      <c r="G605" s="26"/>
      <c r="H605" s="26">
        <v>16</v>
      </c>
      <c r="I605" s="26">
        <v>11</v>
      </c>
      <c r="J605" s="26">
        <v>64</v>
      </c>
      <c r="K605" s="26">
        <v>8</v>
      </c>
      <c r="L605" s="26">
        <v>10</v>
      </c>
      <c r="M605" s="26">
        <v>8</v>
      </c>
      <c r="N605" s="26">
        <v>6</v>
      </c>
      <c r="O605" s="26">
        <v>2</v>
      </c>
      <c r="P605" s="26">
        <v>9</v>
      </c>
      <c r="Q605" s="70">
        <v>2</v>
      </c>
      <c r="R605" s="26">
        <v>136</v>
      </c>
    </row>
    <row r="606" spans="1:18" x14ac:dyDescent="0.35">
      <c r="A606" s="69">
        <v>57210302</v>
      </c>
      <c r="B606" s="69" t="s">
        <v>2294</v>
      </c>
      <c r="C606" s="69" t="s">
        <v>2295</v>
      </c>
      <c r="D606" s="69">
        <v>9890866383</v>
      </c>
      <c r="E606" s="69" t="s">
        <v>2296</v>
      </c>
      <c r="F606" s="69" t="s">
        <v>2137</v>
      </c>
      <c r="G606" s="26">
        <v>7</v>
      </c>
      <c r="H606" s="26">
        <v>3</v>
      </c>
      <c r="I606" s="26">
        <v>13</v>
      </c>
      <c r="J606" s="26">
        <v>44</v>
      </c>
      <c r="K606" s="26">
        <v>7</v>
      </c>
      <c r="L606" s="26">
        <v>2</v>
      </c>
      <c r="M606" s="26">
        <v>2</v>
      </c>
      <c r="N606" s="26">
        <v>4</v>
      </c>
      <c r="O606" s="26">
        <v>2</v>
      </c>
      <c r="P606" s="26">
        <v>0</v>
      </c>
      <c r="Q606" s="70">
        <v>0</v>
      </c>
      <c r="R606" s="26">
        <v>84</v>
      </c>
    </row>
    <row r="607" spans="1:18" x14ac:dyDescent="0.35">
      <c r="A607" s="69">
        <v>57210306</v>
      </c>
      <c r="B607" s="69" t="s">
        <v>2297</v>
      </c>
      <c r="C607" s="69" t="s">
        <v>2298</v>
      </c>
      <c r="D607" s="69">
        <v>9850255532</v>
      </c>
      <c r="E607" s="69" t="s">
        <v>2187</v>
      </c>
      <c r="F607" s="69" t="s">
        <v>2137</v>
      </c>
      <c r="G607" s="26">
        <v>42</v>
      </c>
      <c r="H607" s="26"/>
      <c r="I607" s="26"/>
      <c r="J607" s="26">
        <v>216</v>
      </c>
      <c r="K607" s="26">
        <v>47</v>
      </c>
      <c r="L607" s="26"/>
      <c r="M607" s="26">
        <v>42</v>
      </c>
      <c r="N607" s="26">
        <v>8</v>
      </c>
      <c r="O607" s="26"/>
      <c r="P607" s="26">
        <v>24</v>
      </c>
      <c r="Q607" s="70">
        <v>0</v>
      </c>
      <c r="R607" s="26">
        <v>379</v>
      </c>
    </row>
    <row r="608" spans="1:18" x14ac:dyDescent="0.35">
      <c r="A608" s="69">
        <v>57210312</v>
      </c>
      <c r="B608" s="69" t="s">
        <v>2299</v>
      </c>
      <c r="C608" s="69" t="s">
        <v>2300</v>
      </c>
      <c r="D608" s="69">
        <v>9890244702</v>
      </c>
      <c r="E608" s="69" t="s">
        <v>2301</v>
      </c>
      <c r="F608" s="69" t="s">
        <v>2137</v>
      </c>
      <c r="G608" s="26">
        <v>13</v>
      </c>
      <c r="H608" s="26">
        <v>3</v>
      </c>
      <c r="I608" s="26">
        <v>34</v>
      </c>
      <c r="J608" s="26">
        <v>25</v>
      </c>
      <c r="K608" s="26"/>
      <c r="L608" s="26"/>
      <c r="M608" s="26">
        <v>4</v>
      </c>
      <c r="N608" s="26">
        <v>6</v>
      </c>
      <c r="O608" s="26">
        <v>3</v>
      </c>
      <c r="P608" s="26">
        <v>16</v>
      </c>
      <c r="Q608" s="70">
        <v>1</v>
      </c>
      <c r="R608" s="26">
        <v>105</v>
      </c>
    </row>
    <row r="609" spans="1:18" x14ac:dyDescent="0.35">
      <c r="A609" s="69">
        <v>57210319</v>
      </c>
      <c r="B609" s="69" t="s">
        <v>2302</v>
      </c>
      <c r="C609" s="69" t="s">
        <v>2303</v>
      </c>
      <c r="D609" s="69">
        <v>9890607073</v>
      </c>
      <c r="E609" s="69" t="s">
        <v>2304</v>
      </c>
      <c r="F609" s="69" t="s">
        <v>2137</v>
      </c>
      <c r="G609" s="26">
        <v>8</v>
      </c>
      <c r="H609" s="26"/>
      <c r="I609" s="26"/>
      <c r="J609" s="26">
        <v>109</v>
      </c>
      <c r="K609" s="26">
        <v>24</v>
      </c>
      <c r="L609" s="26">
        <v>8</v>
      </c>
      <c r="M609" s="26"/>
      <c r="N609" s="26">
        <v>2</v>
      </c>
      <c r="O609" s="26">
        <v>5</v>
      </c>
      <c r="P609" s="26">
        <v>8</v>
      </c>
      <c r="Q609" s="70">
        <v>0</v>
      </c>
      <c r="R609" s="26">
        <v>164</v>
      </c>
    </row>
    <row r="610" spans="1:18" x14ac:dyDescent="0.35">
      <c r="A610" s="69">
        <v>57210326</v>
      </c>
      <c r="B610" s="69" t="s">
        <v>2305</v>
      </c>
      <c r="C610" s="69" t="s">
        <v>2306</v>
      </c>
      <c r="D610" s="69">
        <v>9420227200</v>
      </c>
      <c r="E610" s="69" t="s">
        <v>2181</v>
      </c>
      <c r="F610" s="69" t="s">
        <v>2137</v>
      </c>
      <c r="G610" s="26">
        <v>10</v>
      </c>
      <c r="H610" s="26"/>
      <c r="I610" s="26">
        <v>11</v>
      </c>
      <c r="J610" s="26">
        <v>41</v>
      </c>
      <c r="K610" s="26">
        <v>14</v>
      </c>
      <c r="L610" s="26">
        <v>6</v>
      </c>
      <c r="M610" s="26">
        <v>4</v>
      </c>
      <c r="N610" s="26">
        <v>4</v>
      </c>
      <c r="O610" s="26">
        <v>5</v>
      </c>
      <c r="P610" s="26">
        <v>2</v>
      </c>
      <c r="Q610" s="70">
        <v>2</v>
      </c>
      <c r="R610" s="26">
        <v>99</v>
      </c>
    </row>
    <row r="611" spans="1:18" x14ac:dyDescent="0.35">
      <c r="A611" s="69">
        <v>57210349</v>
      </c>
      <c r="B611" s="69" t="s">
        <v>736</v>
      </c>
      <c r="C611" s="69" t="s">
        <v>2307</v>
      </c>
      <c r="D611" s="69">
        <v>9923888234</v>
      </c>
      <c r="E611" s="69" t="s">
        <v>2308</v>
      </c>
      <c r="F611" s="69" t="s">
        <v>2137</v>
      </c>
      <c r="G611" s="26">
        <v>6</v>
      </c>
      <c r="H611" s="26"/>
      <c r="I611" s="26"/>
      <c r="J611" s="26">
        <v>65</v>
      </c>
      <c r="K611" s="26">
        <v>40</v>
      </c>
      <c r="L611" s="26"/>
      <c r="M611" s="26"/>
      <c r="N611" s="26">
        <v>7</v>
      </c>
      <c r="O611" s="26">
        <v>8</v>
      </c>
      <c r="P611" s="26">
        <v>0</v>
      </c>
      <c r="Q611" s="70">
        <v>14</v>
      </c>
      <c r="R611" s="26">
        <v>140</v>
      </c>
    </row>
    <row r="612" spans="1:18" x14ac:dyDescent="0.35">
      <c r="A612" s="69">
        <v>57210360</v>
      </c>
      <c r="B612" s="69" t="s">
        <v>2309</v>
      </c>
      <c r="C612" s="69" t="s">
        <v>2310</v>
      </c>
      <c r="D612" s="69">
        <v>9923291564</v>
      </c>
      <c r="E612" s="69" t="s">
        <v>2311</v>
      </c>
      <c r="F612" s="69" t="s">
        <v>2137</v>
      </c>
      <c r="G612" s="26"/>
      <c r="H612" s="26"/>
      <c r="I612" s="26">
        <v>7</v>
      </c>
      <c r="J612" s="26">
        <v>18</v>
      </c>
      <c r="K612" s="26">
        <v>6</v>
      </c>
      <c r="L612" s="26">
        <v>10</v>
      </c>
      <c r="M612" s="26">
        <v>6</v>
      </c>
      <c r="N612" s="26">
        <v>2</v>
      </c>
      <c r="O612" s="26">
        <v>2</v>
      </c>
      <c r="P612" s="26">
        <v>3</v>
      </c>
      <c r="Q612" s="70">
        <v>1</v>
      </c>
      <c r="R612" s="26">
        <v>55</v>
      </c>
    </row>
    <row r="613" spans="1:18" x14ac:dyDescent="0.35">
      <c r="A613" s="69">
        <v>57210376</v>
      </c>
      <c r="B613" s="69" t="s">
        <v>2312</v>
      </c>
      <c r="C613" s="69" t="s">
        <v>2313</v>
      </c>
      <c r="D613" s="69">
        <v>9890292336</v>
      </c>
      <c r="E613" s="69" t="s">
        <v>2314</v>
      </c>
      <c r="F613" s="69" t="s">
        <v>2137</v>
      </c>
      <c r="G613" s="26">
        <v>21</v>
      </c>
      <c r="H613" s="26"/>
      <c r="I613" s="26">
        <v>8</v>
      </c>
      <c r="J613" s="26">
        <v>126</v>
      </c>
      <c r="K613" s="26">
        <v>16</v>
      </c>
      <c r="L613" s="26"/>
      <c r="M613" s="26"/>
      <c r="N613" s="26">
        <v>38</v>
      </c>
      <c r="O613" s="26">
        <v>10</v>
      </c>
      <c r="P613" s="26">
        <v>6</v>
      </c>
      <c r="Q613" s="70">
        <v>1</v>
      </c>
      <c r="R613" s="26">
        <v>226</v>
      </c>
    </row>
    <row r="614" spans="1:18" x14ac:dyDescent="0.35">
      <c r="A614" s="69">
        <v>57210382</v>
      </c>
      <c r="B614" s="69" t="s">
        <v>2315</v>
      </c>
      <c r="C614" s="69" t="s">
        <v>2316</v>
      </c>
      <c r="D614" s="69">
        <v>7588173033</v>
      </c>
      <c r="E614" s="69" t="s">
        <v>2317</v>
      </c>
      <c r="F614" s="69" t="s">
        <v>2137</v>
      </c>
      <c r="G614" s="26"/>
      <c r="H614" s="26"/>
      <c r="I614" s="26">
        <v>21</v>
      </c>
      <c r="J614" s="26">
        <v>39</v>
      </c>
      <c r="K614" s="26">
        <v>11</v>
      </c>
      <c r="L614" s="26">
        <v>5</v>
      </c>
      <c r="M614" s="26">
        <v>7</v>
      </c>
      <c r="N614" s="26">
        <v>9</v>
      </c>
      <c r="O614" s="26">
        <v>3</v>
      </c>
      <c r="P614" s="26">
        <v>6</v>
      </c>
      <c r="Q614" s="70">
        <v>0</v>
      </c>
      <c r="R614" s="26">
        <v>101</v>
      </c>
    </row>
    <row r="615" spans="1:18" x14ac:dyDescent="0.35">
      <c r="A615" s="69">
        <v>57210383</v>
      </c>
      <c r="B615" s="69" t="s">
        <v>2318</v>
      </c>
      <c r="C615" s="69" t="s">
        <v>2319</v>
      </c>
      <c r="D615" s="69">
        <v>9762425487</v>
      </c>
      <c r="E615" s="69" t="s">
        <v>2320</v>
      </c>
      <c r="F615" s="69" t="s">
        <v>2137</v>
      </c>
      <c r="G615" s="26">
        <v>12</v>
      </c>
      <c r="H615" s="26">
        <v>2</v>
      </c>
      <c r="I615" s="26"/>
      <c r="J615" s="26">
        <v>87</v>
      </c>
      <c r="K615" s="26">
        <v>17</v>
      </c>
      <c r="L615" s="26">
        <v>8</v>
      </c>
      <c r="M615" s="26">
        <v>20</v>
      </c>
      <c r="N615" s="26">
        <v>7</v>
      </c>
      <c r="O615" s="26">
        <v>12</v>
      </c>
      <c r="P615" s="26">
        <v>10</v>
      </c>
      <c r="Q615" s="70">
        <v>2</v>
      </c>
      <c r="R615" s="26">
        <v>177</v>
      </c>
    </row>
    <row r="616" spans="1:18" x14ac:dyDescent="0.35">
      <c r="A616" s="69">
        <v>57210387</v>
      </c>
      <c r="B616" s="69" t="s">
        <v>2321</v>
      </c>
      <c r="C616" s="69" t="s">
        <v>2322</v>
      </c>
      <c r="D616" s="69">
        <v>8605627708</v>
      </c>
      <c r="E616" s="69" t="s">
        <v>2323</v>
      </c>
      <c r="F616" s="69" t="s">
        <v>2137</v>
      </c>
      <c r="G616" s="26">
        <v>10</v>
      </c>
      <c r="H616" s="26"/>
      <c r="I616" s="26">
        <v>14</v>
      </c>
      <c r="J616" s="26">
        <v>34</v>
      </c>
      <c r="K616" s="26"/>
      <c r="L616" s="26">
        <v>6</v>
      </c>
      <c r="M616" s="26"/>
      <c r="N616" s="26"/>
      <c r="O616" s="26">
        <v>0</v>
      </c>
      <c r="P616" s="26">
        <v>18</v>
      </c>
      <c r="Q616" s="70">
        <v>7</v>
      </c>
      <c r="R616" s="26">
        <v>89</v>
      </c>
    </row>
    <row r="617" spans="1:18" x14ac:dyDescent="0.35">
      <c r="A617" s="69">
        <v>57210390</v>
      </c>
      <c r="B617" s="69" t="s">
        <v>1342</v>
      </c>
      <c r="C617" s="69" t="s">
        <v>2324</v>
      </c>
      <c r="D617" s="69">
        <v>9623541026</v>
      </c>
      <c r="E617" s="69" t="s">
        <v>2325</v>
      </c>
      <c r="F617" s="69" t="s">
        <v>2137</v>
      </c>
      <c r="G617" s="26">
        <v>4</v>
      </c>
      <c r="H617" s="26"/>
      <c r="I617" s="26"/>
      <c r="J617" s="26">
        <v>92</v>
      </c>
      <c r="K617" s="26">
        <v>7</v>
      </c>
      <c r="L617" s="26">
        <v>8</v>
      </c>
      <c r="M617" s="26">
        <v>4</v>
      </c>
      <c r="N617" s="26"/>
      <c r="O617" s="26">
        <v>4</v>
      </c>
      <c r="P617" s="26">
        <v>1</v>
      </c>
      <c r="Q617" s="70">
        <v>0</v>
      </c>
      <c r="R617" s="26">
        <v>120</v>
      </c>
    </row>
    <row r="618" spans="1:18" x14ac:dyDescent="0.35">
      <c r="A618" s="69">
        <v>57210391</v>
      </c>
      <c r="B618" s="69" t="s">
        <v>2326</v>
      </c>
      <c r="C618" s="69" t="s">
        <v>2327</v>
      </c>
      <c r="D618" s="69">
        <v>9158826880</v>
      </c>
      <c r="E618" s="69" t="s">
        <v>2328</v>
      </c>
      <c r="F618" s="69" t="s">
        <v>2137</v>
      </c>
      <c r="G618" s="26">
        <v>4</v>
      </c>
      <c r="H618" s="26">
        <v>5</v>
      </c>
      <c r="I618" s="26">
        <v>3</v>
      </c>
      <c r="J618" s="26">
        <v>26</v>
      </c>
      <c r="K618" s="26"/>
      <c r="L618" s="26">
        <v>0</v>
      </c>
      <c r="M618" s="26">
        <v>3</v>
      </c>
      <c r="N618" s="26">
        <v>2</v>
      </c>
      <c r="O618" s="26">
        <v>1</v>
      </c>
      <c r="P618" s="26">
        <v>4</v>
      </c>
      <c r="Q618" s="70">
        <v>1</v>
      </c>
      <c r="R618" s="26">
        <v>49</v>
      </c>
    </row>
    <row r="619" spans="1:18" x14ac:dyDescent="0.35">
      <c r="A619" s="69">
        <v>58210003</v>
      </c>
      <c r="B619" s="69" t="s">
        <v>935</v>
      </c>
      <c r="C619" s="69" t="s">
        <v>2329</v>
      </c>
      <c r="D619" s="69">
        <v>9869214286</v>
      </c>
      <c r="E619" s="69" t="s">
        <v>2330</v>
      </c>
      <c r="F619" s="69" t="s">
        <v>1629</v>
      </c>
      <c r="G619" s="26">
        <v>113</v>
      </c>
      <c r="H619" s="26"/>
      <c r="I619" s="26">
        <v>52</v>
      </c>
      <c r="J619" s="26">
        <v>237</v>
      </c>
      <c r="K619" s="26">
        <v>124</v>
      </c>
      <c r="L619" s="26">
        <v>65</v>
      </c>
      <c r="M619" s="26">
        <v>81</v>
      </c>
      <c r="N619" s="26">
        <v>54</v>
      </c>
      <c r="O619" s="26"/>
      <c r="P619" s="26">
        <v>65</v>
      </c>
      <c r="Q619" s="70">
        <v>19</v>
      </c>
      <c r="R619" s="26">
        <v>810</v>
      </c>
    </row>
    <row r="620" spans="1:18" x14ac:dyDescent="0.35">
      <c r="A620" s="69">
        <v>58210004</v>
      </c>
      <c r="B620" s="69" t="s">
        <v>935</v>
      </c>
      <c r="C620" s="69" t="s">
        <v>2331</v>
      </c>
      <c r="D620" s="69">
        <v>8108128870</v>
      </c>
      <c r="E620" s="69" t="s">
        <v>2332</v>
      </c>
      <c r="F620" s="69" t="s">
        <v>1629</v>
      </c>
      <c r="G620" s="26">
        <v>40</v>
      </c>
      <c r="H620" s="26"/>
      <c r="I620" s="26">
        <v>51</v>
      </c>
      <c r="J620" s="26">
        <v>60</v>
      </c>
      <c r="K620" s="26">
        <v>40</v>
      </c>
      <c r="L620" s="26">
        <v>56</v>
      </c>
      <c r="M620" s="26">
        <v>24</v>
      </c>
      <c r="N620" s="26">
        <v>20</v>
      </c>
      <c r="O620" s="26"/>
      <c r="P620" s="26">
        <v>24</v>
      </c>
      <c r="Q620" s="70">
        <v>15</v>
      </c>
      <c r="R620" s="26">
        <v>330</v>
      </c>
    </row>
    <row r="621" spans="1:18" x14ac:dyDescent="0.35">
      <c r="A621" s="69">
        <v>58210005</v>
      </c>
      <c r="B621" s="69" t="s">
        <v>2333</v>
      </c>
      <c r="C621" s="69" t="s">
        <v>2334</v>
      </c>
      <c r="D621" s="69">
        <v>9820977608</v>
      </c>
      <c r="E621" s="69" t="s">
        <v>2335</v>
      </c>
      <c r="F621" s="69" t="s">
        <v>1629</v>
      </c>
      <c r="G621" s="26">
        <v>4</v>
      </c>
      <c r="H621" s="26"/>
      <c r="I621" s="26">
        <v>7</v>
      </c>
      <c r="J621" s="26"/>
      <c r="K621" s="26">
        <v>13</v>
      </c>
      <c r="L621" s="26">
        <v>11</v>
      </c>
      <c r="M621" s="26">
        <v>11</v>
      </c>
      <c r="N621" s="26">
        <v>5</v>
      </c>
      <c r="O621" s="26">
        <v>5</v>
      </c>
      <c r="P621" s="26">
        <v>4</v>
      </c>
      <c r="Q621" s="70">
        <v>0</v>
      </c>
      <c r="R621" s="26">
        <v>60</v>
      </c>
    </row>
    <row r="622" spans="1:18" x14ac:dyDescent="0.35">
      <c r="A622" s="69">
        <v>58210027</v>
      </c>
      <c r="B622" s="69" t="s">
        <v>935</v>
      </c>
      <c r="C622" s="69" t="s">
        <v>2336</v>
      </c>
      <c r="D622" s="69">
        <v>9869214286</v>
      </c>
      <c r="E622" s="69" t="s">
        <v>2337</v>
      </c>
      <c r="F622" s="69" t="s">
        <v>1629</v>
      </c>
      <c r="G622" s="26">
        <v>67</v>
      </c>
      <c r="H622" s="26"/>
      <c r="I622" s="26">
        <v>55</v>
      </c>
      <c r="J622" s="26">
        <v>224</v>
      </c>
      <c r="K622" s="26">
        <v>85</v>
      </c>
      <c r="L622" s="26">
        <v>58</v>
      </c>
      <c r="M622" s="26">
        <v>67</v>
      </c>
      <c r="N622" s="26">
        <v>42</v>
      </c>
      <c r="O622" s="26"/>
      <c r="P622" s="26">
        <v>79</v>
      </c>
      <c r="Q622" s="70">
        <v>36</v>
      </c>
      <c r="R622" s="26">
        <v>713</v>
      </c>
    </row>
    <row r="623" spans="1:18" x14ac:dyDescent="0.35">
      <c r="A623" s="69">
        <v>58210045</v>
      </c>
      <c r="B623" s="69" t="s">
        <v>1177</v>
      </c>
      <c r="C623" s="69" t="s">
        <v>2338</v>
      </c>
      <c r="D623" s="69">
        <v>9820737731</v>
      </c>
      <c r="E623" s="69" t="s">
        <v>2339</v>
      </c>
      <c r="F623" s="69" t="s">
        <v>1629</v>
      </c>
      <c r="G623" s="26">
        <v>22</v>
      </c>
      <c r="H623" s="26"/>
      <c r="I623" s="26">
        <v>15</v>
      </c>
      <c r="J623" s="26">
        <v>70</v>
      </c>
      <c r="K623" s="26">
        <v>14</v>
      </c>
      <c r="L623" s="26">
        <v>13</v>
      </c>
      <c r="M623" s="26">
        <v>15</v>
      </c>
      <c r="N623" s="26">
        <v>9</v>
      </c>
      <c r="O623" s="26"/>
      <c r="P623" s="26">
        <v>15</v>
      </c>
      <c r="Q623" s="70">
        <v>6</v>
      </c>
      <c r="R623" s="26">
        <v>179</v>
      </c>
    </row>
    <row r="624" spans="1:18" x14ac:dyDescent="0.35">
      <c r="A624" s="69">
        <v>58210055</v>
      </c>
      <c r="B624" s="69" t="s">
        <v>935</v>
      </c>
      <c r="C624" s="69" t="s">
        <v>2340</v>
      </c>
      <c r="D624" s="69">
        <v>8108128870</v>
      </c>
      <c r="E624" s="69" t="s">
        <v>2332</v>
      </c>
      <c r="F624" s="69" t="s">
        <v>1629</v>
      </c>
      <c r="G624" s="26">
        <v>29</v>
      </c>
      <c r="H624" s="26"/>
      <c r="I624" s="26">
        <v>53</v>
      </c>
      <c r="J624" s="26">
        <v>51</v>
      </c>
      <c r="K624" s="26">
        <v>30</v>
      </c>
      <c r="L624" s="26">
        <v>35</v>
      </c>
      <c r="M624" s="26">
        <v>21</v>
      </c>
      <c r="N624" s="26"/>
      <c r="O624" s="26"/>
      <c r="P624" s="26">
        <v>28</v>
      </c>
      <c r="Q624" s="70">
        <v>0</v>
      </c>
      <c r="R624" s="26">
        <v>247</v>
      </c>
    </row>
    <row r="625" spans="1:18" x14ac:dyDescent="0.35">
      <c r="A625" s="69">
        <v>58210056</v>
      </c>
      <c r="B625" s="69" t="s">
        <v>935</v>
      </c>
      <c r="C625" s="69" t="s">
        <v>2341</v>
      </c>
      <c r="D625" s="69">
        <v>9702868333</v>
      </c>
      <c r="E625" s="69" t="s">
        <v>2342</v>
      </c>
      <c r="F625" s="69" t="s">
        <v>1629</v>
      </c>
      <c r="G625" s="26"/>
      <c r="H625" s="26"/>
      <c r="I625" s="26">
        <v>30</v>
      </c>
      <c r="J625" s="26">
        <v>57</v>
      </c>
      <c r="K625" s="26"/>
      <c r="L625" s="26">
        <v>24</v>
      </c>
      <c r="M625" s="26">
        <v>18</v>
      </c>
      <c r="N625" s="26">
        <v>8</v>
      </c>
      <c r="O625" s="26">
        <v>0</v>
      </c>
      <c r="P625" s="26">
        <v>19</v>
      </c>
      <c r="Q625" s="70">
        <v>6</v>
      </c>
      <c r="R625" s="26">
        <v>162</v>
      </c>
    </row>
    <row r="626" spans="1:18" x14ac:dyDescent="0.35">
      <c r="A626" s="69">
        <v>58210077</v>
      </c>
      <c r="B626" s="69" t="s">
        <v>2343</v>
      </c>
      <c r="C626" s="69" t="s">
        <v>2344</v>
      </c>
      <c r="D626" s="69">
        <v>9224120003</v>
      </c>
      <c r="E626" s="69" t="s">
        <v>2345</v>
      </c>
      <c r="F626" s="69" t="s">
        <v>203</v>
      </c>
      <c r="G626" s="26">
        <v>17</v>
      </c>
      <c r="H626" s="26"/>
      <c r="I626" s="26">
        <v>13</v>
      </c>
      <c r="J626" s="26">
        <v>13</v>
      </c>
      <c r="K626" s="26"/>
      <c r="L626" s="26">
        <v>23</v>
      </c>
      <c r="M626" s="26">
        <v>6</v>
      </c>
      <c r="N626" s="26">
        <v>4</v>
      </c>
      <c r="O626" s="26">
        <v>14</v>
      </c>
      <c r="P626" s="26">
        <v>6</v>
      </c>
      <c r="Q626" s="70">
        <v>5</v>
      </c>
      <c r="R626" s="26">
        <v>101</v>
      </c>
    </row>
    <row r="627" spans="1:18" x14ac:dyDescent="0.35">
      <c r="A627" s="69">
        <v>64210002</v>
      </c>
      <c r="B627" s="69" t="s">
        <v>2346</v>
      </c>
      <c r="C627" s="69" t="s">
        <v>2347</v>
      </c>
      <c r="D627" s="69">
        <v>9422152763</v>
      </c>
      <c r="E627" s="69" t="s">
        <v>2348</v>
      </c>
      <c r="F627" s="69" t="s">
        <v>2349</v>
      </c>
      <c r="G627" s="26">
        <v>30</v>
      </c>
      <c r="H627" s="26"/>
      <c r="I627" s="26">
        <v>55</v>
      </c>
      <c r="J627" s="26">
        <v>34</v>
      </c>
      <c r="K627" s="26">
        <v>61</v>
      </c>
      <c r="L627" s="26">
        <v>21</v>
      </c>
      <c r="M627" s="26">
        <v>14</v>
      </c>
      <c r="N627" s="26">
        <v>3</v>
      </c>
      <c r="O627" s="26">
        <v>16</v>
      </c>
      <c r="P627" s="26">
        <v>15</v>
      </c>
      <c r="Q627" s="70">
        <v>3</v>
      </c>
      <c r="R627" s="26">
        <v>252</v>
      </c>
    </row>
    <row r="628" spans="1:18" x14ac:dyDescent="0.35">
      <c r="A628" s="69">
        <v>64210003</v>
      </c>
      <c r="B628" s="69" t="s">
        <v>2350</v>
      </c>
      <c r="C628" s="69" t="s">
        <v>2351</v>
      </c>
      <c r="D628" s="69">
        <v>9421734503</v>
      </c>
      <c r="E628" s="69" t="s">
        <v>2352</v>
      </c>
      <c r="F628" s="69" t="s">
        <v>2349</v>
      </c>
      <c r="G628" s="26">
        <v>9</v>
      </c>
      <c r="H628" s="26">
        <v>1</v>
      </c>
      <c r="I628" s="26">
        <v>3</v>
      </c>
      <c r="J628" s="26">
        <v>39</v>
      </c>
      <c r="K628" s="26"/>
      <c r="L628" s="26"/>
      <c r="M628" s="26">
        <v>1</v>
      </c>
      <c r="N628" s="26">
        <v>9</v>
      </c>
      <c r="O628" s="26"/>
      <c r="P628" s="26">
        <v>13</v>
      </c>
      <c r="Q628" s="70">
        <v>2</v>
      </c>
      <c r="R628" s="26">
        <v>77</v>
      </c>
    </row>
    <row r="629" spans="1:18" x14ac:dyDescent="0.35">
      <c r="A629" s="69">
        <v>64210030</v>
      </c>
      <c r="B629" s="69" t="s">
        <v>2092</v>
      </c>
      <c r="C629" s="69" t="s">
        <v>2353</v>
      </c>
      <c r="D629" s="69">
        <v>9422137615</v>
      </c>
      <c r="E629" s="69" t="s">
        <v>2354</v>
      </c>
      <c r="F629" s="69" t="s">
        <v>2349</v>
      </c>
      <c r="G629" s="26"/>
      <c r="H629" s="26">
        <v>6</v>
      </c>
      <c r="I629" s="26"/>
      <c r="J629" s="26">
        <v>12</v>
      </c>
      <c r="K629" s="26">
        <v>5</v>
      </c>
      <c r="L629" s="26"/>
      <c r="M629" s="26">
        <v>9</v>
      </c>
      <c r="N629" s="26">
        <v>6</v>
      </c>
      <c r="O629" s="26"/>
      <c r="P629" s="26">
        <v>0</v>
      </c>
      <c r="Q629" s="70">
        <v>0</v>
      </c>
      <c r="R629" s="26">
        <v>38</v>
      </c>
    </row>
    <row r="630" spans="1:18" x14ac:dyDescent="0.35">
      <c r="A630" s="69">
        <v>64210061</v>
      </c>
      <c r="B630" s="69" t="s">
        <v>2355</v>
      </c>
      <c r="C630" s="69" t="s">
        <v>2356</v>
      </c>
      <c r="D630" s="69">
        <v>9421729222</v>
      </c>
      <c r="E630" s="69" t="s">
        <v>2357</v>
      </c>
      <c r="F630" s="69" t="s">
        <v>2349</v>
      </c>
      <c r="G630" s="26">
        <v>24</v>
      </c>
      <c r="H630" s="26"/>
      <c r="I630" s="26"/>
      <c r="J630" s="26">
        <v>85</v>
      </c>
      <c r="K630" s="26"/>
      <c r="L630" s="26"/>
      <c r="M630" s="26"/>
      <c r="N630" s="26">
        <v>32</v>
      </c>
      <c r="O630" s="26"/>
      <c r="P630" s="26">
        <v>0</v>
      </c>
      <c r="Q630" s="70">
        <v>28</v>
      </c>
      <c r="R630" s="26">
        <v>169</v>
      </c>
    </row>
    <row r="631" spans="1:18" x14ac:dyDescent="0.35">
      <c r="A631" s="69">
        <v>64210064</v>
      </c>
      <c r="B631" s="69" t="s">
        <v>2358</v>
      </c>
      <c r="C631" s="69" t="s">
        <v>2359</v>
      </c>
      <c r="D631" s="69">
        <v>8055253446</v>
      </c>
      <c r="E631" s="69" t="s">
        <v>2360</v>
      </c>
      <c r="F631" s="69" t="s">
        <v>2349</v>
      </c>
      <c r="G631" s="26"/>
      <c r="H631" s="26">
        <v>21</v>
      </c>
      <c r="I631" s="26">
        <v>53</v>
      </c>
      <c r="J631" s="26">
        <v>48</v>
      </c>
      <c r="K631" s="26"/>
      <c r="L631" s="26"/>
      <c r="M631" s="26">
        <v>17</v>
      </c>
      <c r="N631" s="26">
        <v>0</v>
      </c>
      <c r="O631" s="26">
        <v>31</v>
      </c>
      <c r="P631" s="26">
        <v>20</v>
      </c>
      <c r="Q631" s="70">
        <v>5</v>
      </c>
      <c r="R631" s="26">
        <v>195</v>
      </c>
    </row>
    <row r="632" spans="1:18" x14ac:dyDescent="0.35">
      <c r="A632" s="69">
        <v>67210002</v>
      </c>
      <c r="B632" s="69" t="s">
        <v>2238</v>
      </c>
      <c r="C632" s="69" t="s">
        <v>2361</v>
      </c>
      <c r="D632" s="69">
        <v>9764004659</v>
      </c>
      <c r="E632" s="69" t="s">
        <v>2362</v>
      </c>
      <c r="F632" s="69" t="s">
        <v>206</v>
      </c>
      <c r="G632" s="26">
        <v>11</v>
      </c>
      <c r="H632" s="26">
        <v>3</v>
      </c>
      <c r="I632" s="26"/>
      <c r="J632" s="26">
        <v>143</v>
      </c>
      <c r="K632" s="26">
        <v>23</v>
      </c>
      <c r="L632" s="26">
        <v>16</v>
      </c>
      <c r="M632" s="26">
        <v>18</v>
      </c>
      <c r="N632" s="26">
        <v>3</v>
      </c>
      <c r="O632" s="26">
        <v>1</v>
      </c>
      <c r="P632" s="26">
        <v>18</v>
      </c>
      <c r="Q632" s="70">
        <v>1</v>
      </c>
      <c r="R632" s="26">
        <v>237</v>
      </c>
    </row>
    <row r="633" spans="1:18" x14ac:dyDescent="0.35">
      <c r="A633" s="69">
        <v>67210005</v>
      </c>
      <c r="B633" s="69" t="s">
        <v>2363</v>
      </c>
      <c r="C633" s="69" t="s">
        <v>2364</v>
      </c>
      <c r="D633" s="69">
        <v>9822414672</v>
      </c>
      <c r="E633" s="69" t="s">
        <v>2365</v>
      </c>
      <c r="F633" s="69" t="s">
        <v>206</v>
      </c>
      <c r="G633" s="26">
        <v>15</v>
      </c>
      <c r="H633" s="26">
        <v>1</v>
      </c>
      <c r="I633" s="26"/>
      <c r="J633" s="26">
        <v>37</v>
      </c>
      <c r="K633" s="26">
        <v>8</v>
      </c>
      <c r="L633" s="26"/>
      <c r="M633" s="26">
        <v>16</v>
      </c>
      <c r="N633" s="26">
        <v>7</v>
      </c>
      <c r="O633" s="26">
        <v>7</v>
      </c>
      <c r="P633" s="26">
        <v>0</v>
      </c>
      <c r="Q633" s="70">
        <v>0</v>
      </c>
      <c r="R633" s="26">
        <v>91</v>
      </c>
    </row>
    <row r="634" spans="1:18" x14ac:dyDescent="0.35">
      <c r="A634" s="69">
        <v>67210006</v>
      </c>
      <c r="B634" s="69" t="s">
        <v>2366</v>
      </c>
      <c r="C634" s="69" t="s">
        <v>2367</v>
      </c>
      <c r="D634" s="69">
        <v>9822693698</v>
      </c>
      <c r="E634" s="69" t="s">
        <v>2368</v>
      </c>
      <c r="F634" s="69" t="s">
        <v>206</v>
      </c>
      <c r="G634" s="26">
        <v>23</v>
      </c>
      <c r="H634" s="26">
        <v>7</v>
      </c>
      <c r="I634" s="26">
        <v>86</v>
      </c>
      <c r="J634" s="26">
        <v>69</v>
      </c>
      <c r="K634" s="26">
        <v>9</v>
      </c>
      <c r="L634" s="26">
        <v>10</v>
      </c>
      <c r="M634" s="26">
        <v>11</v>
      </c>
      <c r="N634" s="26">
        <v>13</v>
      </c>
      <c r="O634" s="26">
        <v>7</v>
      </c>
      <c r="P634" s="26">
        <v>10</v>
      </c>
      <c r="Q634" s="70">
        <v>3</v>
      </c>
      <c r="R634" s="26">
        <v>248</v>
      </c>
    </row>
    <row r="635" spans="1:18" x14ac:dyDescent="0.35">
      <c r="A635" s="69">
        <v>67210011</v>
      </c>
      <c r="B635" s="69" t="s">
        <v>1232</v>
      </c>
      <c r="C635" s="69" t="s">
        <v>2369</v>
      </c>
      <c r="D635" s="69">
        <v>8421317122</v>
      </c>
      <c r="E635" s="69" t="s">
        <v>2370</v>
      </c>
      <c r="F635" s="69" t="s">
        <v>206</v>
      </c>
      <c r="G635" s="26"/>
      <c r="H635" s="26">
        <v>8</v>
      </c>
      <c r="I635" s="26">
        <v>54</v>
      </c>
      <c r="J635" s="26">
        <v>27</v>
      </c>
      <c r="K635" s="26">
        <v>12</v>
      </c>
      <c r="L635" s="26"/>
      <c r="M635" s="26">
        <v>12</v>
      </c>
      <c r="N635" s="26">
        <v>0</v>
      </c>
      <c r="O635" s="26">
        <v>11</v>
      </c>
      <c r="P635" s="26">
        <v>7</v>
      </c>
      <c r="Q635" s="70">
        <v>3</v>
      </c>
      <c r="R635" s="26">
        <v>134</v>
      </c>
    </row>
    <row r="636" spans="1:18" x14ac:dyDescent="0.35">
      <c r="A636" s="69">
        <v>67210028</v>
      </c>
      <c r="B636" s="69" t="s">
        <v>2371</v>
      </c>
      <c r="C636" s="69" t="s">
        <v>2372</v>
      </c>
      <c r="D636" s="69">
        <v>9420129348</v>
      </c>
      <c r="E636" s="69" t="s">
        <v>2373</v>
      </c>
      <c r="F636" s="69" t="s">
        <v>206</v>
      </c>
      <c r="G636" s="26"/>
      <c r="H636" s="26"/>
      <c r="I636" s="26"/>
      <c r="J636" s="26"/>
      <c r="K636" s="26">
        <v>7</v>
      </c>
      <c r="L636" s="26"/>
      <c r="M636" s="26"/>
      <c r="N636" s="26">
        <v>1</v>
      </c>
      <c r="O636" s="26"/>
      <c r="P636" s="26">
        <v>25</v>
      </c>
      <c r="Q636" s="70">
        <v>2</v>
      </c>
      <c r="R636" s="26">
        <v>35</v>
      </c>
    </row>
    <row r="637" spans="1:18" x14ac:dyDescent="0.35">
      <c r="A637" s="69">
        <v>67210029</v>
      </c>
      <c r="B637" s="69" t="s">
        <v>2374</v>
      </c>
      <c r="C637" s="69" t="s">
        <v>2375</v>
      </c>
      <c r="D637" s="69">
        <v>9890436868</v>
      </c>
      <c r="E637" s="69" t="s">
        <v>2376</v>
      </c>
      <c r="F637" s="69" t="s">
        <v>206</v>
      </c>
      <c r="G637" s="26"/>
      <c r="H637" s="26">
        <v>32</v>
      </c>
      <c r="I637" s="26"/>
      <c r="J637" s="26">
        <v>221</v>
      </c>
      <c r="K637" s="26">
        <v>27</v>
      </c>
      <c r="L637" s="26"/>
      <c r="M637" s="26">
        <v>35</v>
      </c>
      <c r="N637" s="26">
        <v>12</v>
      </c>
      <c r="O637" s="26">
        <v>9</v>
      </c>
      <c r="P637" s="26">
        <v>24</v>
      </c>
      <c r="Q637" s="70">
        <v>3</v>
      </c>
      <c r="R637" s="26">
        <v>363</v>
      </c>
    </row>
    <row r="638" spans="1:18" x14ac:dyDescent="0.35">
      <c r="A638" s="69">
        <v>67210058</v>
      </c>
      <c r="B638" s="69" t="s">
        <v>2377</v>
      </c>
      <c r="C638" s="69" t="s">
        <v>2378</v>
      </c>
      <c r="D638" s="69">
        <v>9765141310</v>
      </c>
      <c r="E638" s="69" t="s">
        <v>2379</v>
      </c>
      <c r="F638" s="69" t="s">
        <v>206</v>
      </c>
      <c r="G638" s="26">
        <v>21</v>
      </c>
      <c r="H638" s="26">
        <v>6</v>
      </c>
      <c r="I638" s="26">
        <v>122</v>
      </c>
      <c r="J638" s="26">
        <v>33</v>
      </c>
      <c r="K638" s="26">
        <v>1</v>
      </c>
      <c r="L638" s="26">
        <v>3</v>
      </c>
      <c r="M638" s="26">
        <v>6</v>
      </c>
      <c r="N638" s="26">
        <v>1</v>
      </c>
      <c r="O638" s="26">
        <v>0</v>
      </c>
      <c r="P638" s="26">
        <v>3</v>
      </c>
      <c r="Q638" s="70">
        <v>0</v>
      </c>
      <c r="R638" s="26">
        <v>196</v>
      </c>
    </row>
    <row r="639" spans="1:18" x14ac:dyDescent="0.35">
      <c r="A639" s="69">
        <v>67210063</v>
      </c>
      <c r="B639" s="69" t="s">
        <v>2380</v>
      </c>
      <c r="C639" s="69" t="s">
        <v>2381</v>
      </c>
      <c r="D639" s="69">
        <v>9860050071</v>
      </c>
      <c r="E639" s="69" t="s">
        <v>2382</v>
      </c>
      <c r="F639" s="69" t="s">
        <v>206</v>
      </c>
      <c r="G639" s="26">
        <v>20</v>
      </c>
      <c r="H639" s="26">
        <v>8</v>
      </c>
      <c r="I639" s="26">
        <v>97</v>
      </c>
      <c r="J639" s="26">
        <v>26</v>
      </c>
      <c r="K639" s="26">
        <v>7</v>
      </c>
      <c r="L639" s="26">
        <v>6</v>
      </c>
      <c r="M639" s="26">
        <v>7</v>
      </c>
      <c r="N639" s="26">
        <v>12</v>
      </c>
      <c r="O639" s="26">
        <v>9</v>
      </c>
      <c r="P639" s="26">
        <v>12</v>
      </c>
      <c r="Q639" s="70">
        <v>12</v>
      </c>
      <c r="R639" s="26">
        <v>216</v>
      </c>
    </row>
    <row r="640" spans="1:18" x14ac:dyDescent="0.35">
      <c r="A640" s="69">
        <v>67210064</v>
      </c>
      <c r="B640" s="69" t="s">
        <v>2383</v>
      </c>
      <c r="C640" s="69" t="s">
        <v>2384</v>
      </c>
      <c r="D640" s="69">
        <v>9860342172</v>
      </c>
      <c r="E640" s="69" t="s">
        <v>2385</v>
      </c>
      <c r="F640" s="69" t="s">
        <v>206</v>
      </c>
      <c r="G640" s="26"/>
      <c r="H640" s="26"/>
      <c r="I640" s="26">
        <v>82</v>
      </c>
      <c r="J640" s="26">
        <v>97</v>
      </c>
      <c r="K640" s="26">
        <v>14</v>
      </c>
      <c r="L640" s="26"/>
      <c r="M640" s="26">
        <v>10</v>
      </c>
      <c r="N640" s="26">
        <v>6</v>
      </c>
      <c r="O640" s="26">
        <v>5</v>
      </c>
      <c r="P640" s="26">
        <v>3</v>
      </c>
      <c r="Q640" s="70">
        <v>2</v>
      </c>
      <c r="R640" s="26">
        <v>219</v>
      </c>
    </row>
    <row r="641" spans="1:18" x14ac:dyDescent="0.35">
      <c r="A641" s="69">
        <v>67210075</v>
      </c>
      <c r="B641" s="69" t="s">
        <v>2386</v>
      </c>
      <c r="C641" s="69" t="s">
        <v>2387</v>
      </c>
      <c r="D641" s="69">
        <v>9922445711</v>
      </c>
      <c r="E641" s="69" t="s">
        <v>2388</v>
      </c>
      <c r="F641" s="69" t="s">
        <v>206</v>
      </c>
      <c r="G641" s="26">
        <v>23</v>
      </c>
      <c r="H641" s="26">
        <v>8</v>
      </c>
      <c r="I641" s="26">
        <v>54</v>
      </c>
      <c r="J641" s="26">
        <v>37</v>
      </c>
      <c r="K641" s="26">
        <v>9</v>
      </c>
      <c r="L641" s="26">
        <v>7</v>
      </c>
      <c r="M641" s="26">
        <v>9</v>
      </c>
      <c r="N641" s="26">
        <v>9</v>
      </c>
      <c r="O641" s="26">
        <v>1</v>
      </c>
      <c r="P641" s="26">
        <v>10</v>
      </c>
      <c r="Q641" s="70">
        <v>0</v>
      </c>
      <c r="R641" s="26">
        <v>167</v>
      </c>
    </row>
    <row r="642" spans="1:18" x14ac:dyDescent="0.35">
      <c r="A642" s="69">
        <v>67210076</v>
      </c>
      <c r="B642" s="69" t="s">
        <v>2389</v>
      </c>
      <c r="C642" s="69" t="s">
        <v>2390</v>
      </c>
      <c r="D642" s="69">
        <v>9960616470</v>
      </c>
      <c r="E642" s="69" t="s">
        <v>2391</v>
      </c>
      <c r="F642" s="69" t="s">
        <v>206</v>
      </c>
      <c r="G642" s="26">
        <v>26</v>
      </c>
      <c r="H642" s="26"/>
      <c r="I642" s="26"/>
      <c r="J642" s="26">
        <v>32</v>
      </c>
      <c r="K642" s="26"/>
      <c r="L642" s="26"/>
      <c r="M642" s="26"/>
      <c r="N642" s="26"/>
      <c r="O642" s="26"/>
      <c r="P642" s="26">
        <v>15</v>
      </c>
      <c r="Q642" s="70">
        <v>0</v>
      </c>
      <c r="R642" s="26">
        <v>73</v>
      </c>
    </row>
    <row r="643" spans="1:18" x14ac:dyDescent="0.35">
      <c r="A643" s="69">
        <v>67210079</v>
      </c>
      <c r="B643" s="69" t="s">
        <v>2392</v>
      </c>
      <c r="C643" s="69" t="s">
        <v>2393</v>
      </c>
      <c r="D643" s="69">
        <v>9822095895</v>
      </c>
      <c r="E643" s="69" t="s">
        <v>2394</v>
      </c>
      <c r="F643" s="69" t="s">
        <v>206</v>
      </c>
      <c r="G643" s="26">
        <v>11</v>
      </c>
      <c r="H643" s="26"/>
      <c r="I643" s="26">
        <v>14</v>
      </c>
      <c r="J643" s="26">
        <v>3</v>
      </c>
      <c r="K643" s="26"/>
      <c r="L643" s="26"/>
      <c r="M643" s="26">
        <v>3</v>
      </c>
      <c r="N643" s="26">
        <v>3</v>
      </c>
      <c r="O643" s="26">
        <v>2</v>
      </c>
      <c r="P643" s="26">
        <v>8</v>
      </c>
      <c r="Q643" s="70">
        <v>2</v>
      </c>
      <c r="R643" s="26">
        <v>46</v>
      </c>
    </row>
    <row r="644" spans="1:18" x14ac:dyDescent="0.35">
      <c r="A644" s="69">
        <v>67210084</v>
      </c>
      <c r="B644" s="69" t="s">
        <v>2395</v>
      </c>
      <c r="C644" s="69" t="s">
        <v>2396</v>
      </c>
      <c r="D644" s="69">
        <v>9325028458</v>
      </c>
      <c r="E644" s="69" t="s">
        <v>2397</v>
      </c>
      <c r="F644" s="69" t="s">
        <v>206</v>
      </c>
      <c r="G644" s="26">
        <v>16</v>
      </c>
      <c r="H644" s="26"/>
      <c r="I644" s="26"/>
      <c r="J644" s="26">
        <v>95</v>
      </c>
      <c r="K644" s="26">
        <v>3</v>
      </c>
      <c r="L644" s="26"/>
      <c r="M644" s="26"/>
      <c r="N644" s="26">
        <v>21</v>
      </c>
      <c r="O644" s="26">
        <v>0</v>
      </c>
      <c r="P644" s="26">
        <v>9</v>
      </c>
      <c r="Q644" s="70">
        <v>6</v>
      </c>
      <c r="R644" s="26">
        <v>150</v>
      </c>
    </row>
    <row r="645" spans="1:18" x14ac:dyDescent="0.35">
      <c r="A645" s="69">
        <v>67210085</v>
      </c>
      <c r="B645" s="69" t="s">
        <v>2398</v>
      </c>
      <c r="C645" s="69" t="s">
        <v>2399</v>
      </c>
      <c r="D645" s="69">
        <v>9890788448</v>
      </c>
      <c r="E645" s="69" t="s">
        <v>1276</v>
      </c>
      <c r="F645" s="69" t="s">
        <v>206</v>
      </c>
      <c r="G645" s="26"/>
      <c r="H645" s="26">
        <v>8</v>
      </c>
      <c r="I645" s="26"/>
      <c r="J645" s="26">
        <v>67</v>
      </c>
      <c r="K645" s="26"/>
      <c r="L645" s="26">
        <v>6</v>
      </c>
      <c r="M645" s="26">
        <v>5</v>
      </c>
      <c r="N645" s="26">
        <v>3</v>
      </c>
      <c r="O645" s="26"/>
      <c r="P645" s="26">
        <v>2</v>
      </c>
      <c r="Q645" s="70">
        <v>5</v>
      </c>
      <c r="R645" s="26">
        <v>96</v>
      </c>
    </row>
    <row r="646" spans="1:18" x14ac:dyDescent="0.35">
      <c r="A646" s="69">
        <v>67210088</v>
      </c>
      <c r="B646" s="69" t="s">
        <v>2400</v>
      </c>
      <c r="C646" s="69" t="s">
        <v>2401</v>
      </c>
      <c r="D646" s="69">
        <v>8888556107</v>
      </c>
      <c r="E646" s="69" t="s">
        <v>2402</v>
      </c>
      <c r="F646" s="69" t="s">
        <v>206</v>
      </c>
      <c r="G646" s="26">
        <v>30</v>
      </c>
      <c r="H646" s="26"/>
      <c r="I646" s="26">
        <v>3</v>
      </c>
      <c r="J646" s="26">
        <v>53</v>
      </c>
      <c r="K646" s="26">
        <v>11</v>
      </c>
      <c r="L646" s="26">
        <v>8</v>
      </c>
      <c r="M646" s="26">
        <v>11</v>
      </c>
      <c r="N646" s="26">
        <v>7</v>
      </c>
      <c r="O646" s="26">
        <v>6</v>
      </c>
      <c r="P646" s="26">
        <v>4</v>
      </c>
      <c r="Q646" s="70">
        <v>3</v>
      </c>
      <c r="R646" s="26">
        <v>136</v>
      </c>
    </row>
    <row r="647" spans="1:18" x14ac:dyDescent="0.35">
      <c r="A647" s="69">
        <v>67210089</v>
      </c>
      <c r="B647" s="69" t="s">
        <v>2403</v>
      </c>
      <c r="C647" s="69" t="s">
        <v>2404</v>
      </c>
      <c r="D647" s="69">
        <v>9423238122</v>
      </c>
      <c r="E647" s="69" t="s">
        <v>2405</v>
      </c>
      <c r="F647" s="69" t="s">
        <v>206</v>
      </c>
      <c r="G647" s="26">
        <v>21</v>
      </c>
      <c r="H647" s="26">
        <v>11</v>
      </c>
      <c r="I647" s="26">
        <v>26</v>
      </c>
      <c r="J647" s="26">
        <v>115</v>
      </c>
      <c r="K647" s="26">
        <v>22</v>
      </c>
      <c r="L647" s="26"/>
      <c r="M647" s="26">
        <v>31</v>
      </c>
      <c r="N647" s="26">
        <v>16</v>
      </c>
      <c r="O647" s="26">
        <v>9</v>
      </c>
      <c r="P647" s="26">
        <v>11</v>
      </c>
      <c r="Q647" s="70">
        <v>9</v>
      </c>
      <c r="R647" s="26">
        <v>271</v>
      </c>
    </row>
    <row r="648" spans="1:18" x14ac:dyDescent="0.35">
      <c r="A648" s="69">
        <v>67210091</v>
      </c>
      <c r="B648" s="69" t="s">
        <v>534</v>
      </c>
      <c r="C648" s="69" t="s">
        <v>2406</v>
      </c>
      <c r="D648" s="69">
        <v>9850931235</v>
      </c>
      <c r="E648" s="69" t="s">
        <v>2407</v>
      </c>
      <c r="F648" s="69" t="s">
        <v>206</v>
      </c>
      <c r="G648" s="26"/>
      <c r="H648" s="26">
        <v>7</v>
      </c>
      <c r="I648" s="26"/>
      <c r="J648" s="26">
        <v>39</v>
      </c>
      <c r="K648" s="26"/>
      <c r="L648" s="26">
        <v>0</v>
      </c>
      <c r="M648" s="26">
        <v>15</v>
      </c>
      <c r="N648" s="26">
        <v>0</v>
      </c>
      <c r="O648" s="26">
        <v>7</v>
      </c>
      <c r="P648" s="26">
        <v>6</v>
      </c>
      <c r="Q648" s="70">
        <v>0</v>
      </c>
      <c r="R648" s="26">
        <v>74</v>
      </c>
    </row>
    <row r="649" spans="1:18" x14ac:dyDescent="0.35">
      <c r="A649" s="69">
        <v>67210093</v>
      </c>
      <c r="B649" s="69" t="s">
        <v>2408</v>
      </c>
      <c r="C649" s="69" t="s">
        <v>2409</v>
      </c>
      <c r="D649" s="69">
        <v>9923810940</v>
      </c>
      <c r="E649" s="69" t="s">
        <v>2410</v>
      </c>
      <c r="F649" s="69" t="s">
        <v>206</v>
      </c>
      <c r="G649" s="26">
        <v>16</v>
      </c>
      <c r="H649" s="26"/>
      <c r="I649" s="26">
        <v>32</v>
      </c>
      <c r="J649" s="26">
        <v>104</v>
      </c>
      <c r="K649" s="26">
        <v>50</v>
      </c>
      <c r="L649" s="26">
        <v>14</v>
      </c>
      <c r="M649" s="26">
        <v>21</v>
      </c>
      <c r="N649" s="26">
        <v>21</v>
      </c>
      <c r="O649" s="26">
        <v>12</v>
      </c>
      <c r="P649" s="26">
        <v>15</v>
      </c>
      <c r="Q649" s="70">
        <v>6</v>
      </c>
      <c r="R649" s="26">
        <v>291</v>
      </c>
    </row>
    <row r="650" spans="1:18" x14ac:dyDescent="0.35">
      <c r="A650" s="69">
        <v>67210111</v>
      </c>
      <c r="B650" s="69" t="s">
        <v>2411</v>
      </c>
      <c r="C650" s="69" t="s">
        <v>2412</v>
      </c>
      <c r="D650" s="69">
        <v>9527411701</v>
      </c>
      <c r="E650" s="69" t="s">
        <v>2413</v>
      </c>
      <c r="F650" s="69" t="s">
        <v>206</v>
      </c>
      <c r="G650" s="26">
        <v>3</v>
      </c>
      <c r="H650" s="26"/>
      <c r="I650" s="26"/>
      <c r="J650" s="26">
        <v>91</v>
      </c>
      <c r="K650" s="26"/>
      <c r="L650" s="26">
        <v>11</v>
      </c>
      <c r="M650" s="26">
        <v>0</v>
      </c>
      <c r="N650" s="26">
        <v>2</v>
      </c>
      <c r="O650" s="26">
        <v>0</v>
      </c>
      <c r="P650" s="26">
        <v>2</v>
      </c>
      <c r="Q650" s="70">
        <v>2</v>
      </c>
      <c r="R650" s="26">
        <v>111</v>
      </c>
    </row>
    <row r="651" spans="1:18" x14ac:dyDescent="0.35">
      <c r="A651" s="69">
        <v>67210119</v>
      </c>
      <c r="B651" s="69" t="s">
        <v>2414</v>
      </c>
      <c r="C651" s="69" t="s">
        <v>2415</v>
      </c>
      <c r="D651" s="69">
        <v>9960445465</v>
      </c>
      <c r="E651" s="69" t="s">
        <v>2416</v>
      </c>
      <c r="F651" s="69" t="s">
        <v>206</v>
      </c>
      <c r="G651" s="26">
        <v>3</v>
      </c>
      <c r="H651" s="26">
        <v>3</v>
      </c>
      <c r="I651" s="26">
        <v>4</v>
      </c>
      <c r="J651" s="26">
        <v>31</v>
      </c>
      <c r="K651" s="26">
        <v>9</v>
      </c>
      <c r="L651" s="26">
        <v>10</v>
      </c>
      <c r="M651" s="26">
        <v>2</v>
      </c>
      <c r="N651" s="26">
        <v>4</v>
      </c>
      <c r="O651" s="26">
        <v>3</v>
      </c>
      <c r="P651" s="26">
        <v>8</v>
      </c>
      <c r="Q651" s="70">
        <v>5</v>
      </c>
      <c r="R651" s="26">
        <v>82</v>
      </c>
    </row>
    <row r="652" spans="1:18" x14ac:dyDescent="0.35">
      <c r="A652" s="69">
        <v>67210120</v>
      </c>
      <c r="B652" s="69" t="s">
        <v>2417</v>
      </c>
      <c r="C652" s="69" t="s">
        <v>2418</v>
      </c>
      <c r="D652" s="69">
        <v>9922412044</v>
      </c>
      <c r="E652" s="69" t="s">
        <v>2419</v>
      </c>
      <c r="F652" s="69" t="s">
        <v>206</v>
      </c>
      <c r="G652" s="26">
        <v>13</v>
      </c>
      <c r="H652" s="26">
        <v>5</v>
      </c>
      <c r="I652" s="26">
        <v>26</v>
      </c>
      <c r="J652" s="26">
        <v>163</v>
      </c>
      <c r="K652" s="26">
        <v>55</v>
      </c>
      <c r="L652" s="26">
        <v>17</v>
      </c>
      <c r="M652" s="26">
        <v>121</v>
      </c>
      <c r="N652" s="26">
        <v>73</v>
      </c>
      <c r="O652" s="26">
        <v>15</v>
      </c>
      <c r="P652" s="26">
        <v>81</v>
      </c>
      <c r="Q652" s="70">
        <v>0</v>
      </c>
      <c r="R652" s="26">
        <v>569</v>
      </c>
    </row>
    <row r="653" spans="1:18" x14ac:dyDescent="0.35">
      <c r="A653" s="69">
        <v>67210123</v>
      </c>
      <c r="B653" s="69" t="s">
        <v>2420</v>
      </c>
      <c r="C653" s="69" t="s">
        <v>2421</v>
      </c>
      <c r="D653" s="69">
        <v>9545996677</v>
      </c>
      <c r="E653" s="69" t="s">
        <v>2422</v>
      </c>
      <c r="F653" s="69" t="s">
        <v>206</v>
      </c>
      <c r="G653" s="26"/>
      <c r="H653" s="26">
        <v>11</v>
      </c>
      <c r="I653" s="26">
        <v>70</v>
      </c>
      <c r="J653" s="26">
        <v>48</v>
      </c>
      <c r="K653" s="26"/>
      <c r="L653" s="26">
        <v>39</v>
      </c>
      <c r="M653" s="26">
        <v>11</v>
      </c>
      <c r="N653" s="26">
        <v>6</v>
      </c>
      <c r="O653" s="26">
        <v>8</v>
      </c>
      <c r="P653" s="26">
        <v>9</v>
      </c>
      <c r="Q653" s="70">
        <v>23</v>
      </c>
      <c r="R653" s="26">
        <v>225</v>
      </c>
    </row>
    <row r="654" spans="1:18" x14ac:dyDescent="0.35">
      <c r="A654" s="69">
        <v>67210125</v>
      </c>
      <c r="B654" s="69" t="s">
        <v>2423</v>
      </c>
      <c r="C654" s="69" t="s">
        <v>2424</v>
      </c>
      <c r="D654" s="69">
        <v>9923244063</v>
      </c>
      <c r="E654" s="69" t="s">
        <v>2394</v>
      </c>
      <c r="F654" s="69" t="s">
        <v>206</v>
      </c>
      <c r="G654" s="26">
        <v>13</v>
      </c>
      <c r="H654" s="26">
        <v>9</v>
      </c>
      <c r="I654" s="26">
        <v>7</v>
      </c>
      <c r="J654" s="26">
        <v>26</v>
      </c>
      <c r="K654" s="26">
        <v>9</v>
      </c>
      <c r="L654" s="26">
        <v>1</v>
      </c>
      <c r="M654" s="26">
        <v>2</v>
      </c>
      <c r="N654" s="26"/>
      <c r="O654" s="26">
        <v>3</v>
      </c>
      <c r="P654" s="26">
        <v>3</v>
      </c>
      <c r="Q654" s="70">
        <v>1</v>
      </c>
      <c r="R654" s="26">
        <v>74</v>
      </c>
    </row>
    <row r="655" spans="1:18" x14ac:dyDescent="0.35">
      <c r="A655" s="69">
        <v>67210127</v>
      </c>
      <c r="B655" s="69" t="s">
        <v>2425</v>
      </c>
      <c r="C655" s="69" t="s">
        <v>2426</v>
      </c>
      <c r="D655" s="69">
        <v>9552142922</v>
      </c>
      <c r="E655" s="69" t="s">
        <v>2427</v>
      </c>
      <c r="F655" s="69" t="s">
        <v>206</v>
      </c>
      <c r="G655" s="26">
        <v>10</v>
      </c>
      <c r="H655" s="26">
        <v>3</v>
      </c>
      <c r="I655" s="26">
        <v>17</v>
      </c>
      <c r="J655" s="26">
        <v>27</v>
      </c>
      <c r="K655" s="26">
        <v>16</v>
      </c>
      <c r="L655" s="26"/>
      <c r="M655" s="26">
        <v>13</v>
      </c>
      <c r="N655" s="26">
        <v>11</v>
      </c>
      <c r="O655" s="26">
        <v>5</v>
      </c>
      <c r="P655" s="26">
        <v>5</v>
      </c>
      <c r="Q655" s="70">
        <v>4</v>
      </c>
      <c r="R655" s="26">
        <v>111</v>
      </c>
    </row>
    <row r="656" spans="1:18" x14ac:dyDescent="0.35">
      <c r="A656" s="69">
        <v>67210128</v>
      </c>
      <c r="B656" s="69" t="s">
        <v>2428</v>
      </c>
      <c r="C656" s="69" t="s">
        <v>2429</v>
      </c>
      <c r="D656" s="69">
        <v>9850612151</v>
      </c>
      <c r="E656" s="69" t="s">
        <v>2430</v>
      </c>
      <c r="F656" s="69" t="s">
        <v>206</v>
      </c>
      <c r="G656" s="26"/>
      <c r="H656" s="26"/>
      <c r="I656" s="26"/>
      <c r="J656" s="26">
        <v>96</v>
      </c>
      <c r="K656" s="26"/>
      <c r="L656" s="26">
        <v>44</v>
      </c>
      <c r="M656" s="26">
        <v>8</v>
      </c>
      <c r="N656" s="26">
        <v>6</v>
      </c>
      <c r="O656" s="26">
        <v>0</v>
      </c>
      <c r="P656" s="26">
        <v>5</v>
      </c>
      <c r="Q656" s="70">
        <v>1</v>
      </c>
      <c r="R656" s="26">
        <v>160</v>
      </c>
    </row>
    <row r="657" spans="1:18" x14ac:dyDescent="0.35">
      <c r="A657" s="69">
        <v>67210131</v>
      </c>
      <c r="B657" s="69" t="s">
        <v>2431</v>
      </c>
      <c r="C657" s="69" t="s">
        <v>2432</v>
      </c>
      <c r="D657" s="69">
        <v>9922673176</v>
      </c>
      <c r="E657" s="69" t="s">
        <v>2433</v>
      </c>
      <c r="F657" s="69" t="s">
        <v>206</v>
      </c>
      <c r="G657" s="26">
        <v>16</v>
      </c>
      <c r="H657" s="26">
        <v>14</v>
      </c>
      <c r="I657" s="26"/>
      <c r="J657" s="26">
        <v>114</v>
      </c>
      <c r="K657" s="26">
        <v>13</v>
      </c>
      <c r="L657" s="26"/>
      <c r="M657" s="26">
        <v>8</v>
      </c>
      <c r="N657" s="26">
        <v>3</v>
      </c>
      <c r="O657" s="26">
        <v>11</v>
      </c>
      <c r="P657" s="26">
        <v>7</v>
      </c>
      <c r="Q657" s="70">
        <v>0</v>
      </c>
      <c r="R657" s="26">
        <v>186</v>
      </c>
    </row>
    <row r="658" spans="1:18" x14ac:dyDescent="0.35">
      <c r="A658" s="69">
        <v>67210144</v>
      </c>
      <c r="B658" s="69" t="s">
        <v>2434</v>
      </c>
      <c r="C658" s="69" t="s">
        <v>2435</v>
      </c>
      <c r="D658" s="69">
        <v>9923588604</v>
      </c>
      <c r="E658" s="69" t="s">
        <v>2436</v>
      </c>
      <c r="F658" s="69" t="s">
        <v>206</v>
      </c>
      <c r="G658" s="26">
        <v>4</v>
      </c>
      <c r="H658" s="26">
        <v>2</v>
      </c>
      <c r="I658" s="26">
        <v>5</v>
      </c>
      <c r="J658" s="26">
        <v>12</v>
      </c>
      <c r="K658" s="26">
        <v>7</v>
      </c>
      <c r="L658" s="26">
        <v>4</v>
      </c>
      <c r="M658" s="26">
        <v>9</v>
      </c>
      <c r="N658" s="26">
        <v>2</v>
      </c>
      <c r="O658" s="26">
        <v>5</v>
      </c>
      <c r="P658" s="26">
        <v>2</v>
      </c>
      <c r="Q658" s="70">
        <v>2</v>
      </c>
      <c r="R658" s="26">
        <v>54</v>
      </c>
    </row>
    <row r="659" spans="1:18" x14ac:dyDescent="0.35">
      <c r="A659" s="69">
        <v>67210148</v>
      </c>
      <c r="B659" s="69" t="s">
        <v>2437</v>
      </c>
      <c r="C659" s="69" t="s">
        <v>2438</v>
      </c>
      <c r="D659" s="69">
        <v>9766590631</v>
      </c>
      <c r="E659" s="69" t="s">
        <v>2439</v>
      </c>
      <c r="F659" s="69" t="s">
        <v>206</v>
      </c>
      <c r="G659" s="26">
        <v>7</v>
      </c>
      <c r="H659" s="26"/>
      <c r="I659" s="26"/>
      <c r="J659" s="26">
        <v>43</v>
      </c>
      <c r="K659" s="26">
        <v>15</v>
      </c>
      <c r="L659" s="26"/>
      <c r="M659" s="26">
        <v>20</v>
      </c>
      <c r="N659" s="26">
        <v>5</v>
      </c>
      <c r="O659" s="26">
        <v>3</v>
      </c>
      <c r="P659" s="26">
        <v>10</v>
      </c>
      <c r="Q659" s="70">
        <v>3</v>
      </c>
      <c r="R659" s="26">
        <v>106</v>
      </c>
    </row>
    <row r="660" spans="1:18" x14ac:dyDescent="0.35">
      <c r="A660" s="69">
        <v>68210005</v>
      </c>
      <c r="B660" s="69" t="s">
        <v>935</v>
      </c>
      <c r="C660" s="69" t="s">
        <v>2440</v>
      </c>
      <c r="D660" s="69">
        <v>9773951238</v>
      </c>
      <c r="E660" s="69" t="s">
        <v>2441</v>
      </c>
      <c r="F660" s="69" t="s">
        <v>1629</v>
      </c>
      <c r="G660" s="26">
        <v>29</v>
      </c>
      <c r="H660" s="26"/>
      <c r="I660" s="26">
        <v>52</v>
      </c>
      <c r="J660" s="26">
        <v>30</v>
      </c>
      <c r="K660" s="26">
        <v>22</v>
      </c>
      <c r="L660" s="26">
        <v>13</v>
      </c>
      <c r="M660" s="26">
        <v>8</v>
      </c>
      <c r="N660" s="26">
        <v>11</v>
      </c>
      <c r="O660" s="26">
        <v>15</v>
      </c>
      <c r="P660" s="26">
        <v>6</v>
      </c>
      <c r="Q660" s="70">
        <v>5</v>
      </c>
      <c r="R660" s="26">
        <v>191</v>
      </c>
    </row>
    <row r="661" spans="1:18" x14ac:dyDescent="0.35">
      <c r="A661" s="69">
        <v>68210006</v>
      </c>
      <c r="B661" s="69" t="s">
        <v>2442</v>
      </c>
      <c r="C661" s="69" t="s">
        <v>2443</v>
      </c>
      <c r="D661" s="69">
        <v>9869855785</v>
      </c>
      <c r="E661" s="69" t="s">
        <v>2444</v>
      </c>
      <c r="F661" s="69" t="s">
        <v>1629</v>
      </c>
      <c r="G661" s="26">
        <v>44</v>
      </c>
      <c r="H661" s="26">
        <v>5</v>
      </c>
      <c r="I661" s="26">
        <v>50</v>
      </c>
      <c r="J661" s="26">
        <v>199</v>
      </c>
      <c r="K661" s="26">
        <v>47</v>
      </c>
      <c r="L661" s="26">
        <v>121</v>
      </c>
      <c r="M661" s="26">
        <v>46</v>
      </c>
      <c r="N661" s="26">
        <v>30</v>
      </c>
      <c r="O661" s="26">
        <v>15</v>
      </c>
      <c r="P661" s="26">
        <v>17</v>
      </c>
      <c r="Q661" s="70">
        <v>6</v>
      </c>
      <c r="R661" s="26">
        <v>580</v>
      </c>
    </row>
    <row r="662" spans="1:18" x14ac:dyDescent="0.35">
      <c r="A662" s="69">
        <v>68210007</v>
      </c>
      <c r="B662" s="69" t="s">
        <v>935</v>
      </c>
      <c r="C662" s="69" t="s">
        <v>2445</v>
      </c>
      <c r="D662" s="69">
        <v>9324099979</v>
      </c>
      <c r="E662" s="69" t="s">
        <v>2446</v>
      </c>
      <c r="F662" s="69" t="s">
        <v>1629</v>
      </c>
      <c r="G662" s="26">
        <v>16</v>
      </c>
      <c r="H662" s="26"/>
      <c r="I662" s="26">
        <v>25</v>
      </c>
      <c r="J662" s="26"/>
      <c r="K662" s="26"/>
      <c r="L662" s="26">
        <v>30</v>
      </c>
      <c r="M662" s="26"/>
      <c r="N662" s="26">
        <v>23</v>
      </c>
      <c r="O662" s="26"/>
      <c r="P662" s="26">
        <v>16</v>
      </c>
      <c r="Q662" s="70">
        <v>6</v>
      </c>
      <c r="R662" s="26">
        <v>116</v>
      </c>
    </row>
    <row r="663" spans="1:18" x14ac:dyDescent="0.35">
      <c r="A663" s="69">
        <v>68210047</v>
      </c>
      <c r="B663" s="69" t="s">
        <v>935</v>
      </c>
      <c r="C663" s="69" t="s">
        <v>2447</v>
      </c>
      <c r="D663" s="69">
        <v>9322219070</v>
      </c>
      <c r="E663" s="69" t="s">
        <v>2448</v>
      </c>
      <c r="F663" s="69" t="s">
        <v>1629</v>
      </c>
      <c r="G663" s="26">
        <v>45</v>
      </c>
      <c r="H663" s="26"/>
      <c r="I663" s="26">
        <v>50</v>
      </c>
      <c r="J663" s="26">
        <v>115</v>
      </c>
      <c r="K663" s="26">
        <v>37</v>
      </c>
      <c r="L663" s="26">
        <v>41</v>
      </c>
      <c r="M663" s="26">
        <v>39</v>
      </c>
      <c r="N663" s="26">
        <v>25</v>
      </c>
      <c r="O663" s="26">
        <v>21</v>
      </c>
      <c r="P663" s="26">
        <v>30</v>
      </c>
      <c r="Q663" s="70">
        <v>27</v>
      </c>
      <c r="R663" s="26">
        <v>430</v>
      </c>
    </row>
    <row r="664" spans="1:18" x14ac:dyDescent="0.35">
      <c r="A664" s="69">
        <v>68210065</v>
      </c>
      <c r="B664" s="69" t="s">
        <v>2449</v>
      </c>
      <c r="C664" s="69" t="s">
        <v>2450</v>
      </c>
      <c r="D664" s="69">
        <v>9324882626</v>
      </c>
      <c r="E664" s="69" t="s">
        <v>2451</v>
      </c>
      <c r="F664" s="69" t="s">
        <v>1629</v>
      </c>
      <c r="G664" s="26">
        <v>14</v>
      </c>
      <c r="H664" s="26"/>
      <c r="I664" s="26">
        <v>25</v>
      </c>
      <c r="J664" s="26">
        <v>45</v>
      </c>
      <c r="K664" s="26">
        <v>8</v>
      </c>
      <c r="L664" s="26">
        <v>10</v>
      </c>
      <c r="M664" s="26">
        <v>9</v>
      </c>
      <c r="N664" s="26">
        <v>8</v>
      </c>
      <c r="O664" s="26">
        <v>14</v>
      </c>
      <c r="P664" s="26">
        <v>13</v>
      </c>
      <c r="Q664" s="70">
        <v>6</v>
      </c>
      <c r="R664" s="26">
        <v>152</v>
      </c>
    </row>
    <row r="665" spans="1:18" x14ac:dyDescent="0.35">
      <c r="A665" s="69">
        <v>68210101</v>
      </c>
      <c r="B665" s="69" t="s">
        <v>2452</v>
      </c>
      <c r="C665" s="69" t="s">
        <v>2453</v>
      </c>
      <c r="D665" s="69">
        <v>9702999835</v>
      </c>
      <c r="E665" s="69" t="s">
        <v>2454</v>
      </c>
      <c r="F665" s="69" t="s">
        <v>203</v>
      </c>
      <c r="G665" s="26">
        <v>4</v>
      </c>
      <c r="H665" s="26">
        <v>2</v>
      </c>
      <c r="I665" s="26"/>
      <c r="J665" s="26">
        <v>5</v>
      </c>
      <c r="K665" s="26">
        <v>3</v>
      </c>
      <c r="L665" s="26">
        <v>2</v>
      </c>
      <c r="M665" s="26">
        <v>3</v>
      </c>
      <c r="N665" s="26"/>
      <c r="O665" s="26"/>
      <c r="P665" s="26">
        <v>0</v>
      </c>
      <c r="Q665" s="70">
        <v>2</v>
      </c>
      <c r="R665" s="26">
        <v>21</v>
      </c>
    </row>
    <row r="666" spans="1:18" x14ac:dyDescent="0.35">
      <c r="A666" s="69">
        <v>78210034</v>
      </c>
      <c r="B666" s="69" t="s">
        <v>2455</v>
      </c>
      <c r="C666" s="69" t="s">
        <v>2456</v>
      </c>
      <c r="D666" s="69">
        <v>9226736347</v>
      </c>
      <c r="E666" s="69" t="s">
        <v>2457</v>
      </c>
      <c r="F666" s="69" t="s">
        <v>2458</v>
      </c>
      <c r="G666" s="26"/>
      <c r="H666" s="26">
        <v>40</v>
      </c>
      <c r="I666" s="26">
        <v>83</v>
      </c>
      <c r="J666" s="26">
        <v>44</v>
      </c>
      <c r="K666" s="26">
        <v>10</v>
      </c>
      <c r="L666" s="26"/>
      <c r="M666" s="26">
        <v>12</v>
      </c>
      <c r="N666" s="26">
        <v>13</v>
      </c>
      <c r="O666" s="26">
        <v>5</v>
      </c>
      <c r="P666" s="26">
        <v>10</v>
      </c>
      <c r="Q666" s="70">
        <v>0</v>
      </c>
      <c r="R666" s="26">
        <v>217</v>
      </c>
    </row>
    <row r="667" spans="1:18" x14ac:dyDescent="0.35">
      <c r="A667" s="69">
        <v>78210046</v>
      </c>
      <c r="B667" s="69" t="s">
        <v>2459</v>
      </c>
      <c r="C667" s="69" t="s">
        <v>2460</v>
      </c>
      <c r="D667" s="69">
        <v>9222063530</v>
      </c>
      <c r="E667" s="69" t="s">
        <v>2461</v>
      </c>
      <c r="F667" s="69" t="s">
        <v>2458</v>
      </c>
      <c r="G667" s="26"/>
      <c r="H667" s="26">
        <v>26</v>
      </c>
      <c r="I667" s="26">
        <v>10</v>
      </c>
      <c r="J667" s="26">
        <v>49</v>
      </c>
      <c r="K667" s="26">
        <v>9</v>
      </c>
      <c r="L667" s="26">
        <v>18</v>
      </c>
      <c r="M667" s="26">
        <v>9</v>
      </c>
      <c r="N667" s="26">
        <v>3</v>
      </c>
      <c r="O667" s="26">
        <v>1</v>
      </c>
      <c r="P667" s="26">
        <v>9</v>
      </c>
      <c r="Q667" s="70">
        <v>2</v>
      </c>
      <c r="R667" s="26">
        <v>136</v>
      </c>
    </row>
    <row r="668" spans="1:18" x14ac:dyDescent="0.35">
      <c r="A668" s="69">
        <v>78210059</v>
      </c>
      <c r="B668" s="69" t="s">
        <v>2462</v>
      </c>
      <c r="C668" s="69" t="s">
        <v>2463</v>
      </c>
      <c r="D668" s="69">
        <v>9820452122</v>
      </c>
      <c r="E668" s="69" t="s">
        <v>2464</v>
      </c>
      <c r="F668" s="69" t="s">
        <v>2458</v>
      </c>
      <c r="G668" s="26">
        <v>7</v>
      </c>
      <c r="H668" s="26">
        <v>3</v>
      </c>
      <c r="I668" s="26">
        <v>12</v>
      </c>
      <c r="J668" s="26">
        <v>23</v>
      </c>
      <c r="K668" s="26">
        <v>6</v>
      </c>
      <c r="L668" s="26">
        <v>10</v>
      </c>
      <c r="M668" s="26">
        <v>6</v>
      </c>
      <c r="N668" s="26">
        <v>5</v>
      </c>
      <c r="O668" s="26"/>
      <c r="P668" s="26">
        <v>1</v>
      </c>
      <c r="Q668" s="70">
        <v>0</v>
      </c>
      <c r="R668" s="26">
        <v>73</v>
      </c>
    </row>
    <row r="669" spans="1:18" x14ac:dyDescent="0.35">
      <c r="A669" s="69">
        <v>78210066</v>
      </c>
      <c r="B669" s="69" t="s">
        <v>2465</v>
      </c>
      <c r="C669" s="69" t="s">
        <v>2466</v>
      </c>
      <c r="D669" s="69">
        <v>7709315242</v>
      </c>
      <c r="E669" s="69" t="s">
        <v>2467</v>
      </c>
      <c r="F669" s="69" t="s">
        <v>2458</v>
      </c>
      <c r="G669" s="26">
        <v>23</v>
      </c>
      <c r="H669" s="26"/>
      <c r="I669" s="26">
        <v>57</v>
      </c>
      <c r="J669" s="26">
        <v>50</v>
      </c>
      <c r="K669" s="26"/>
      <c r="L669" s="26"/>
      <c r="M669" s="26"/>
      <c r="N669" s="26">
        <v>10</v>
      </c>
      <c r="O669" s="26"/>
      <c r="P669" s="26">
        <v>11</v>
      </c>
      <c r="Q669" s="70">
        <v>0</v>
      </c>
      <c r="R669" s="26">
        <v>151</v>
      </c>
    </row>
    <row r="670" spans="1:18" x14ac:dyDescent="0.35">
      <c r="A670" s="69">
        <v>78210067</v>
      </c>
      <c r="B670" s="69" t="s">
        <v>2468</v>
      </c>
      <c r="C670" s="69" t="s">
        <v>2469</v>
      </c>
      <c r="D670" s="69">
        <v>9323917310</v>
      </c>
      <c r="E670" s="69" t="s">
        <v>2470</v>
      </c>
      <c r="F670" s="69" t="s">
        <v>2458</v>
      </c>
      <c r="G670" s="26">
        <v>50</v>
      </c>
      <c r="H670" s="26"/>
      <c r="I670" s="26">
        <v>51</v>
      </c>
      <c r="J670" s="26"/>
      <c r="K670" s="26">
        <v>26</v>
      </c>
      <c r="L670" s="26">
        <v>25</v>
      </c>
      <c r="M670" s="26">
        <v>9</v>
      </c>
      <c r="N670" s="26">
        <v>3</v>
      </c>
      <c r="O670" s="26"/>
      <c r="P670" s="26">
        <v>29</v>
      </c>
      <c r="Q670" s="70">
        <v>0</v>
      </c>
      <c r="R670" s="26">
        <v>193</v>
      </c>
    </row>
    <row r="671" spans="1:18" x14ac:dyDescent="0.35">
      <c r="A671" s="69">
        <v>78210088</v>
      </c>
      <c r="B671" s="69" t="s">
        <v>2471</v>
      </c>
      <c r="C671" s="69" t="s">
        <v>2472</v>
      </c>
      <c r="D671" s="69">
        <v>9324358568</v>
      </c>
      <c r="E671" s="69" t="s">
        <v>2473</v>
      </c>
      <c r="F671" s="69" t="s">
        <v>2458</v>
      </c>
      <c r="G671" s="26">
        <v>90</v>
      </c>
      <c r="H671" s="26">
        <v>20</v>
      </c>
      <c r="I671" s="26">
        <v>266</v>
      </c>
      <c r="J671" s="26">
        <v>266</v>
      </c>
      <c r="K671" s="26">
        <v>119</v>
      </c>
      <c r="L671" s="26">
        <v>58</v>
      </c>
      <c r="M671" s="26">
        <v>63</v>
      </c>
      <c r="N671" s="26">
        <v>51</v>
      </c>
      <c r="O671" s="26">
        <v>23</v>
      </c>
      <c r="P671" s="26">
        <v>52</v>
      </c>
      <c r="Q671" s="70">
        <v>27</v>
      </c>
      <c r="R671" s="26">
        <v>1035</v>
      </c>
    </row>
    <row r="672" spans="1:18" x14ac:dyDescent="0.35">
      <c r="A672" s="69">
        <v>78210089</v>
      </c>
      <c r="B672" s="69" t="s">
        <v>2474</v>
      </c>
      <c r="C672" s="69" t="s">
        <v>2475</v>
      </c>
      <c r="D672" s="69">
        <v>9867555757</v>
      </c>
      <c r="E672" s="69" t="s">
        <v>2476</v>
      </c>
      <c r="F672" s="69" t="s">
        <v>2458</v>
      </c>
      <c r="G672" s="26"/>
      <c r="H672" s="26"/>
      <c r="I672" s="26">
        <v>6</v>
      </c>
      <c r="J672" s="26"/>
      <c r="K672" s="26">
        <v>18</v>
      </c>
      <c r="L672" s="26">
        <v>6</v>
      </c>
      <c r="M672" s="26">
        <v>17</v>
      </c>
      <c r="N672" s="26">
        <v>5</v>
      </c>
      <c r="O672" s="26">
        <v>7</v>
      </c>
      <c r="P672" s="26">
        <v>20</v>
      </c>
      <c r="Q672" s="70">
        <v>0</v>
      </c>
      <c r="R672" s="26">
        <v>79</v>
      </c>
    </row>
    <row r="673" spans="1:18" x14ac:dyDescent="0.35">
      <c r="A673" s="69">
        <v>78210095</v>
      </c>
      <c r="B673" s="69" t="s">
        <v>2477</v>
      </c>
      <c r="C673" s="69" t="s">
        <v>2478</v>
      </c>
      <c r="D673" s="69">
        <v>9890596938</v>
      </c>
      <c r="E673" s="69" t="s">
        <v>2479</v>
      </c>
      <c r="F673" s="69" t="s">
        <v>2458</v>
      </c>
      <c r="G673" s="26">
        <v>25</v>
      </c>
      <c r="H673" s="26">
        <v>15</v>
      </c>
      <c r="I673" s="26">
        <v>59</v>
      </c>
      <c r="J673" s="26">
        <v>51</v>
      </c>
      <c r="K673" s="26">
        <v>73</v>
      </c>
      <c r="L673" s="26">
        <v>39</v>
      </c>
      <c r="M673" s="26">
        <v>5</v>
      </c>
      <c r="N673" s="26">
        <v>49</v>
      </c>
      <c r="O673" s="26">
        <v>16</v>
      </c>
      <c r="P673" s="26">
        <v>17</v>
      </c>
      <c r="Q673" s="70">
        <v>0</v>
      </c>
      <c r="R673" s="26">
        <v>349</v>
      </c>
    </row>
    <row r="674" spans="1:18" x14ac:dyDescent="0.35">
      <c r="A674" s="69">
        <v>78210096</v>
      </c>
      <c r="B674" s="69" t="s">
        <v>2480</v>
      </c>
      <c r="C674" s="69" t="s">
        <v>2481</v>
      </c>
      <c r="D674" s="69">
        <v>9320214207</v>
      </c>
      <c r="E674" s="69" t="s">
        <v>2482</v>
      </c>
      <c r="F674" s="69" t="s">
        <v>2458</v>
      </c>
      <c r="G674" s="26">
        <v>42</v>
      </c>
      <c r="H674" s="26"/>
      <c r="I674" s="26">
        <v>47</v>
      </c>
      <c r="J674" s="26">
        <v>48</v>
      </c>
      <c r="K674" s="26"/>
      <c r="L674" s="26">
        <v>57</v>
      </c>
      <c r="M674" s="26">
        <v>35</v>
      </c>
      <c r="N674" s="26"/>
      <c r="O674" s="26">
        <v>25</v>
      </c>
      <c r="P674" s="26">
        <v>35</v>
      </c>
      <c r="Q674" s="70">
        <v>5</v>
      </c>
      <c r="R674" s="26">
        <v>294</v>
      </c>
    </row>
    <row r="675" spans="1:18" x14ac:dyDescent="0.35">
      <c r="A675" s="69">
        <v>78210097</v>
      </c>
      <c r="B675" s="69" t="s">
        <v>2483</v>
      </c>
      <c r="C675" s="69" t="s">
        <v>2484</v>
      </c>
      <c r="D675" s="69">
        <v>9321201906</v>
      </c>
      <c r="E675" s="69" t="s">
        <v>2485</v>
      </c>
      <c r="F675" s="69" t="s">
        <v>2458</v>
      </c>
      <c r="G675" s="26"/>
      <c r="H675" s="26">
        <v>53</v>
      </c>
      <c r="I675" s="26">
        <v>50</v>
      </c>
      <c r="J675" s="26">
        <v>125</v>
      </c>
      <c r="K675" s="26">
        <v>64</v>
      </c>
      <c r="L675" s="26">
        <v>37</v>
      </c>
      <c r="M675" s="26">
        <v>2</v>
      </c>
      <c r="N675" s="26">
        <v>36</v>
      </c>
      <c r="O675" s="26">
        <v>19</v>
      </c>
      <c r="P675" s="26">
        <v>0</v>
      </c>
      <c r="Q675" s="70">
        <v>60</v>
      </c>
      <c r="R675" s="26">
        <v>446</v>
      </c>
    </row>
    <row r="676" spans="1:18" x14ac:dyDescent="0.35">
      <c r="A676" s="69">
        <v>78210098</v>
      </c>
      <c r="B676" s="69" t="s">
        <v>2486</v>
      </c>
      <c r="C676" s="69" t="s">
        <v>2487</v>
      </c>
      <c r="D676" s="69">
        <v>8898426627</v>
      </c>
      <c r="E676" s="69" t="s">
        <v>2488</v>
      </c>
      <c r="F676" s="69" t="s">
        <v>2458</v>
      </c>
      <c r="G676" s="26">
        <v>96</v>
      </c>
      <c r="H676" s="26"/>
      <c r="I676" s="26">
        <v>50</v>
      </c>
      <c r="J676" s="26"/>
      <c r="K676" s="26">
        <v>20</v>
      </c>
      <c r="L676" s="26"/>
      <c r="M676" s="26">
        <v>93</v>
      </c>
      <c r="N676" s="26">
        <v>42</v>
      </c>
      <c r="O676" s="26"/>
      <c r="P676" s="26">
        <v>66</v>
      </c>
      <c r="Q676" s="70">
        <v>0</v>
      </c>
      <c r="R676" s="26">
        <v>367</v>
      </c>
    </row>
    <row r="677" spans="1:18" x14ac:dyDescent="0.35">
      <c r="A677" s="69">
        <v>78210099</v>
      </c>
      <c r="B677" s="69" t="s">
        <v>2489</v>
      </c>
      <c r="C677" s="69" t="s">
        <v>2490</v>
      </c>
      <c r="D677" s="69">
        <v>9890596938</v>
      </c>
      <c r="E677" s="69" t="s">
        <v>2491</v>
      </c>
      <c r="F677" s="69" t="s">
        <v>2458</v>
      </c>
      <c r="G677" s="26">
        <v>70</v>
      </c>
      <c r="H677" s="26">
        <v>31</v>
      </c>
      <c r="I677" s="26">
        <v>51</v>
      </c>
      <c r="J677" s="26">
        <v>368</v>
      </c>
      <c r="K677" s="26">
        <v>85</v>
      </c>
      <c r="L677" s="26">
        <v>52</v>
      </c>
      <c r="M677" s="26">
        <v>2</v>
      </c>
      <c r="N677" s="26">
        <v>137</v>
      </c>
      <c r="O677" s="26">
        <v>16</v>
      </c>
      <c r="P677" s="26">
        <v>47</v>
      </c>
      <c r="Q677" s="70">
        <v>31</v>
      </c>
      <c r="R677" s="26">
        <v>890</v>
      </c>
    </row>
    <row r="678" spans="1:18" x14ac:dyDescent="0.35">
      <c r="A678" s="69">
        <v>78210100</v>
      </c>
      <c r="B678" s="69" t="s">
        <v>2492</v>
      </c>
      <c r="C678" s="69" t="s">
        <v>2493</v>
      </c>
      <c r="D678" s="69">
        <v>9146164123</v>
      </c>
      <c r="E678" s="69" t="s">
        <v>2494</v>
      </c>
      <c r="F678" s="69" t="s">
        <v>2458</v>
      </c>
      <c r="G678" s="26">
        <v>4</v>
      </c>
      <c r="H678" s="26">
        <v>9</v>
      </c>
      <c r="I678" s="26"/>
      <c r="J678" s="26">
        <v>12</v>
      </c>
      <c r="K678" s="26"/>
      <c r="L678" s="26"/>
      <c r="M678" s="26">
        <v>19</v>
      </c>
      <c r="N678" s="26">
        <v>2</v>
      </c>
      <c r="O678" s="26"/>
      <c r="P678" s="26">
        <v>6</v>
      </c>
      <c r="Q678" s="70">
        <v>0</v>
      </c>
      <c r="R678" s="26">
        <v>52</v>
      </c>
    </row>
    <row r="679" spans="1:18" x14ac:dyDescent="0.35">
      <c r="A679" s="69">
        <v>78210106</v>
      </c>
      <c r="B679" s="69" t="s">
        <v>2495</v>
      </c>
      <c r="C679" s="69" t="s">
        <v>2496</v>
      </c>
      <c r="D679" s="69">
        <v>9272797123</v>
      </c>
      <c r="E679" s="69" t="s">
        <v>2497</v>
      </c>
      <c r="F679" s="69" t="s">
        <v>2458</v>
      </c>
      <c r="G679" s="26">
        <v>2</v>
      </c>
      <c r="H679" s="26"/>
      <c r="I679" s="26">
        <v>10</v>
      </c>
      <c r="J679" s="26">
        <v>63</v>
      </c>
      <c r="K679" s="26">
        <v>22</v>
      </c>
      <c r="L679" s="26">
        <v>6</v>
      </c>
      <c r="M679" s="26">
        <v>8</v>
      </c>
      <c r="N679" s="26"/>
      <c r="O679" s="26">
        <v>25</v>
      </c>
      <c r="P679" s="26">
        <v>26</v>
      </c>
      <c r="Q679" s="70">
        <v>2</v>
      </c>
      <c r="R679" s="26">
        <v>164</v>
      </c>
    </row>
    <row r="680" spans="1:18" x14ac:dyDescent="0.35">
      <c r="A680" s="69">
        <v>78210122</v>
      </c>
      <c r="B680" s="69" t="s">
        <v>2498</v>
      </c>
      <c r="C680" s="69" t="s">
        <v>2499</v>
      </c>
      <c r="D680" s="69">
        <v>9820943526</v>
      </c>
      <c r="E680" s="69" t="s">
        <v>2500</v>
      </c>
      <c r="F680" s="69" t="s">
        <v>2458</v>
      </c>
      <c r="G680" s="26">
        <v>7</v>
      </c>
      <c r="H680" s="26">
        <v>3</v>
      </c>
      <c r="I680" s="26">
        <v>12</v>
      </c>
      <c r="J680" s="26">
        <v>23</v>
      </c>
      <c r="K680" s="26">
        <v>6</v>
      </c>
      <c r="L680" s="26">
        <v>14</v>
      </c>
      <c r="M680" s="26">
        <v>9</v>
      </c>
      <c r="N680" s="26">
        <v>5</v>
      </c>
      <c r="O680" s="26">
        <v>3</v>
      </c>
      <c r="P680" s="26">
        <v>5</v>
      </c>
      <c r="Q680" s="70">
        <v>0</v>
      </c>
      <c r="R680" s="26">
        <v>87</v>
      </c>
    </row>
    <row r="681" spans="1:18" x14ac:dyDescent="0.35">
      <c r="A681" s="69">
        <v>78210147</v>
      </c>
      <c r="B681" s="69" t="s">
        <v>2501</v>
      </c>
      <c r="C681" s="69" t="s">
        <v>2502</v>
      </c>
      <c r="D681" s="69">
        <v>9324958032</v>
      </c>
      <c r="E681" s="69" t="s">
        <v>2503</v>
      </c>
      <c r="F681" s="69" t="s">
        <v>2458</v>
      </c>
      <c r="G681" s="26">
        <v>56</v>
      </c>
      <c r="H681" s="26"/>
      <c r="I681" s="26">
        <v>52</v>
      </c>
      <c r="J681" s="26">
        <v>305</v>
      </c>
      <c r="K681" s="26">
        <v>117</v>
      </c>
      <c r="L681" s="26">
        <v>35</v>
      </c>
      <c r="M681" s="26">
        <v>34</v>
      </c>
      <c r="N681" s="26">
        <v>12</v>
      </c>
      <c r="O681" s="26">
        <v>17</v>
      </c>
      <c r="P681" s="26">
        <v>11</v>
      </c>
      <c r="Q681" s="70">
        <v>3</v>
      </c>
      <c r="R681" s="26">
        <v>642</v>
      </c>
    </row>
    <row r="682" spans="1:18" x14ac:dyDescent="0.35">
      <c r="A682" s="69">
        <v>78210149</v>
      </c>
      <c r="B682" s="69" t="s">
        <v>2504</v>
      </c>
      <c r="C682" s="69" t="s">
        <v>2505</v>
      </c>
      <c r="D682" s="69">
        <v>8097066777</v>
      </c>
      <c r="E682" s="69" t="s">
        <v>2506</v>
      </c>
      <c r="F682" s="69" t="s">
        <v>2458</v>
      </c>
      <c r="G682" s="26">
        <v>11</v>
      </c>
      <c r="H682" s="26">
        <v>12</v>
      </c>
      <c r="I682" s="26">
        <v>16</v>
      </c>
      <c r="J682" s="26">
        <v>29</v>
      </c>
      <c r="K682" s="26">
        <v>24</v>
      </c>
      <c r="L682" s="26">
        <v>18</v>
      </c>
      <c r="M682" s="26">
        <v>16</v>
      </c>
      <c r="N682" s="26">
        <v>23</v>
      </c>
      <c r="O682" s="26">
        <v>5</v>
      </c>
      <c r="P682" s="26">
        <v>6</v>
      </c>
      <c r="Q682" s="70">
        <v>12</v>
      </c>
      <c r="R682" s="26">
        <v>172</v>
      </c>
    </row>
    <row r="683" spans="1:18" x14ac:dyDescent="0.35">
      <c r="A683" s="69">
        <v>78210159</v>
      </c>
      <c r="B683" s="69" t="s">
        <v>2507</v>
      </c>
      <c r="C683" s="69" t="s">
        <v>2508</v>
      </c>
      <c r="D683" s="69">
        <v>8097532689</v>
      </c>
      <c r="E683" s="69" t="s">
        <v>2509</v>
      </c>
      <c r="F683" s="69" t="s">
        <v>2458</v>
      </c>
      <c r="G683" s="26">
        <v>18</v>
      </c>
      <c r="H683" s="26">
        <v>4</v>
      </c>
      <c r="I683" s="26">
        <v>25</v>
      </c>
      <c r="J683" s="26">
        <v>68</v>
      </c>
      <c r="K683" s="26">
        <v>26</v>
      </c>
      <c r="L683" s="26">
        <v>31</v>
      </c>
      <c r="M683" s="26">
        <v>24</v>
      </c>
      <c r="N683" s="26">
        <v>6</v>
      </c>
      <c r="O683" s="26">
        <v>8</v>
      </c>
      <c r="P683" s="26">
        <v>16</v>
      </c>
      <c r="Q683" s="70">
        <v>6</v>
      </c>
      <c r="R683" s="26">
        <v>232</v>
      </c>
    </row>
    <row r="684" spans="1:18" x14ac:dyDescent="0.35">
      <c r="A684" s="69">
        <v>78210171</v>
      </c>
      <c r="B684" s="69" t="s">
        <v>2510</v>
      </c>
      <c r="C684" s="69" t="s">
        <v>2511</v>
      </c>
      <c r="D684" s="69">
        <v>9322212997</v>
      </c>
      <c r="E684" s="69" t="s">
        <v>2512</v>
      </c>
      <c r="F684" s="69" t="s">
        <v>2458</v>
      </c>
      <c r="G684" s="26">
        <v>5</v>
      </c>
      <c r="H684" s="26">
        <v>3</v>
      </c>
      <c r="I684" s="26">
        <v>7</v>
      </c>
      <c r="J684" s="26">
        <v>5</v>
      </c>
      <c r="K684" s="26">
        <v>10</v>
      </c>
      <c r="L684" s="26">
        <v>6</v>
      </c>
      <c r="M684" s="26">
        <v>6</v>
      </c>
      <c r="N684" s="26">
        <v>1</v>
      </c>
      <c r="O684" s="26">
        <v>1</v>
      </c>
      <c r="P684" s="26">
        <v>3</v>
      </c>
      <c r="Q684" s="70">
        <v>0</v>
      </c>
      <c r="R684" s="26">
        <v>47</v>
      </c>
    </row>
    <row r="685" spans="1:18" x14ac:dyDescent="0.35">
      <c r="A685" s="69">
        <v>78210188</v>
      </c>
      <c r="B685" s="69" t="s">
        <v>2513</v>
      </c>
      <c r="C685" s="69" t="s">
        <v>2514</v>
      </c>
      <c r="D685" s="69">
        <v>9967283284</v>
      </c>
      <c r="E685" s="69" t="s">
        <v>2515</v>
      </c>
      <c r="F685" s="69" t="s">
        <v>2458</v>
      </c>
      <c r="G685" s="26">
        <v>6</v>
      </c>
      <c r="H685" s="26">
        <v>13</v>
      </c>
      <c r="I685" s="26"/>
      <c r="J685" s="26">
        <v>81</v>
      </c>
      <c r="K685" s="26">
        <v>21</v>
      </c>
      <c r="L685" s="26"/>
      <c r="M685" s="26">
        <v>15</v>
      </c>
      <c r="N685" s="26">
        <v>9</v>
      </c>
      <c r="O685" s="26"/>
      <c r="P685" s="26">
        <v>12</v>
      </c>
      <c r="Q685" s="70">
        <v>7</v>
      </c>
      <c r="R685" s="26">
        <v>164</v>
      </c>
    </row>
    <row r="686" spans="1:18" x14ac:dyDescent="0.35">
      <c r="A686" s="69">
        <v>78210202</v>
      </c>
      <c r="B686" s="69" t="s">
        <v>2516</v>
      </c>
      <c r="C686" s="69" t="s">
        <v>2517</v>
      </c>
      <c r="D686" s="69">
        <v>9226119481</v>
      </c>
      <c r="E686" s="69" t="s">
        <v>2518</v>
      </c>
      <c r="F686" s="69" t="s">
        <v>2458</v>
      </c>
      <c r="G686" s="26">
        <v>11</v>
      </c>
      <c r="H686" s="26">
        <v>1</v>
      </c>
      <c r="I686" s="26">
        <v>37</v>
      </c>
      <c r="J686" s="26">
        <v>15</v>
      </c>
      <c r="K686" s="26">
        <v>16</v>
      </c>
      <c r="L686" s="26">
        <v>13</v>
      </c>
      <c r="M686" s="26">
        <v>12</v>
      </c>
      <c r="N686" s="26">
        <v>14</v>
      </c>
      <c r="O686" s="26">
        <v>3</v>
      </c>
      <c r="P686" s="26">
        <v>6</v>
      </c>
      <c r="Q686" s="70">
        <v>2</v>
      </c>
      <c r="R686" s="26">
        <v>130</v>
      </c>
    </row>
    <row r="687" spans="1:18" x14ac:dyDescent="0.35">
      <c r="A687" s="69">
        <v>78210206</v>
      </c>
      <c r="B687" s="69" t="s">
        <v>2519</v>
      </c>
      <c r="C687" s="69" t="s">
        <v>2520</v>
      </c>
      <c r="D687" s="69">
        <v>8108126868</v>
      </c>
      <c r="E687" s="69" t="s">
        <v>2521</v>
      </c>
      <c r="F687" s="69" t="s">
        <v>2458</v>
      </c>
      <c r="G687" s="26">
        <v>75</v>
      </c>
      <c r="H687" s="26">
        <v>5</v>
      </c>
      <c r="I687" s="26">
        <v>56</v>
      </c>
      <c r="J687" s="26">
        <v>145</v>
      </c>
      <c r="K687" s="26">
        <v>17</v>
      </c>
      <c r="L687" s="26">
        <v>28</v>
      </c>
      <c r="M687" s="26">
        <v>69</v>
      </c>
      <c r="N687" s="26">
        <v>32</v>
      </c>
      <c r="O687" s="26">
        <v>76</v>
      </c>
      <c r="P687" s="26">
        <v>46</v>
      </c>
      <c r="Q687" s="70">
        <v>32</v>
      </c>
      <c r="R687" s="26">
        <v>581</v>
      </c>
    </row>
    <row r="688" spans="1:18" x14ac:dyDescent="0.35">
      <c r="A688" s="69">
        <v>78210227</v>
      </c>
      <c r="B688" s="69" t="s">
        <v>2522</v>
      </c>
      <c r="C688" s="69" t="s">
        <v>2523</v>
      </c>
      <c r="D688" s="69">
        <v>9272575477</v>
      </c>
      <c r="E688" s="69" t="s">
        <v>2524</v>
      </c>
      <c r="F688" s="69" t="s">
        <v>2458</v>
      </c>
      <c r="G688" s="26"/>
      <c r="H688" s="26">
        <v>57</v>
      </c>
      <c r="I688" s="26">
        <v>31</v>
      </c>
      <c r="J688" s="26">
        <v>245</v>
      </c>
      <c r="K688" s="26">
        <v>23</v>
      </c>
      <c r="L688" s="26">
        <v>15</v>
      </c>
      <c r="M688" s="26">
        <v>11</v>
      </c>
      <c r="N688" s="26">
        <v>17</v>
      </c>
      <c r="O688" s="26">
        <v>4</v>
      </c>
      <c r="P688" s="26">
        <v>19</v>
      </c>
      <c r="Q688" s="70">
        <v>6</v>
      </c>
      <c r="R688" s="26">
        <v>428</v>
      </c>
    </row>
    <row r="689" spans="1:18" x14ac:dyDescent="0.35">
      <c r="A689" s="69">
        <v>78210244</v>
      </c>
      <c r="B689" s="69" t="s">
        <v>2525</v>
      </c>
      <c r="C689" s="69" t="s">
        <v>2526</v>
      </c>
      <c r="D689" s="69">
        <v>9422677094</v>
      </c>
      <c r="E689" s="69" t="s">
        <v>2527</v>
      </c>
      <c r="F689" s="69" t="s">
        <v>2458</v>
      </c>
      <c r="G689" s="26"/>
      <c r="H689" s="26">
        <v>19</v>
      </c>
      <c r="I689" s="26"/>
      <c r="J689" s="26">
        <v>182</v>
      </c>
      <c r="K689" s="26">
        <v>9</v>
      </c>
      <c r="L689" s="26"/>
      <c r="M689" s="26">
        <v>22</v>
      </c>
      <c r="N689" s="26">
        <v>7</v>
      </c>
      <c r="O689" s="26"/>
      <c r="P689" s="26">
        <v>48</v>
      </c>
      <c r="Q689" s="70">
        <v>5</v>
      </c>
      <c r="R689" s="26">
        <v>292</v>
      </c>
    </row>
    <row r="690" spans="1:18" x14ac:dyDescent="0.35">
      <c r="A690" s="69">
        <v>78210266</v>
      </c>
      <c r="B690" s="69" t="s">
        <v>2528</v>
      </c>
      <c r="C690" s="69" t="s">
        <v>2529</v>
      </c>
      <c r="D690" s="69">
        <v>8149340271</v>
      </c>
      <c r="E690" s="69" t="s">
        <v>2530</v>
      </c>
      <c r="F690" s="69" t="s">
        <v>2458</v>
      </c>
      <c r="G690" s="26">
        <v>12</v>
      </c>
      <c r="H690" s="26">
        <v>15</v>
      </c>
      <c r="I690" s="26">
        <v>54</v>
      </c>
      <c r="J690" s="26">
        <v>50</v>
      </c>
      <c r="K690" s="26">
        <v>26</v>
      </c>
      <c r="L690" s="26">
        <v>13</v>
      </c>
      <c r="M690" s="26">
        <v>26</v>
      </c>
      <c r="N690" s="26">
        <v>12</v>
      </c>
      <c r="O690" s="26">
        <v>10</v>
      </c>
      <c r="P690" s="26">
        <v>6</v>
      </c>
      <c r="Q690" s="70">
        <v>2</v>
      </c>
      <c r="R690" s="26">
        <v>226</v>
      </c>
    </row>
    <row r="691" spans="1:18" x14ac:dyDescent="0.35">
      <c r="A691" s="69">
        <v>78210267</v>
      </c>
      <c r="B691" s="69" t="s">
        <v>2531</v>
      </c>
      <c r="C691" s="69" t="s">
        <v>2532</v>
      </c>
      <c r="D691" s="69">
        <v>9967514010</v>
      </c>
      <c r="E691" s="69" t="s">
        <v>2533</v>
      </c>
      <c r="F691" s="69" t="s">
        <v>2458</v>
      </c>
      <c r="G691" s="26">
        <v>18</v>
      </c>
      <c r="H691" s="26"/>
      <c r="I691" s="26">
        <v>41</v>
      </c>
      <c r="J691" s="26">
        <v>90</v>
      </c>
      <c r="K691" s="26">
        <v>51</v>
      </c>
      <c r="L691" s="26">
        <v>17</v>
      </c>
      <c r="M691" s="26">
        <v>21</v>
      </c>
      <c r="N691" s="26">
        <v>15</v>
      </c>
      <c r="O691" s="26">
        <v>10</v>
      </c>
      <c r="P691" s="26">
        <v>15</v>
      </c>
      <c r="Q691" s="70">
        <v>11</v>
      </c>
      <c r="R691" s="26">
        <v>289</v>
      </c>
    </row>
    <row r="692" spans="1:18" x14ac:dyDescent="0.35">
      <c r="A692" s="69">
        <v>78210271</v>
      </c>
      <c r="B692" s="69" t="s">
        <v>2534</v>
      </c>
      <c r="C692" s="69" t="s">
        <v>2535</v>
      </c>
      <c r="D692" s="69">
        <v>9221337835</v>
      </c>
      <c r="E692" s="69" t="s">
        <v>2536</v>
      </c>
      <c r="F692" s="69" t="s">
        <v>2458</v>
      </c>
      <c r="G692" s="26">
        <v>61</v>
      </c>
      <c r="H692" s="26"/>
      <c r="I692" s="26">
        <v>50</v>
      </c>
      <c r="J692" s="26">
        <v>101</v>
      </c>
      <c r="K692" s="26">
        <v>41</v>
      </c>
      <c r="L692" s="26">
        <v>40</v>
      </c>
      <c r="M692" s="26">
        <v>23</v>
      </c>
      <c r="N692" s="26">
        <v>15</v>
      </c>
      <c r="O692" s="26">
        <v>10</v>
      </c>
      <c r="P692" s="26">
        <v>11</v>
      </c>
      <c r="Q692" s="70">
        <v>8</v>
      </c>
      <c r="R692" s="26">
        <v>360</v>
      </c>
    </row>
    <row r="693" spans="1:18" x14ac:dyDescent="0.35">
      <c r="A693" s="69">
        <v>78210272</v>
      </c>
      <c r="B693" s="69" t="s">
        <v>2495</v>
      </c>
      <c r="C693" s="69" t="s">
        <v>2537</v>
      </c>
      <c r="D693" s="69">
        <v>9867260123</v>
      </c>
      <c r="E693" s="69" t="s">
        <v>2497</v>
      </c>
      <c r="F693" s="69" t="s">
        <v>2458</v>
      </c>
      <c r="G693" s="26">
        <v>11</v>
      </c>
      <c r="H693" s="26"/>
      <c r="I693" s="26">
        <v>28</v>
      </c>
      <c r="J693" s="26">
        <v>128</v>
      </c>
      <c r="K693" s="26">
        <v>32</v>
      </c>
      <c r="L693" s="26">
        <v>12</v>
      </c>
      <c r="M693" s="26">
        <v>12</v>
      </c>
      <c r="N693" s="26">
        <v>0</v>
      </c>
      <c r="O693" s="26">
        <v>16</v>
      </c>
      <c r="P693" s="26">
        <v>29</v>
      </c>
      <c r="Q693" s="70">
        <v>6</v>
      </c>
      <c r="R693" s="26">
        <v>274</v>
      </c>
    </row>
    <row r="694" spans="1:18" x14ac:dyDescent="0.35">
      <c r="A694" s="69">
        <v>78210273</v>
      </c>
      <c r="B694" s="69" t="s">
        <v>1204</v>
      </c>
      <c r="C694" s="69" t="s">
        <v>2538</v>
      </c>
      <c r="D694" s="69">
        <v>9890579907</v>
      </c>
      <c r="E694" s="69" t="s">
        <v>2539</v>
      </c>
      <c r="F694" s="69" t="s">
        <v>2458</v>
      </c>
      <c r="G694" s="26">
        <v>6</v>
      </c>
      <c r="H694" s="26">
        <v>6</v>
      </c>
      <c r="I694" s="26">
        <v>69</v>
      </c>
      <c r="J694" s="26">
        <v>37</v>
      </c>
      <c r="K694" s="26">
        <v>15</v>
      </c>
      <c r="L694" s="26">
        <v>6</v>
      </c>
      <c r="M694" s="26">
        <v>18</v>
      </c>
      <c r="N694" s="26">
        <v>9</v>
      </c>
      <c r="O694" s="26">
        <v>8</v>
      </c>
      <c r="P694" s="26">
        <v>8</v>
      </c>
      <c r="Q694" s="70">
        <v>1</v>
      </c>
      <c r="R694" s="26">
        <v>183</v>
      </c>
    </row>
    <row r="695" spans="1:18" x14ac:dyDescent="0.35">
      <c r="A695" s="69">
        <v>78210281</v>
      </c>
      <c r="B695" s="69" t="s">
        <v>2540</v>
      </c>
      <c r="C695" s="69" t="s">
        <v>2541</v>
      </c>
      <c r="D695" s="69">
        <v>9975204279</v>
      </c>
      <c r="E695" s="69" t="s">
        <v>2542</v>
      </c>
      <c r="F695" s="69" t="s">
        <v>2458</v>
      </c>
      <c r="G695" s="26">
        <v>5</v>
      </c>
      <c r="H695" s="26"/>
      <c r="I695" s="26">
        <v>21</v>
      </c>
      <c r="J695" s="26">
        <v>93</v>
      </c>
      <c r="K695" s="26"/>
      <c r="L695" s="26"/>
      <c r="M695" s="26">
        <v>17</v>
      </c>
      <c r="N695" s="26">
        <v>15</v>
      </c>
      <c r="O695" s="26">
        <v>8</v>
      </c>
      <c r="P695" s="26">
        <v>21</v>
      </c>
      <c r="Q695" s="70">
        <v>0</v>
      </c>
      <c r="R695" s="26">
        <v>180</v>
      </c>
    </row>
    <row r="696" spans="1:18" x14ac:dyDescent="0.35">
      <c r="A696" s="69">
        <v>78210294</v>
      </c>
      <c r="B696" s="69" t="s">
        <v>2543</v>
      </c>
      <c r="C696" s="69" t="s">
        <v>2544</v>
      </c>
      <c r="D696" s="69">
        <v>9011384771</v>
      </c>
      <c r="E696" s="69" t="s">
        <v>2545</v>
      </c>
      <c r="F696" s="69" t="s">
        <v>2458</v>
      </c>
      <c r="G696" s="26"/>
      <c r="H696" s="26"/>
      <c r="I696" s="26">
        <v>6</v>
      </c>
      <c r="J696" s="26">
        <v>82</v>
      </c>
      <c r="K696" s="26"/>
      <c r="L696" s="26">
        <v>24</v>
      </c>
      <c r="M696" s="26"/>
      <c r="N696" s="26">
        <v>12</v>
      </c>
      <c r="O696" s="26"/>
      <c r="P696" s="26">
        <v>8</v>
      </c>
      <c r="Q696" s="70">
        <v>0</v>
      </c>
      <c r="R696" s="26">
        <v>132</v>
      </c>
    </row>
    <row r="697" spans="1:18" x14ac:dyDescent="0.35">
      <c r="A697" s="69">
        <v>78210304</v>
      </c>
      <c r="B697" s="69" t="s">
        <v>2546</v>
      </c>
      <c r="C697" s="69" t="s">
        <v>2547</v>
      </c>
      <c r="D697" s="69">
        <v>9823158577</v>
      </c>
      <c r="E697" s="69" t="s">
        <v>2548</v>
      </c>
      <c r="F697" s="69" t="s">
        <v>2458</v>
      </c>
      <c r="G697" s="26">
        <v>16</v>
      </c>
      <c r="H697" s="26">
        <v>8</v>
      </c>
      <c r="I697" s="26">
        <v>57</v>
      </c>
      <c r="J697" s="26">
        <v>29</v>
      </c>
      <c r="K697" s="26">
        <v>33</v>
      </c>
      <c r="L697" s="26">
        <v>34</v>
      </c>
      <c r="M697" s="26">
        <v>11</v>
      </c>
      <c r="N697" s="26">
        <v>11</v>
      </c>
      <c r="O697" s="26">
        <v>12</v>
      </c>
      <c r="P697" s="26">
        <v>9</v>
      </c>
      <c r="Q697" s="70">
        <v>7</v>
      </c>
      <c r="R697" s="26">
        <v>227</v>
      </c>
    </row>
    <row r="698" spans="1:18" x14ac:dyDescent="0.35">
      <c r="A698" s="69">
        <v>78210309</v>
      </c>
      <c r="B698" s="69" t="s">
        <v>2549</v>
      </c>
      <c r="C698" s="69" t="s">
        <v>2550</v>
      </c>
      <c r="D698" s="69">
        <v>9270788977</v>
      </c>
      <c r="E698" s="69" t="s">
        <v>2551</v>
      </c>
      <c r="F698" s="69" t="s">
        <v>2458</v>
      </c>
      <c r="G698" s="26">
        <v>13</v>
      </c>
      <c r="H698" s="26">
        <v>8</v>
      </c>
      <c r="I698" s="26">
        <v>30</v>
      </c>
      <c r="J698" s="26">
        <v>97</v>
      </c>
      <c r="K698" s="26">
        <v>4</v>
      </c>
      <c r="L698" s="26">
        <v>6</v>
      </c>
      <c r="M698" s="26">
        <v>9</v>
      </c>
      <c r="N698" s="26">
        <v>9</v>
      </c>
      <c r="O698" s="26">
        <v>4</v>
      </c>
      <c r="P698" s="26">
        <v>12</v>
      </c>
      <c r="Q698" s="70">
        <v>6</v>
      </c>
      <c r="R698" s="26">
        <v>198</v>
      </c>
    </row>
    <row r="699" spans="1:18" x14ac:dyDescent="0.35">
      <c r="A699" s="69">
        <v>78210310</v>
      </c>
      <c r="B699" s="69" t="s">
        <v>2552</v>
      </c>
      <c r="C699" s="69" t="s">
        <v>2553</v>
      </c>
      <c r="D699" s="69">
        <v>9322206381</v>
      </c>
      <c r="E699" s="69" t="s">
        <v>2554</v>
      </c>
      <c r="F699" s="69" t="s">
        <v>2458</v>
      </c>
      <c r="G699" s="26">
        <v>12</v>
      </c>
      <c r="H699" s="26"/>
      <c r="I699" s="26">
        <v>13</v>
      </c>
      <c r="J699" s="26">
        <v>7</v>
      </c>
      <c r="K699" s="26">
        <v>6</v>
      </c>
      <c r="L699" s="26">
        <v>17</v>
      </c>
      <c r="M699" s="26">
        <v>12</v>
      </c>
      <c r="N699" s="26">
        <v>14</v>
      </c>
      <c r="O699" s="26">
        <v>14</v>
      </c>
      <c r="P699" s="26">
        <v>29</v>
      </c>
      <c r="Q699" s="70">
        <v>8</v>
      </c>
      <c r="R699" s="26">
        <v>132</v>
      </c>
    </row>
    <row r="700" spans="1:18" x14ac:dyDescent="0.35">
      <c r="A700" s="69">
        <v>78210312</v>
      </c>
      <c r="B700" s="69" t="s">
        <v>2555</v>
      </c>
      <c r="C700" s="69" t="s">
        <v>2556</v>
      </c>
      <c r="D700" s="69">
        <v>9960948775</v>
      </c>
      <c r="E700" s="69" t="s">
        <v>2557</v>
      </c>
      <c r="F700" s="69" t="s">
        <v>2458</v>
      </c>
      <c r="G700" s="26"/>
      <c r="H700" s="26">
        <v>15</v>
      </c>
      <c r="I700" s="26"/>
      <c r="J700" s="26">
        <v>99</v>
      </c>
      <c r="K700" s="26"/>
      <c r="L700" s="26"/>
      <c r="M700" s="26">
        <v>31</v>
      </c>
      <c r="N700" s="26">
        <v>0</v>
      </c>
      <c r="O700" s="26">
        <v>5</v>
      </c>
      <c r="P700" s="26">
        <v>5</v>
      </c>
      <c r="Q700" s="70">
        <v>0</v>
      </c>
      <c r="R700" s="26">
        <v>155</v>
      </c>
    </row>
    <row r="701" spans="1:18" x14ac:dyDescent="0.35">
      <c r="A701" s="69">
        <v>78210314</v>
      </c>
      <c r="B701" s="69" t="s">
        <v>2522</v>
      </c>
      <c r="C701" s="69" t="s">
        <v>2558</v>
      </c>
      <c r="D701" s="69">
        <v>9860868997</v>
      </c>
      <c r="E701" s="69" t="s">
        <v>2559</v>
      </c>
      <c r="F701" s="69" t="s">
        <v>2458</v>
      </c>
      <c r="G701" s="26">
        <v>51</v>
      </c>
      <c r="H701" s="26">
        <v>31</v>
      </c>
      <c r="I701" s="26">
        <v>2</v>
      </c>
      <c r="J701" s="26">
        <v>129</v>
      </c>
      <c r="K701" s="26">
        <v>26</v>
      </c>
      <c r="L701" s="26">
        <v>4</v>
      </c>
      <c r="M701" s="26">
        <v>10</v>
      </c>
      <c r="N701" s="26">
        <v>19</v>
      </c>
      <c r="O701" s="26">
        <v>26</v>
      </c>
      <c r="P701" s="26">
        <v>20</v>
      </c>
      <c r="Q701" s="70">
        <v>5</v>
      </c>
      <c r="R701" s="26">
        <v>323</v>
      </c>
    </row>
    <row r="702" spans="1:18" x14ac:dyDescent="0.35">
      <c r="A702" s="69">
        <v>78210317</v>
      </c>
      <c r="B702" s="69" t="s">
        <v>2560</v>
      </c>
      <c r="C702" s="69" t="s">
        <v>2561</v>
      </c>
      <c r="D702" s="69">
        <v>9892971253</v>
      </c>
      <c r="E702" s="69" t="s">
        <v>2562</v>
      </c>
      <c r="F702" s="69" t="s">
        <v>2458</v>
      </c>
      <c r="G702" s="26"/>
      <c r="H702" s="26"/>
      <c r="I702" s="26">
        <v>1</v>
      </c>
      <c r="J702" s="26">
        <v>23</v>
      </c>
      <c r="K702" s="26"/>
      <c r="L702" s="26">
        <v>22</v>
      </c>
      <c r="M702" s="26"/>
      <c r="N702" s="26">
        <v>13</v>
      </c>
      <c r="O702" s="26">
        <v>13</v>
      </c>
      <c r="P702" s="26">
        <v>19</v>
      </c>
      <c r="Q702" s="70">
        <v>1</v>
      </c>
      <c r="R702" s="26">
        <v>92</v>
      </c>
    </row>
    <row r="703" spans="1:18" x14ac:dyDescent="0.35">
      <c r="A703" s="69">
        <v>78210335</v>
      </c>
      <c r="B703" s="69" t="s">
        <v>2563</v>
      </c>
      <c r="C703" s="69" t="s">
        <v>2564</v>
      </c>
      <c r="D703" s="69">
        <v>9004437067</v>
      </c>
      <c r="E703" s="69" t="s">
        <v>2565</v>
      </c>
      <c r="F703" s="69" t="s">
        <v>2458</v>
      </c>
      <c r="G703" s="26">
        <v>16</v>
      </c>
      <c r="H703" s="26"/>
      <c r="I703" s="26">
        <v>51</v>
      </c>
      <c r="J703" s="26">
        <v>25</v>
      </c>
      <c r="K703" s="26">
        <v>44</v>
      </c>
      <c r="L703" s="26">
        <v>13</v>
      </c>
      <c r="M703" s="26">
        <v>30</v>
      </c>
      <c r="N703" s="26">
        <v>4</v>
      </c>
      <c r="O703" s="26">
        <v>14</v>
      </c>
      <c r="P703" s="26">
        <v>40</v>
      </c>
      <c r="Q703" s="70">
        <v>29</v>
      </c>
      <c r="R703" s="26">
        <v>266</v>
      </c>
    </row>
    <row r="704" spans="1:18" x14ac:dyDescent="0.35">
      <c r="A704" s="69">
        <v>78210344</v>
      </c>
      <c r="B704" s="69" t="s">
        <v>2566</v>
      </c>
      <c r="C704" s="69" t="s">
        <v>2567</v>
      </c>
      <c r="D704" s="69">
        <v>9890481681</v>
      </c>
      <c r="E704" s="69" t="s">
        <v>2568</v>
      </c>
      <c r="F704" s="69" t="s">
        <v>2458</v>
      </c>
      <c r="G704" s="26">
        <v>2</v>
      </c>
      <c r="H704" s="26"/>
      <c r="I704" s="26">
        <v>11</v>
      </c>
      <c r="J704" s="26">
        <v>26</v>
      </c>
      <c r="K704" s="26">
        <v>6</v>
      </c>
      <c r="L704" s="26"/>
      <c r="M704" s="26">
        <v>5</v>
      </c>
      <c r="N704" s="26">
        <v>2</v>
      </c>
      <c r="O704" s="26">
        <v>3</v>
      </c>
      <c r="P704" s="26">
        <v>3</v>
      </c>
      <c r="Q704" s="70">
        <v>4</v>
      </c>
      <c r="R704" s="26">
        <v>62</v>
      </c>
    </row>
    <row r="705" spans="1:18" x14ac:dyDescent="0.35">
      <c r="A705" s="69">
        <v>78210377</v>
      </c>
      <c r="B705" s="69" t="s">
        <v>2569</v>
      </c>
      <c r="C705" s="69" t="s">
        <v>2570</v>
      </c>
      <c r="D705" s="69">
        <v>8108383872</v>
      </c>
      <c r="E705" s="69" t="s">
        <v>2571</v>
      </c>
      <c r="F705" s="69" t="s">
        <v>2458</v>
      </c>
      <c r="G705" s="26">
        <v>11</v>
      </c>
      <c r="H705" s="26"/>
      <c r="I705" s="26">
        <v>6</v>
      </c>
      <c r="J705" s="26">
        <v>20</v>
      </c>
      <c r="K705" s="26">
        <v>20</v>
      </c>
      <c r="L705" s="26">
        <v>17</v>
      </c>
      <c r="M705" s="26">
        <v>6</v>
      </c>
      <c r="N705" s="26">
        <v>3</v>
      </c>
      <c r="O705" s="26"/>
      <c r="P705" s="26">
        <v>8</v>
      </c>
      <c r="Q705" s="70">
        <v>0</v>
      </c>
      <c r="R705" s="26">
        <v>91</v>
      </c>
    </row>
    <row r="706" spans="1:18" x14ac:dyDescent="0.35">
      <c r="A706" s="69">
        <v>78210454</v>
      </c>
      <c r="B706" s="69" t="s">
        <v>2572</v>
      </c>
      <c r="C706" s="69" t="s">
        <v>2573</v>
      </c>
      <c r="D706" s="69">
        <v>9004079829</v>
      </c>
      <c r="E706" s="69" t="s">
        <v>2574</v>
      </c>
      <c r="F706" s="69" t="s">
        <v>2458</v>
      </c>
      <c r="G706" s="26"/>
      <c r="H706" s="26">
        <v>8</v>
      </c>
      <c r="I706" s="26">
        <v>7</v>
      </c>
      <c r="J706" s="26">
        <v>6</v>
      </c>
      <c r="K706" s="26">
        <v>8</v>
      </c>
      <c r="L706" s="26"/>
      <c r="M706" s="26"/>
      <c r="N706" s="26">
        <v>4</v>
      </c>
      <c r="O706" s="26">
        <v>3</v>
      </c>
      <c r="P706" s="26">
        <v>5</v>
      </c>
      <c r="Q706" s="70">
        <v>0</v>
      </c>
      <c r="R706" s="26">
        <v>41</v>
      </c>
    </row>
    <row r="707" spans="1:18" x14ac:dyDescent="0.35">
      <c r="A707" s="69">
        <v>78210470</v>
      </c>
      <c r="B707" s="69" t="s">
        <v>2575</v>
      </c>
      <c r="C707" s="69" t="s">
        <v>2576</v>
      </c>
      <c r="D707" s="69">
        <v>9175434863</v>
      </c>
      <c r="E707" s="69" t="s">
        <v>2577</v>
      </c>
      <c r="F707" s="69" t="s">
        <v>2458</v>
      </c>
      <c r="G707" s="26">
        <v>15</v>
      </c>
      <c r="H707" s="26">
        <v>31</v>
      </c>
      <c r="I707" s="26">
        <v>52</v>
      </c>
      <c r="J707" s="26">
        <v>30</v>
      </c>
      <c r="K707" s="26">
        <v>31</v>
      </c>
      <c r="L707" s="26">
        <v>7</v>
      </c>
      <c r="M707" s="26">
        <v>18</v>
      </c>
      <c r="N707" s="26">
        <v>9</v>
      </c>
      <c r="O707" s="26">
        <v>11</v>
      </c>
      <c r="P707" s="26">
        <v>28</v>
      </c>
      <c r="Q707" s="70">
        <v>10</v>
      </c>
      <c r="R707" s="26">
        <v>242</v>
      </c>
    </row>
    <row r="708" spans="1:18" x14ac:dyDescent="0.35">
      <c r="A708" s="69">
        <v>78210492</v>
      </c>
      <c r="B708" s="69" t="s">
        <v>2578</v>
      </c>
      <c r="C708" s="69" t="s">
        <v>2579</v>
      </c>
      <c r="D708" s="69">
        <v>9223510574</v>
      </c>
      <c r="E708" s="69" t="s">
        <v>2580</v>
      </c>
      <c r="F708" s="69" t="s">
        <v>2458</v>
      </c>
      <c r="G708" s="26">
        <v>17</v>
      </c>
      <c r="H708" s="26">
        <v>3</v>
      </c>
      <c r="I708" s="26">
        <v>22</v>
      </c>
      <c r="J708" s="26">
        <v>70</v>
      </c>
      <c r="K708" s="26"/>
      <c r="L708" s="26">
        <v>100</v>
      </c>
      <c r="M708" s="26">
        <v>23</v>
      </c>
      <c r="N708" s="26">
        <v>18</v>
      </c>
      <c r="O708" s="26">
        <v>20</v>
      </c>
      <c r="P708" s="26">
        <v>12</v>
      </c>
      <c r="Q708" s="70">
        <v>37</v>
      </c>
      <c r="R708" s="26">
        <v>322</v>
      </c>
    </row>
    <row r="709" spans="1:18" x14ac:dyDescent="0.35">
      <c r="A709" s="69">
        <v>78210504</v>
      </c>
      <c r="B709" s="69" t="s">
        <v>2581</v>
      </c>
      <c r="C709" s="69" t="s">
        <v>2582</v>
      </c>
      <c r="D709" s="69">
        <v>9167647245</v>
      </c>
      <c r="E709" s="69" t="s">
        <v>2583</v>
      </c>
      <c r="F709" s="69" t="s">
        <v>2458</v>
      </c>
      <c r="G709" s="26">
        <v>7</v>
      </c>
      <c r="H709" s="26">
        <v>2</v>
      </c>
      <c r="I709" s="26">
        <v>5</v>
      </c>
      <c r="J709" s="26">
        <v>21</v>
      </c>
      <c r="K709" s="26">
        <v>16</v>
      </c>
      <c r="L709" s="26">
        <v>9</v>
      </c>
      <c r="M709" s="26">
        <v>8</v>
      </c>
      <c r="N709" s="26">
        <v>4</v>
      </c>
      <c r="O709" s="26">
        <v>2</v>
      </c>
      <c r="P709" s="26">
        <v>10</v>
      </c>
      <c r="Q709" s="70">
        <v>0</v>
      </c>
      <c r="R709" s="26">
        <v>84</v>
      </c>
    </row>
  </sheetData>
  <mergeCells count="1">
    <mergeCell ref="A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5"/>
  <sheetViews>
    <sheetView workbookViewId="0">
      <selection sqref="A1:S1"/>
    </sheetView>
  </sheetViews>
  <sheetFormatPr defaultRowHeight="14.5" x14ac:dyDescent="0.35"/>
  <sheetData>
    <row r="1" spans="1:19" x14ac:dyDescent="0.35">
      <c r="A1" s="84" t="s">
        <v>7734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6" spans="1:19" x14ac:dyDescent="0.35">
      <c r="E6" s="26"/>
      <c r="F6" s="26"/>
      <c r="G6" s="26"/>
      <c r="H6" s="26"/>
      <c r="I6" s="26"/>
    </row>
    <row r="7" spans="1:19" x14ac:dyDescent="0.35">
      <c r="E7" s="26"/>
      <c r="F7" s="26"/>
      <c r="G7" s="26"/>
      <c r="H7" s="26"/>
      <c r="I7" s="26"/>
    </row>
    <row r="8" spans="1:19" x14ac:dyDescent="0.35">
      <c r="E8" s="26"/>
      <c r="F8" s="26"/>
      <c r="G8" s="26"/>
      <c r="H8" s="26"/>
      <c r="I8" s="26"/>
    </row>
    <row r="9" spans="1:19" x14ac:dyDescent="0.35">
      <c r="E9" s="26"/>
      <c r="F9" s="26"/>
      <c r="G9" s="26"/>
      <c r="H9" s="26"/>
      <c r="I9" s="26"/>
    </row>
    <row r="10" spans="1:19" x14ac:dyDescent="0.35">
      <c r="E10" s="26"/>
      <c r="F10" s="26"/>
      <c r="G10" s="26"/>
      <c r="H10" s="26"/>
      <c r="I10" s="26"/>
    </row>
    <row r="11" spans="1:19" x14ac:dyDescent="0.35">
      <c r="E11" s="26"/>
      <c r="F11" s="26"/>
      <c r="G11" s="26"/>
      <c r="H11" s="26"/>
      <c r="I11" s="26"/>
    </row>
    <row r="12" spans="1:19" x14ac:dyDescent="0.35">
      <c r="E12" s="26"/>
      <c r="F12" s="26"/>
      <c r="G12" s="26"/>
      <c r="H12" s="26"/>
      <c r="I12" s="26"/>
    </row>
    <row r="13" spans="1:19" x14ac:dyDescent="0.35">
      <c r="E13" s="26"/>
      <c r="F13" s="26"/>
      <c r="G13" s="26"/>
      <c r="H13" s="26"/>
      <c r="I13" s="26"/>
    </row>
    <row r="14" spans="1:19" x14ac:dyDescent="0.35">
      <c r="E14" s="26"/>
      <c r="F14" s="26"/>
      <c r="G14" s="26"/>
      <c r="H14" s="26"/>
      <c r="I14" s="26"/>
    </row>
    <row r="15" spans="1:19" x14ac:dyDescent="0.35">
      <c r="E15" s="26"/>
      <c r="F15" s="26"/>
      <c r="G15" s="26"/>
      <c r="H15" s="26"/>
      <c r="I15" s="26"/>
    </row>
  </sheetData>
  <mergeCells count="1">
    <mergeCell ref="A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21"/>
  <sheetViews>
    <sheetView workbookViewId="0">
      <selection activeCell="N10" sqref="N10"/>
    </sheetView>
  </sheetViews>
  <sheetFormatPr defaultRowHeight="14.5" x14ac:dyDescent="0.35"/>
  <cols>
    <col min="2" max="2" width="26.7265625" customWidth="1"/>
    <col min="3" max="3" width="12.453125" customWidth="1"/>
    <col min="4" max="4" width="15" customWidth="1"/>
  </cols>
  <sheetData>
    <row r="1" spans="1:19" x14ac:dyDescent="0.35">
      <c r="A1" s="84" t="s">
        <v>7736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x14ac:dyDescent="0.35">
      <c r="A3" s="71" t="s">
        <v>517</v>
      </c>
      <c r="B3" s="71" t="s">
        <v>518</v>
      </c>
      <c r="C3" s="71" t="s">
        <v>522</v>
      </c>
      <c r="D3" s="71" t="s">
        <v>130</v>
      </c>
      <c r="G3" s="78" t="s">
        <v>7735</v>
      </c>
    </row>
    <row r="4" spans="1:19" x14ac:dyDescent="0.35">
      <c r="A4" s="69">
        <v>11210001</v>
      </c>
      <c r="B4" s="69" t="s">
        <v>523</v>
      </c>
      <c r="C4" s="69" t="s">
        <v>526</v>
      </c>
      <c r="D4" s="26">
        <v>109</v>
      </c>
      <c r="G4" s="26" t="s">
        <v>130</v>
      </c>
    </row>
    <row r="5" spans="1:19" x14ac:dyDescent="0.35">
      <c r="A5" s="69">
        <v>11210003</v>
      </c>
      <c r="B5" s="69" t="s">
        <v>527</v>
      </c>
      <c r="C5" s="69" t="s">
        <v>526</v>
      </c>
      <c r="D5" s="26">
        <v>173</v>
      </c>
      <c r="G5" s="26" t="s">
        <v>7737</v>
      </c>
    </row>
    <row r="6" spans="1:19" x14ac:dyDescent="0.35">
      <c r="A6" s="69">
        <v>11210035</v>
      </c>
      <c r="B6" s="69" t="s">
        <v>530</v>
      </c>
      <c r="C6" s="69" t="s">
        <v>526</v>
      </c>
      <c r="D6" s="26">
        <v>183</v>
      </c>
    </row>
    <row r="7" spans="1:19" x14ac:dyDescent="0.35">
      <c r="A7" s="69">
        <v>11210036</v>
      </c>
      <c r="B7" s="69" t="s">
        <v>534</v>
      </c>
      <c r="C7" s="69" t="s">
        <v>526</v>
      </c>
      <c r="D7" s="26">
        <v>205</v>
      </c>
    </row>
    <row r="8" spans="1:19" x14ac:dyDescent="0.35">
      <c r="A8" s="69">
        <v>11210136</v>
      </c>
      <c r="B8" s="69" t="s">
        <v>537</v>
      </c>
      <c r="C8" s="69" t="s">
        <v>526</v>
      </c>
      <c r="D8" s="26">
        <v>320</v>
      </c>
    </row>
    <row r="9" spans="1:19" x14ac:dyDescent="0.35">
      <c r="A9" s="69">
        <v>11210183</v>
      </c>
      <c r="B9" s="69" t="s">
        <v>540</v>
      </c>
      <c r="C9" s="69" t="s">
        <v>526</v>
      </c>
      <c r="D9" s="26">
        <v>259</v>
      </c>
    </row>
    <row r="10" spans="1:19" x14ac:dyDescent="0.35">
      <c r="A10" s="69">
        <v>12210001</v>
      </c>
      <c r="B10" s="69" t="s">
        <v>543</v>
      </c>
      <c r="C10" s="69" t="s">
        <v>217</v>
      </c>
      <c r="D10" s="26">
        <v>166</v>
      </c>
    </row>
    <row r="11" spans="1:19" x14ac:dyDescent="0.35">
      <c r="A11" s="69">
        <v>12210002</v>
      </c>
      <c r="B11" s="69" t="s">
        <v>546</v>
      </c>
      <c r="C11" s="69" t="s">
        <v>217</v>
      </c>
      <c r="D11" s="26">
        <v>281</v>
      </c>
    </row>
    <row r="12" spans="1:19" x14ac:dyDescent="0.35">
      <c r="A12" s="69">
        <v>12210003</v>
      </c>
      <c r="B12" s="69" t="s">
        <v>549</v>
      </c>
      <c r="C12" s="69" t="s">
        <v>217</v>
      </c>
      <c r="D12" s="26">
        <v>236</v>
      </c>
    </row>
    <row r="13" spans="1:19" x14ac:dyDescent="0.35">
      <c r="A13" s="69">
        <v>12210050</v>
      </c>
      <c r="B13" s="69" t="s">
        <v>552</v>
      </c>
      <c r="C13" s="69" t="s">
        <v>217</v>
      </c>
      <c r="D13" s="26">
        <v>245</v>
      </c>
    </row>
    <row r="14" spans="1:19" x14ac:dyDescent="0.35">
      <c r="A14" s="69">
        <v>12210061</v>
      </c>
      <c r="B14" s="69" t="s">
        <v>555</v>
      </c>
      <c r="C14" s="69" t="s">
        <v>217</v>
      </c>
      <c r="D14" s="26">
        <v>912</v>
      </c>
    </row>
    <row r="15" spans="1:19" x14ac:dyDescent="0.35">
      <c r="A15" s="69">
        <v>12210079</v>
      </c>
      <c r="B15" s="69" t="s">
        <v>558</v>
      </c>
      <c r="C15" s="69" t="s">
        <v>217</v>
      </c>
      <c r="D15" s="26">
        <v>271</v>
      </c>
    </row>
    <row r="16" spans="1:19" x14ac:dyDescent="0.35">
      <c r="A16" s="69">
        <v>12210080</v>
      </c>
      <c r="B16" s="69" t="s">
        <v>552</v>
      </c>
      <c r="C16" s="69" t="s">
        <v>217</v>
      </c>
      <c r="D16" s="26">
        <v>229</v>
      </c>
    </row>
    <row r="17" spans="1:4" x14ac:dyDescent="0.35">
      <c r="A17" s="69">
        <v>12210085</v>
      </c>
      <c r="B17" s="69" t="s">
        <v>562</v>
      </c>
      <c r="C17" s="69" t="s">
        <v>217</v>
      </c>
      <c r="D17" s="26">
        <v>206</v>
      </c>
    </row>
    <row r="18" spans="1:4" x14ac:dyDescent="0.35">
      <c r="A18" s="69">
        <v>12210095</v>
      </c>
      <c r="B18" s="69" t="s">
        <v>565</v>
      </c>
      <c r="C18" s="69" t="s">
        <v>217</v>
      </c>
      <c r="D18" s="26">
        <v>21</v>
      </c>
    </row>
    <row r="19" spans="1:4" x14ac:dyDescent="0.35">
      <c r="A19" s="69">
        <v>12210128</v>
      </c>
      <c r="B19" s="69" t="s">
        <v>568</v>
      </c>
      <c r="C19" s="69" t="s">
        <v>217</v>
      </c>
      <c r="D19" s="26">
        <v>86</v>
      </c>
    </row>
    <row r="20" spans="1:4" x14ac:dyDescent="0.35">
      <c r="A20" s="69">
        <v>12210132</v>
      </c>
      <c r="B20" s="69" t="s">
        <v>571</v>
      </c>
      <c r="C20" s="69" t="s">
        <v>217</v>
      </c>
      <c r="D20" s="26">
        <v>0</v>
      </c>
    </row>
    <row r="21" spans="1:4" x14ac:dyDescent="0.35">
      <c r="A21" s="69">
        <v>12210136</v>
      </c>
      <c r="B21" s="69" t="s">
        <v>574</v>
      </c>
      <c r="C21" s="69" t="s">
        <v>217</v>
      </c>
      <c r="D21" s="26">
        <v>57</v>
      </c>
    </row>
  </sheetData>
  <mergeCells count="1">
    <mergeCell ref="A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84"/>
  <sheetViews>
    <sheetView workbookViewId="0">
      <selection activeCell="M10" sqref="M10"/>
    </sheetView>
  </sheetViews>
  <sheetFormatPr defaultRowHeight="14.5" x14ac:dyDescent="0.35"/>
  <cols>
    <col min="1" max="1" width="15" customWidth="1"/>
    <col min="2" max="3" width="16.26953125" customWidth="1"/>
    <col min="4" max="4" width="12" customWidth="1"/>
    <col min="5" max="5" width="16.7265625" customWidth="1"/>
    <col min="6" max="6" width="13.453125" customWidth="1"/>
    <col min="10" max="10" width="17.81640625" bestFit="1" customWidth="1"/>
    <col min="11" max="11" width="13.7265625" customWidth="1"/>
  </cols>
  <sheetData>
    <row r="1" spans="1:11" ht="15" customHeight="1" x14ac:dyDescent="0.35">
      <c r="A1" s="107" t="s">
        <v>416</v>
      </c>
      <c r="B1" s="107"/>
      <c r="C1" s="107"/>
      <c r="D1" s="107"/>
      <c r="E1" s="107"/>
      <c r="F1" s="107"/>
    </row>
    <row r="2" spans="1:11" ht="15" customHeight="1" x14ac:dyDescent="0.35">
      <c r="A2" s="108"/>
      <c r="B2" s="108"/>
      <c r="C2" s="108"/>
      <c r="D2" s="108"/>
      <c r="E2" s="108"/>
      <c r="F2" s="108"/>
    </row>
    <row r="3" spans="1:11" ht="15.5" x14ac:dyDescent="0.35">
      <c r="A3" s="37" t="s">
        <v>417</v>
      </c>
      <c r="B3" s="37" t="s">
        <v>418</v>
      </c>
      <c r="C3" s="37" t="s">
        <v>419</v>
      </c>
      <c r="D3" s="37" t="s">
        <v>420</v>
      </c>
      <c r="E3" s="37" t="s">
        <v>421</v>
      </c>
      <c r="F3" s="37" t="s">
        <v>422</v>
      </c>
      <c r="H3" s="109" t="s">
        <v>423</v>
      </c>
      <c r="I3" s="109"/>
      <c r="J3" s="38" t="s">
        <v>424</v>
      </c>
      <c r="K3" s="38" t="s">
        <v>425</v>
      </c>
    </row>
    <row r="4" spans="1:11" ht="15.5" x14ac:dyDescent="0.35">
      <c r="A4" s="39">
        <v>41330</v>
      </c>
      <c r="B4" s="40" t="s">
        <v>426</v>
      </c>
      <c r="C4" s="41">
        <v>10</v>
      </c>
      <c r="D4" s="41">
        <v>452</v>
      </c>
      <c r="E4" s="41">
        <f t="shared" ref="E4:E67" si="0">C4*D4</f>
        <v>4520</v>
      </c>
      <c r="F4" s="42">
        <f>VLOOKUP(B4,$H$4:$I$19,2,FALSE)*E4</f>
        <v>271.2</v>
      </c>
      <c r="H4" s="43" t="s">
        <v>426</v>
      </c>
      <c r="I4" s="44">
        <v>0.06</v>
      </c>
      <c r="J4" s="45">
        <f>SUMIF(B$4:B$84,H4,F$4:F$1048576)</f>
        <v>1788.84</v>
      </c>
      <c r="K4" s="46">
        <f>COUNTIF(B$4:B$84,H4)</f>
        <v>6</v>
      </c>
    </row>
    <row r="5" spans="1:11" ht="15.5" x14ac:dyDescent="0.35">
      <c r="A5" s="39">
        <v>41330</v>
      </c>
      <c r="B5" s="40" t="s">
        <v>427</v>
      </c>
      <c r="C5" s="41">
        <v>8</v>
      </c>
      <c r="D5" s="41">
        <v>356</v>
      </c>
      <c r="E5" s="41">
        <f t="shared" si="0"/>
        <v>2848</v>
      </c>
      <c r="F5" s="42">
        <f t="shared" ref="F5:F68" si="1">VLOOKUP(B5,$H$4:$I$19,2,FALSE)*E5</f>
        <v>455.68</v>
      </c>
      <c r="H5" s="43" t="s">
        <v>428</v>
      </c>
      <c r="I5" s="44">
        <v>7.0000000000000007E-2</v>
      </c>
      <c r="J5" s="45">
        <f t="shared" ref="J5:J19" si="2">SUMIF(B$4:B$84,H5,F$4:F$1048576)</f>
        <v>2188.2000000000003</v>
      </c>
      <c r="K5" s="46">
        <f t="shared" ref="K5:K19" si="3">COUNTIF(B$4:B$84,H5)</f>
        <v>5</v>
      </c>
    </row>
    <row r="6" spans="1:11" ht="15.5" x14ac:dyDescent="0.35">
      <c r="A6" s="39">
        <v>41330</v>
      </c>
      <c r="B6" s="40" t="s">
        <v>429</v>
      </c>
      <c r="C6" s="41">
        <v>25</v>
      </c>
      <c r="D6" s="41">
        <v>400</v>
      </c>
      <c r="E6" s="41">
        <f t="shared" si="0"/>
        <v>10000</v>
      </c>
      <c r="F6" s="42">
        <f t="shared" si="1"/>
        <v>1100</v>
      </c>
      <c r="H6" s="43" t="s">
        <v>429</v>
      </c>
      <c r="I6" s="44">
        <v>0.11</v>
      </c>
      <c r="J6" s="45">
        <f t="shared" si="2"/>
        <v>4972</v>
      </c>
      <c r="K6" s="46">
        <f t="shared" si="3"/>
        <v>6</v>
      </c>
    </row>
    <row r="7" spans="1:11" ht="15.5" x14ac:dyDescent="0.35">
      <c r="A7" s="39">
        <v>41330</v>
      </c>
      <c r="B7" s="40" t="s">
        <v>430</v>
      </c>
      <c r="C7" s="41">
        <v>13</v>
      </c>
      <c r="D7" s="41">
        <v>398</v>
      </c>
      <c r="E7" s="41">
        <f t="shared" si="0"/>
        <v>5174</v>
      </c>
      <c r="F7" s="42">
        <f t="shared" si="1"/>
        <v>413.92</v>
      </c>
      <c r="H7" s="43" t="s">
        <v>430</v>
      </c>
      <c r="I7" s="44">
        <v>0.08</v>
      </c>
      <c r="J7" s="45">
        <f t="shared" si="2"/>
        <v>3675.28</v>
      </c>
      <c r="K7" s="46">
        <f t="shared" si="3"/>
        <v>9</v>
      </c>
    </row>
    <row r="8" spans="1:11" ht="15.5" x14ac:dyDescent="0.35">
      <c r="A8" s="39">
        <v>41330</v>
      </c>
      <c r="B8" s="40" t="s">
        <v>431</v>
      </c>
      <c r="C8" s="41">
        <v>21</v>
      </c>
      <c r="D8" s="41">
        <v>410</v>
      </c>
      <c r="E8" s="41">
        <f t="shared" si="0"/>
        <v>8610</v>
      </c>
      <c r="F8" s="42">
        <f t="shared" si="1"/>
        <v>861</v>
      </c>
      <c r="H8" s="43" t="s">
        <v>432</v>
      </c>
      <c r="I8" s="44">
        <v>0.1</v>
      </c>
      <c r="J8" s="45">
        <f t="shared" si="2"/>
        <v>4312.6000000000004</v>
      </c>
      <c r="K8" s="46">
        <f t="shared" si="3"/>
        <v>8</v>
      </c>
    </row>
    <row r="9" spans="1:11" ht="15.5" x14ac:dyDescent="0.35">
      <c r="A9" s="39">
        <v>41330</v>
      </c>
      <c r="B9" s="40" t="s">
        <v>427</v>
      </c>
      <c r="C9" s="41">
        <v>16</v>
      </c>
      <c r="D9" s="41">
        <v>426</v>
      </c>
      <c r="E9" s="41">
        <f t="shared" si="0"/>
        <v>6816</v>
      </c>
      <c r="F9" s="42">
        <f t="shared" si="1"/>
        <v>1090.56</v>
      </c>
      <c r="H9" s="43" t="s">
        <v>433</v>
      </c>
      <c r="I9" s="44">
        <v>0.08</v>
      </c>
      <c r="J9" s="45">
        <f t="shared" si="2"/>
        <v>4006.3199999999997</v>
      </c>
      <c r="K9" s="46">
        <f t="shared" si="3"/>
        <v>6</v>
      </c>
    </row>
    <row r="10" spans="1:11" ht="15.5" x14ac:dyDescent="0.35">
      <c r="A10" s="39">
        <v>41330</v>
      </c>
      <c r="B10" s="40" t="s">
        <v>434</v>
      </c>
      <c r="C10" s="41">
        <v>15</v>
      </c>
      <c r="D10" s="41">
        <v>439</v>
      </c>
      <c r="E10" s="41">
        <f t="shared" si="0"/>
        <v>6585</v>
      </c>
      <c r="F10" s="42">
        <f t="shared" si="1"/>
        <v>987.75</v>
      </c>
      <c r="H10" s="43" t="s">
        <v>435</v>
      </c>
      <c r="I10" s="44">
        <v>0.13</v>
      </c>
      <c r="J10" s="45">
        <f t="shared" si="2"/>
        <v>2189.85</v>
      </c>
      <c r="K10" s="46">
        <f t="shared" si="3"/>
        <v>3</v>
      </c>
    </row>
    <row r="11" spans="1:11" ht="15.5" x14ac:dyDescent="0.35">
      <c r="A11" s="39">
        <v>41330</v>
      </c>
      <c r="B11" s="40" t="s">
        <v>432</v>
      </c>
      <c r="C11" s="41">
        <v>12</v>
      </c>
      <c r="D11" s="41">
        <v>444</v>
      </c>
      <c r="E11" s="41">
        <f t="shared" si="0"/>
        <v>5328</v>
      </c>
      <c r="F11" s="42">
        <f t="shared" si="1"/>
        <v>532.80000000000007</v>
      </c>
      <c r="H11" s="43" t="s">
        <v>434</v>
      </c>
      <c r="I11" s="44">
        <v>0.15</v>
      </c>
      <c r="J11" s="45">
        <f t="shared" si="2"/>
        <v>5193.45</v>
      </c>
      <c r="K11" s="46">
        <f t="shared" si="3"/>
        <v>5</v>
      </c>
    </row>
    <row r="12" spans="1:11" ht="15.5" x14ac:dyDescent="0.35">
      <c r="A12" s="39">
        <v>41331</v>
      </c>
      <c r="B12" s="40" t="s">
        <v>430</v>
      </c>
      <c r="C12" s="41">
        <v>15</v>
      </c>
      <c r="D12" s="41">
        <v>399</v>
      </c>
      <c r="E12" s="41">
        <f t="shared" si="0"/>
        <v>5985</v>
      </c>
      <c r="F12" s="42">
        <f t="shared" si="1"/>
        <v>478.8</v>
      </c>
      <c r="H12" s="43" t="s">
        <v>436</v>
      </c>
      <c r="I12" s="44">
        <v>0.09</v>
      </c>
      <c r="J12" s="45">
        <f t="shared" si="2"/>
        <v>3680.1000000000004</v>
      </c>
      <c r="K12" s="46">
        <f t="shared" si="3"/>
        <v>3</v>
      </c>
    </row>
    <row r="13" spans="1:11" ht="15.5" x14ac:dyDescent="0.35">
      <c r="A13" s="39">
        <v>41331</v>
      </c>
      <c r="B13" s="40" t="s">
        <v>433</v>
      </c>
      <c r="C13" s="41">
        <v>30</v>
      </c>
      <c r="D13" s="41">
        <v>380</v>
      </c>
      <c r="E13" s="41">
        <f t="shared" si="0"/>
        <v>11400</v>
      </c>
      <c r="F13" s="42">
        <f t="shared" si="1"/>
        <v>912</v>
      </c>
      <c r="H13" s="43" t="s">
        <v>437</v>
      </c>
      <c r="I13" s="44">
        <v>0.08</v>
      </c>
      <c r="J13" s="45">
        <f t="shared" si="2"/>
        <v>2677.28</v>
      </c>
      <c r="K13" s="46">
        <f t="shared" si="3"/>
        <v>5</v>
      </c>
    </row>
    <row r="14" spans="1:11" ht="15.5" x14ac:dyDescent="0.35">
      <c r="A14" s="39">
        <v>41331</v>
      </c>
      <c r="B14" s="40" t="s">
        <v>435</v>
      </c>
      <c r="C14" s="41">
        <v>15</v>
      </c>
      <c r="D14" s="41">
        <v>442</v>
      </c>
      <c r="E14" s="41">
        <f t="shared" si="0"/>
        <v>6630</v>
      </c>
      <c r="F14" s="42">
        <f t="shared" si="1"/>
        <v>861.9</v>
      </c>
      <c r="H14" s="43" t="s">
        <v>438</v>
      </c>
      <c r="I14" s="44">
        <v>0.16</v>
      </c>
      <c r="J14" s="45">
        <f t="shared" si="2"/>
        <v>5616.9600000000009</v>
      </c>
      <c r="K14" s="46">
        <f t="shared" si="3"/>
        <v>5</v>
      </c>
    </row>
    <row r="15" spans="1:11" ht="15.5" x14ac:dyDescent="0.35">
      <c r="A15" s="39">
        <v>41331</v>
      </c>
      <c r="B15" s="40" t="s">
        <v>427</v>
      </c>
      <c r="C15" s="41">
        <v>18</v>
      </c>
      <c r="D15" s="41">
        <v>413</v>
      </c>
      <c r="E15" s="41">
        <f t="shared" si="0"/>
        <v>7434</v>
      </c>
      <c r="F15" s="42">
        <f t="shared" si="1"/>
        <v>1189.44</v>
      </c>
      <c r="H15" s="43" t="s">
        <v>439</v>
      </c>
      <c r="I15" s="44">
        <v>0.14000000000000001</v>
      </c>
      <c r="J15" s="45">
        <f t="shared" si="2"/>
        <v>1344.0000000000002</v>
      </c>
      <c r="K15" s="46">
        <f t="shared" si="3"/>
        <v>2</v>
      </c>
    </row>
    <row r="16" spans="1:11" ht="15.5" x14ac:dyDescent="0.35">
      <c r="A16" s="39">
        <v>41331</v>
      </c>
      <c r="B16" s="40" t="s">
        <v>436</v>
      </c>
      <c r="C16" s="41">
        <v>29</v>
      </c>
      <c r="D16" s="41">
        <v>470</v>
      </c>
      <c r="E16" s="41">
        <f t="shared" si="0"/>
        <v>13630</v>
      </c>
      <c r="F16" s="42">
        <f t="shared" si="1"/>
        <v>1226.7</v>
      </c>
      <c r="H16" s="43" t="s">
        <v>431</v>
      </c>
      <c r="I16" s="44">
        <v>0.1</v>
      </c>
      <c r="J16" s="45">
        <f t="shared" si="2"/>
        <v>4083</v>
      </c>
      <c r="K16" s="46">
        <f t="shared" si="3"/>
        <v>6</v>
      </c>
    </row>
    <row r="17" spans="1:11" ht="15.5" x14ac:dyDescent="0.35">
      <c r="A17" s="39">
        <v>41331</v>
      </c>
      <c r="B17" s="40" t="s">
        <v>437</v>
      </c>
      <c r="C17" s="41">
        <v>14</v>
      </c>
      <c r="D17" s="41">
        <v>422</v>
      </c>
      <c r="E17" s="41">
        <f t="shared" si="0"/>
        <v>5908</v>
      </c>
      <c r="F17" s="42">
        <f t="shared" si="1"/>
        <v>472.64</v>
      </c>
      <c r="H17" s="43" t="s">
        <v>427</v>
      </c>
      <c r="I17" s="44">
        <v>0.16</v>
      </c>
      <c r="J17" s="45">
        <f t="shared" si="2"/>
        <v>7421.6</v>
      </c>
      <c r="K17" s="46">
        <f t="shared" si="3"/>
        <v>7</v>
      </c>
    </row>
    <row r="18" spans="1:11" ht="15.5" x14ac:dyDescent="0.35">
      <c r="A18" s="39">
        <v>41332</v>
      </c>
      <c r="B18" s="40" t="s">
        <v>438</v>
      </c>
      <c r="C18" s="41">
        <v>9</v>
      </c>
      <c r="D18" s="41">
        <v>399</v>
      </c>
      <c r="E18" s="41">
        <f t="shared" si="0"/>
        <v>3591</v>
      </c>
      <c r="F18" s="42">
        <f t="shared" si="1"/>
        <v>574.56000000000006</v>
      </c>
      <c r="H18" s="43" t="s">
        <v>440</v>
      </c>
      <c r="I18" s="44">
        <v>0.18</v>
      </c>
      <c r="J18" s="45">
        <f t="shared" si="2"/>
        <v>1739.52</v>
      </c>
      <c r="K18" s="46">
        <f t="shared" si="3"/>
        <v>2</v>
      </c>
    </row>
    <row r="19" spans="1:11" ht="15.5" x14ac:dyDescent="0.35">
      <c r="A19" s="39">
        <v>41332</v>
      </c>
      <c r="B19" s="40" t="s">
        <v>439</v>
      </c>
      <c r="C19" s="41">
        <v>12</v>
      </c>
      <c r="D19" s="41">
        <v>400</v>
      </c>
      <c r="E19" s="41">
        <f t="shared" si="0"/>
        <v>4800</v>
      </c>
      <c r="F19" s="42">
        <f t="shared" si="1"/>
        <v>672.00000000000011</v>
      </c>
      <c r="H19" s="43" t="s">
        <v>441</v>
      </c>
      <c r="I19" s="44">
        <v>0.1</v>
      </c>
      <c r="J19" s="45">
        <f t="shared" si="2"/>
        <v>3326.3999999999996</v>
      </c>
      <c r="K19" s="46">
        <f t="shared" si="3"/>
        <v>3</v>
      </c>
    </row>
    <row r="20" spans="1:11" x14ac:dyDescent="0.35">
      <c r="A20" s="39">
        <v>41332</v>
      </c>
      <c r="B20" s="40" t="s">
        <v>431</v>
      </c>
      <c r="C20" s="41">
        <v>8</v>
      </c>
      <c r="D20" s="41">
        <v>500</v>
      </c>
      <c r="E20" s="41">
        <f t="shared" si="0"/>
        <v>4000</v>
      </c>
      <c r="F20" s="42">
        <f t="shared" si="1"/>
        <v>400</v>
      </c>
    </row>
    <row r="21" spans="1:11" x14ac:dyDescent="0.35">
      <c r="A21" s="39">
        <v>41332</v>
      </c>
      <c r="B21" s="40" t="s">
        <v>427</v>
      </c>
      <c r="C21" s="41">
        <v>19</v>
      </c>
      <c r="D21" s="41">
        <v>475</v>
      </c>
      <c r="E21" s="41">
        <f t="shared" si="0"/>
        <v>9025</v>
      </c>
      <c r="F21" s="42">
        <f t="shared" si="1"/>
        <v>1444</v>
      </c>
    </row>
    <row r="22" spans="1:11" x14ac:dyDescent="0.35">
      <c r="A22" s="39">
        <v>41332</v>
      </c>
      <c r="B22" s="40" t="s">
        <v>426</v>
      </c>
      <c r="C22" s="41">
        <v>14</v>
      </c>
      <c r="D22" s="41">
        <v>387</v>
      </c>
      <c r="E22" s="41">
        <f t="shared" si="0"/>
        <v>5418</v>
      </c>
      <c r="F22" s="42">
        <f t="shared" si="1"/>
        <v>325.08</v>
      </c>
      <c r="H22" t="s">
        <v>442</v>
      </c>
    </row>
    <row r="23" spans="1:11" x14ac:dyDescent="0.35">
      <c r="A23" s="39">
        <v>41332</v>
      </c>
      <c r="B23" s="40" t="s">
        <v>441</v>
      </c>
      <c r="C23" s="41">
        <v>24</v>
      </c>
      <c r="D23" s="41">
        <v>462</v>
      </c>
      <c r="E23" s="41">
        <f t="shared" si="0"/>
        <v>11088</v>
      </c>
      <c r="F23" s="42">
        <f t="shared" si="1"/>
        <v>1108.8</v>
      </c>
    </row>
    <row r="24" spans="1:11" x14ac:dyDescent="0.35">
      <c r="A24" s="39">
        <v>41332</v>
      </c>
      <c r="B24" s="40" t="s">
        <v>428</v>
      </c>
      <c r="C24" s="41">
        <v>13</v>
      </c>
      <c r="D24" s="41">
        <v>452</v>
      </c>
      <c r="E24" s="41">
        <f t="shared" si="0"/>
        <v>5876</v>
      </c>
      <c r="F24" s="42">
        <f t="shared" si="1"/>
        <v>411.32000000000005</v>
      </c>
      <c r="H24" t="s">
        <v>443</v>
      </c>
    </row>
    <row r="25" spans="1:11" x14ac:dyDescent="0.35">
      <c r="A25" s="39">
        <v>41332</v>
      </c>
      <c r="B25" s="40" t="s">
        <v>437</v>
      </c>
      <c r="C25" s="41">
        <v>17</v>
      </c>
      <c r="D25" s="41">
        <v>463</v>
      </c>
      <c r="E25" s="41">
        <f t="shared" si="0"/>
        <v>7871</v>
      </c>
      <c r="F25" s="42">
        <f t="shared" si="1"/>
        <v>629.68000000000006</v>
      </c>
    </row>
    <row r="26" spans="1:11" x14ac:dyDescent="0.35">
      <c r="A26" s="39">
        <v>41332</v>
      </c>
      <c r="B26" s="40" t="s">
        <v>429</v>
      </c>
      <c r="C26" s="41">
        <v>15</v>
      </c>
      <c r="D26" s="41">
        <v>400</v>
      </c>
      <c r="E26" s="41">
        <f t="shared" si="0"/>
        <v>6000</v>
      </c>
      <c r="F26" s="42">
        <f t="shared" si="1"/>
        <v>660</v>
      </c>
    </row>
    <row r="27" spans="1:11" x14ac:dyDescent="0.35">
      <c r="A27" s="39">
        <v>41333</v>
      </c>
      <c r="B27" s="40" t="s">
        <v>438</v>
      </c>
      <c r="C27" s="41">
        <v>23</v>
      </c>
      <c r="D27" s="41">
        <v>405</v>
      </c>
      <c r="E27" s="41">
        <f t="shared" si="0"/>
        <v>9315</v>
      </c>
      <c r="F27" s="42">
        <f t="shared" si="1"/>
        <v>1490.4</v>
      </c>
    </row>
    <row r="28" spans="1:11" x14ac:dyDescent="0.35">
      <c r="A28" s="39">
        <v>41333</v>
      </c>
      <c r="B28" s="40" t="s">
        <v>430</v>
      </c>
      <c r="C28" s="41">
        <v>10</v>
      </c>
      <c r="D28" s="41">
        <v>439</v>
      </c>
      <c r="E28" s="41">
        <f t="shared" si="0"/>
        <v>4390</v>
      </c>
      <c r="F28" s="42">
        <f t="shared" si="1"/>
        <v>351.2</v>
      </c>
    </row>
    <row r="29" spans="1:11" x14ac:dyDescent="0.35">
      <c r="A29" s="39">
        <v>41333</v>
      </c>
      <c r="B29" s="40" t="s">
        <v>433</v>
      </c>
      <c r="C29" s="41">
        <v>20</v>
      </c>
      <c r="D29" s="41">
        <v>429</v>
      </c>
      <c r="E29" s="41">
        <f t="shared" si="0"/>
        <v>8580</v>
      </c>
      <c r="F29" s="42">
        <f t="shared" si="1"/>
        <v>686.4</v>
      </c>
    </row>
    <row r="30" spans="1:11" x14ac:dyDescent="0.35">
      <c r="A30" s="39">
        <v>41333</v>
      </c>
      <c r="B30" s="40" t="s">
        <v>440</v>
      </c>
      <c r="C30" s="41">
        <v>19</v>
      </c>
      <c r="D30" s="41">
        <v>256</v>
      </c>
      <c r="E30" s="41">
        <f t="shared" si="0"/>
        <v>4864</v>
      </c>
      <c r="F30" s="42">
        <f t="shared" si="1"/>
        <v>875.52</v>
      </c>
    </row>
    <row r="31" spans="1:11" x14ac:dyDescent="0.35">
      <c r="A31" s="39">
        <v>41333</v>
      </c>
      <c r="B31" s="40" t="s">
        <v>426</v>
      </c>
      <c r="C31" s="41">
        <v>10</v>
      </c>
      <c r="D31" s="41">
        <v>452</v>
      </c>
      <c r="E31" s="41">
        <f t="shared" si="0"/>
        <v>4520</v>
      </c>
      <c r="F31" s="42">
        <f t="shared" si="1"/>
        <v>271.2</v>
      </c>
    </row>
    <row r="32" spans="1:11" x14ac:dyDescent="0.35">
      <c r="A32" s="39">
        <v>41333</v>
      </c>
      <c r="B32" s="40" t="s">
        <v>432</v>
      </c>
      <c r="C32" s="41">
        <v>8</v>
      </c>
      <c r="D32" s="41">
        <v>356</v>
      </c>
      <c r="E32" s="41">
        <f t="shared" si="0"/>
        <v>2848</v>
      </c>
      <c r="F32" s="42">
        <f t="shared" si="1"/>
        <v>284.8</v>
      </c>
    </row>
    <row r="33" spans="1:6" x14ac:dyDescent="0.35">
      <c r="A33" s="39">
        <v>41333</v>
      </c>
      <c r="B33" s="40" t="s">
        <v>429</v>
      </c>
      <c r="C33" s="41">
        <v>25</v>
      </c>
      <c r="D33" s="41">
        <v>400</v>
      </c>
      <c r="E33" s="41">
        <f t="shared" si="0"/>
        <v>10000</v>
      </c>
      <c r="F33" s="42">
        <f t="shared" si="1"/>
        <v>1100</v>
      </c>
    </row>
    <row r="34" spans="1:6" x14ac:dyDescent="0.35">
      <c r="A34" s="39">
        <v>41333</v>
      </c>
      <c r="B34" s="40" t="s">
        <v>430</v>
      </c>
      <c r="C34" s="41">
        <v>13</v>
      </c>
      <c r="D34" s="41">
        <v>398</v>
      </c>
      <c r="E34" s="41">
        <f t="shared" si="0"/>
        <v>5174</v>
      </c>
      <c r="F34" s="42">
        <f t="shared" si="1"/>
        <v>413.92</v>
      </c>
    </row>
    <row r="35" spans="1:6" x14ac:dyDescent="0.35">
      <c r="A35" s="39">
        <v>41334</v>
      </c>
      <c r="B35" s="40" t="s">
        <v>431</v>
      </c>
      <c r="C35" s="41">
        <v>21</v>
      </c>
      <c r="D35" s="41">
        <v>410</v>
      </c>
      <c r="E35" s="41">
        <f t="shared" si="0"/>
        <v>8610</v>
      </c>
      <c r="F35" s="42">
        <f t="shared" si="1"/>
        <v>861</v>
      </c>
    </row>
    <row r="36" spans="1:6" x14ac:dyDescent="0.35">
      <c r="A36" s="39">
        <v>41334</v>
      </c>
      <c r="B36" s="40" t="s">
        <v>428</v>
      </c>
      <c r="C36" s="41">
        <v>16</v>
      </c>
      <c r="D36" s="41">
        <v>426</v>
      </c>
      <c r="E36" s="41">
        <f t="shared" si="0"/>
        <v>6816</v>
      </c>
      <c r="F36" s="42">
        <f t="shared" si="1"/>
        <v>477.12000000000006</v>
      </c>
    </row>
    <row r="37" spans="1:6" x14ac:dyDescent="0.35">
      <c r="A37" s="39">
        <v>41334</v>
      </c>
      <c r="B37" s="40" t="s">
        <v>434</v>
      </c>
      <c r="C37" s="41">
        <v>15</v>
      </c>
      <c r="D37" s="41">
        <v>439</v>
      </c>
      <c r="E37" s="41">
        <f t="shared" si="0"/>
        <v>6585</v>
      </c>
      <c r="F37" s="42">
        <f t="shared" si="1"/>
        <v>987.75</v>
      </c>
    </row>
    <row r="38" spans="1:6" x14ac:dyDescent="0.35">
      <c r="A38" s="39">
        <v>41334</v>
      </c>
      <c r="B38" s="40" t="s">
        <v>432</v>
      </c>
      <c r="C38" s="41">
        <v>12</v>
      </c>
      <c r="D38" s="41">
        <v>444</v>
      </c>
      <c r="E38" s="41">
        <f t="shared" si="0"/>
        <v>5328</v>
      </c>
      <c r="F38" s="42">
        <f t="shared" si="1"/>
        <v>532.80000000000007</v>
      </c>
    </row>
    <row r="39" spans="1:6" x14ac:dyDescent="0.35">
      <c r="A39" s="39">
        <v>41334</v>
      </c>
      <c r="B39" s="40" t="s">
        <v>430</v>
      </c>
      <c r="C39" s="41">
        <v>15</v>
      </c>
      <c r="D39" s="41">
        <v>399</v>
      </c>
      <c r="E39" s="41">
        <f t="shared" si="0"/>
        <v>5985</v>
      </c>
      <c r="F39" s="42">
        <f t="shared" si="1"/>
        <v>478.8</v>
      </c>
    </row>
    <row r="40" spans="1:6" x14ac:dyDescent="0.35">
      <c r="A40" s="39">
        <v>41334</v>
      </c>
      <c r="B40" s="40" t="s">
        <v>433</v>
      </c>
      <c r="C40" s="41">
        <v>30</v>
      </c>
      <c r="D40" s="41">
        <v>380</v>
      </c>
      <c r="E40" s="41">
        <f t="shared" si="0"/>
        <v>11400</v>
      </c>
      <c r="F40" s="42">
        <f t="shared" si="1"/>
        <v>912</v>
      </c>
    </row>
    <row r="41" spans="1:6" x14ac:dyDescent="0.35">
      <c r="A41" s="39">
        <v>41334</v>
      </c>
      <c r="B41" s="40" t="s">
        <v>435</v>
      </c>
      <c r="C41" s="41">
        <v>15</v>
      </c>
      <c r="D41" s="41">
        <v>239</v>
      </c>
      <c r="E41" s="41">
        <f t="shared" si="0"/>
        <v>3585</v>
      </c>
      <c r="F41" s="42">
        <f t="shared" si="1"/>
        <v>466.05</v>
      </c>
    </row>
    <row r="42" spans="1:6" x14ac:dyDescent="0.35">
      <c r="A42" s="39">
        <v>41334</v>
      </c>
      <c r="B42" s="40" t="s">
        <v>434</v>
      </c>
      <c r="C42" s="41">
        <v>18</v>
      </c>
      <c r="D42" s="41">
        <v>413</v>
      </c>
      <c r="E42" s="41">
        <f t="shared" si="0"/>
        <v>7434</v>
      </c>
      <c r="F42" s="42">
        <f t="shared" si="1"/>
        <v>1115.0999999999999</v>
      </c>
    </row>
    <row r="43" spans="1:6" x14ac:dyDescent="0.35">
      <c r="A43" s="39">
        <v>41334</v>
      </c>
      <c r="B43" s="40" t="s">
        <v>436</v>
      </c>
      <c r="C43" s="41">
        <v>29</v>
      </c>
      <c r="D43" s="41">
        <v>470</v>
      </c>
      <c r="E43" s="41">
        <f t="shared" si="0"/>
        <v>13630</v>
      </c>
      <c r="F43" s="42">
        <f t="shared" si="1"/>
        <v>1226.7</v>
      </c>
    </row>
    <row r="44" spans="1:6" x14ac:dyDescent="0.35">
      <c r="A44" s="39">
        <v>41335</v>
      </c>
      <c r="B44" s="40" t="s">
        <v>437</v>
      </c>
      <c r="C44" s="41">
        <v>14</v>
      </c>
      <c r="D44" s="41">
        <v>422</v>
      </c>
      <c r="E44" s="41">
        <f t="shared" si="0"/>
        <v>5908</v>
      </c>
      <c r="F44" s="42">
        <f t="shared" si="1"/>
        <v>472.64</v>
      </c>
    </row>
    <row r="45" spans="1:6" x14ac:dyDescent="0.35">
      <c r="A45" s="39">
        <v>41335</v>
      </c>
      <c r="B45" s="40" t="s">
        <v>427</v>
      </c>
      <c r="C45" s="41">
        <v>13</v>
      </c>
      <c r="D45" s="41">
        <v>399</v>
      </c>
      <c r="E45" s="41">
        <f t="shared" si="0"/>
        <v>5187</v>
      </c>
      <c r="F45" s="42">
        <f t="shared" si="1"/>
        <v>829.92000000000007</v>
      </c>
    </row>
    <row r="46" spans="1:6" x14ac:dyDescent="0.35">
      <c r="A46" s="39">
        <v>41335</v>
      </c>
      <c r="B46" s="40" t="s">
        <v>440</v>
      </c>
      <c r="C46" s="41">
        <v>12</v>
      </c>
      <c r="D46" s="41">
        <v>400</v>
      </c>
      <c r="E46" s="41">
        <f t="shared" si="0"/>
        <v>4800</v>
      </c>
      <c r="F46" s="42">
        <f t="shared" si="1"/>
        <v>864</v>
      </c>
    </row>
    <row r="47" spans="1:6" x14ac:dyDescent="0.35">
      <c r="A47" s="39">
        <v>41335</v>
      </c>
      <c r="B47" s="40" t="s">
        <v>431</v>
      </c>
      <c r="C47" s="41">
        <v>14</v>
      </c>
      <c r="D47" s="41">
        <v>500</v>
      </c>
      <c r="E47" s="41">
        <f t="shared" si="0"/>
        <v>7000</v>
      </c>
      <c r="F47" s="42">
        <f t="shared" si="1"/>
        <v>700</v>
      </c>
    </row>
    <row r="48" spans="1:6" x14ac:dyDescent="0.35">
      <c r="A48" s="39">
        <v>41335</v>
      </c>
      <c r="B48" s="40" t="s">
        <v>427</v>
      </c>
      <c r="C48" s="41">
        <v>22</v>
      </c>
      <c r="D48" s="41">
        <v>275</v>
      </c>
      <c r="E48" s="41">
        <f t="shared" si="0"/>
        <v>6050</v>
      </c>
      <c r="F48" s="42">
        <f t="shared" si="1"/>
        <v>968</v>
      </c>
    </row>
    <row r="49" spans="1:6" x14ac:dyDescent="0.35">
      <c r="A49" s="39">
        <v>41335</v>
      </c>
      <c r="B49" s="40" t="s">
        <v>426</v>
      </c>
      <c r="C49" s="41">
        <v>14</v>
      </c>
      <c r="D49" s="41">
        <v>387</v>
      </c>
      <c r="E49" s="41">
        <f t="shared" si="0"/>
        <v>5418</v>
      </c>
      <c r="F49" s="42">
        <f t="shared" si="1"/>
        <v>325.08</v>
      </c>
    </row>
    <row r="50" spans="1:6" x14ac:dyDescent="0.35">
      <c r="A50" s="39">
        <v>41335</v>
      </c>
      <c r="B50" s="40" t="s">
        <v>441</v>
      </c>
      <c r="C50" s="41">
        <v>24</v>
      </c>
      <c r="D50" s="41">
        <v>462</v>
      </c>
      <c r="E50" s="41">
        <f t="shared" si="0"/>
        <v>11088</v>
      </c>
      <c r="F50" s="42">
        <f t="shared" si="1"/>
        <v>1108.8</v>
      </c>
    </row>
    <row r="51" spans="1:6" x14ac:dyDescent="0.35">
      <c r="A51" s="39">
        <v>41335</v>
      </c>
      <c r="B51" s="40" t="s">
        <v>428</v>
      </c>
      <c r="C51" s="41">
        <v>13</v>
      </c>
      <c r="D51" s="41">
        <v>452</v>
      </c>
      <c r="E51" s="41">
        <f t="shared" si="0"/>
        <v>5876</v>
      </c>
      <c r="F51" s="42">
        <f t="shared" si="1"/>
        <v>411.32000000000005</v>
      </c>
    </row>
    <row r="52" spans="1:6" x14ac:dyDescent="0.35">
      <c r="A52" s="39">
        <v>41335</v>
      </c>
      <c r="B52" s="40" t="s">
        <v>437</v>
      </c>
      <c r="C52" s="41">
        <v>17</v>
      </c>
      <c r="D52" s="41">
        <v>463</v>
      </c>
      <c r="E52" s="41">
        <f t="shared" si="0"/>
        <v>7871</v>
      </c>
      <c r="F52" s="42">
        <f t="shared" si="1"/>
        <v>629.68000000000006</v>
      </c>
    </row>
    <row r="53" spans="1:6" x14ac:dyDescent="0.35">
      <c r="A53" s="39">
        <v>41335</v>
      </c>
      <c r="B53" s="40" t="s">
        <v>429</v>
      </c>
      <c r="C53" s="41">
        <v>15</v>
      </c>
      <c r="D53" s="41">
        <v>400</v>
      </c>
      <c r="E53" s="41">
        <f t="shared" si="0"/>
        <v>6000</v>
      </c>
      <c r="F53" s="42">
        <f t="shared" si="1"/>
        <v>660</v>
      </c>
    </row>
    <row r="54" spans="1:6" x14ac:dyDescent="0.35">
      <c r="A54" s="39">
        <v>41335</v>
      </c>
      <c r="B54" s="40" t="s">
        <v>438</v>
      </c>
      <c r="C54" s="41">
        <v>23</v>
      </c>
      <c r="D54" s="41">
        <v>300</v>
      </c>
      <c r="E54" s="41">
        <f t="shared" si="0"/>
        <v>6900</v>
      </c>
      <c r="F54" s="42">
        <f t="shared" si="1"/>
        <v>1104</v>
      </c>
    </row>
    <row r="55" spans="1:6" x14ac:dyDescent="0.35">
      <c r="A55" s="39">
        <v>41336</v>
      </c>
      <c r="B55" s="40" t="s">
        <v>430</v>
      </c>
      <c r="C55" s="41">
        <v>10</v>
      </c>
      <c r="D55" s="41">
        <v>439</v>
      </c>
      <c r="E55" s="41">
        <f t="shared" si="0"/>
        <v>4390</v>
      </c>
      <c r="F55" s="42">
        <f t="shared" si="1"/>
        <v>351.2</v>
      </c>
    </row>
    <row r="56" spans="1:6" x14ac:dyDescent="0.35">
      <c r="A56" s="39">
        <v>41336</v>
      </c>
      <c r="B56" s="40" t="s">
        <v>433</v>
      </c>
      <c r="C56" s="41">
        <v>12</v>
      </c>
      <c r="D56" s="41">
        <v>358</v>
      </c>
      <c r="E56" s="41">
        <f t="shared" si="0"/>
        <v>4296</v>
      </c>
      <c r="F56" s="42">
        <f t="shared" si="1"/>
        <v>343.68</v>
      </c>
    </row>
    <row r="57" spans="1:6" x14ac:dyDescent="0.35">
      <c r="A57" s="39">
        <v>41336</v>
      </c>
      <c r="B57" s="40" t="s">
        <v>432</v>
      </c>
      <c r="C57" s="41">
        <v>19</v>
      </c>
      <c r="D57" s="41">
        <v>456</v>
      </c>
      <c r="E57" s="41">
        <f t="shared" si="0"/>
        <v>8664</v>
      </c>
      <c r="F57" s="42">
        <f t="shared" si="1"/>
        <v>866.40000000000009</v>
      </c>
    </row>
    <row r="58" spans="1:6" x14ac:dyDescent="0.35">
      <c r="A58" s="39">
        <v>41336</v>
      </c>
      <c r="B58" s="40" t="s">
        <v>426</v>
      </c>
      <c r="C58" s="41">
        <v>10</v>
      </c>
      <c r="D58" s="41">
        <v>452</v>
      </c>
      <c r="E58" s="41">
        <f t="shared" si="0"/>
        <v>4520</v>
      </c>
      <c r="F58" s="42">
        <f t="shared" si="1"/>
        <v>271.2</v>
      </c>
    </row>
    <row r="59" spans="1:6" x14ac:dyDescent="0.35">
      <c r="A59" s="39">
        <v>41336</v>
      </c>
      <c r="B59" s="40" t="s">
        <v>432</v>
      </c>
      <c r="C59" s="41">
        <v>8</v>
      </c>
      <c r="D59" s="41">
        <v>356</v>
      </c>
      <c r="E59" s="41">
        <f t="shared" si="0"/>
        <v>2848</v>
      </c>
      <c r="F59" s="42">
        <f t="shared" si="1"/>
        <v>284.8</v>
      </c>
    </row>
    <row r="60" spans="1:6" x14ac:dyDescent="0.35">
      <c r="A60" s="39">
        <v>41336</v>
      </c>
      <c r="B60" s="40" t="s">
        <v>429</v>
      </c>
      <c r="C60" s="41">
        <v>18</v>
      </c>
      <c r="D60" s="41">
        <v>400</v>
      </c>
      <c r="E60" s="41">
        <f t="shared" si="0"/>
        <v>7200</v>
      </c>
      <c r="F60" s="42">
        <f t="shared" si="1"/>
        <v>792</v>
      </c>
    </row>
    <row r="61" spans="1:6" x14ac:dyDescent="0.35">
      <c r="A61" s="39">
        <v>41336</v>
      </c>
      <c r="B61" s="40" t="s">
        <v>432</v>
      </c>
      <c r="C61" s="41">
        <v>13</v>
      </c>
      <c r="D61" s="41">
        <v>398</v>
      </c>
      <c r="E61" s="41">
        <f t="shared" si="0"/>
        <v>5174</v>
      </c>
      <c r="F61" s="42">
        <f t="shared" si="1"/>
        <v>517.4</v>
      </c>
    </row>
    <row r="62" spans="1:6" x14ac:dyDescent="0.35">
      <c r="A62" s="39">
        <v>41336</v>
      </c>
      <c r="B62" s="40" t="s">
        <v>431</v>
      </c>
      <c r="C62" s="41">
        <v>21</v>
      </c>
      <c r="D62" s="41">
        <v>410</v>
      </c>
      <c r="E62" s="41">
        <f t="shared" si="0"/>
        <v>8610</v>
      </c>
      <c r="F62" s="42">
        <f t="shared" si="1"/>
        <v>861</v>
      </c>
    </row>
    <row r="63" spans="1:6" x14ac:dyDescent="0.35">
      <c r="A63" s="39">
        <v>41336</v>
      </c>
      <c r="B63" s="40" t="s">
        <v>428</v>
      </c>
      <c r="C63" s="41">
        <v>16</v>
      </c>
      <c r="D63" s="41">
        <v>426</v>
      </c>
      <c r="E63" s="41">
        <f t="shared" si="0"/>
        <v>6816</v>
      </c>
      <c r="F63" s="42">
        <f t="shared" si="1"/>
        <v>477.12000000000006</v>
      </c>
    </row>
    <row r="64" spans="1:6" x14ac:dyDescent="0.35">
      <c r="A64" s="39">
        <v>41336</v>
      </c>
      <c r="B64" s="40" t="s">
        <v>434</v>
      </c>
      <c r="C64" s="41">
        <v>15</v>
      </c>
      <c r="D64" s="41">
        <v>439</v>
      </c>
      <c r="E64" s="41">
        <f t="shared" si="0"/>
        <v>6585</v>
      </c>
      <c r="F64" s="42">
        <f t="shared" si="1"/>
        <v>987.75</v>
      </c>
    </row>
    <row r="65" spans="1:6" x14ac:dyDescent="0.35">
      <c r="A65" s="39">
        <v>41336</v>
      </c>
      <c r="B65" s="40" t="s">
        <v>432</v>
      </c>
      <c r="C65" s="41">
        <v>12</v>
      </c>
      <c r="D65" s="41">
        <v>356</v>
      </c>
      <c r="E65" s="41">
        <f t="shared" si="0"/>
        <v>4272</v>
      </c>
      <c r="F65" s="42">
        <f t="shared" si="1"/>
        <v>427.20000000000005</v>
      </c>
    </row>
    <row r="66" spans="1:6" x14ac:dyDescent="0.35">
      <c r="A66" s="39">
        <v>41336</v>
      </c>
      <c r="B66" s="40" t="s">
        <v>430</v>
      </c>
      <c r="C66" s="41">
        <v>15</v>
      </c>
      <c r="D66" s="41">
        <v>285</v>
      </c>
      <c r="E66" s="41">
        <f t="shared" si="0"/>
        <v>4275</v>
      </c>
      <c r="F66" s="42">
        <f t="shared" si="1"/>
        <v>342</v>
      </c>
    </row>
    <row r="67" spans="1:6" x14ac:dyDescent="0.35">
      <c r="A67" s="39">
        <v>41336</v>
      </c>
      <c r="B67" s="40" t="s">
        <v>433</v>
      </c>
      <c r="C67" s="41">
        <v>30</v>
      </c>
      <c r="D67" s="41">
        <v>380</v>
      </c>
      <c r="E67" s="41">
        <f t="shared" si="0"/>
        <v>11400</v>
      </c>
      <c r="F67" s="42">
        <f t="shared" si="1"/>
        <v>912</v>
      </c>
    </row>
    <row r="68" spans="1:6" x14ac:dyDescent="0.35">
      <c r="A68" s="39">
        <v>41337</v>
      </c>
      <c r="B68" s="40" t="s">
        <v>435</v>
      </c>
      <c r="C68" s="41">
        <v>15</v>
      </c>
      <c r="D68" s="41">
        <v>442</v>
      </c>
      <c r="E68" s="41">
        <f t="shared" ref="E68:E84" si="4">C68*D68</f>
        <v>6630</v>
      </c>
      <c r="F68" s="42">
        <f t="shared" si="1"/>
        <v>861.9</v>
      </c>
    </row>
    <row r="69" spans="1:6" x14ac:dyDescent="0.35">
      <c r="A69" s="39">
        <v>41338</v>
      </c>
      <c r="B69" s="40" t="s">
        <v>434</v>
      </c>
      <c r="C69" s="41">
        <v>18</v>
      </c>
      <c r="D69" s="41">
        <v>413</v>
      </c>
      <c r="E69" s="41">
        <f t="shared" si="4"/>
        <v>7434</v>
      </c>
      <c r="F69" s="42">
        <f t="shared" ref="F69:F84" si="5">VLOOKUP(B69,$H$4:$I$19,2,FALSE)*E69</f>
        <v>1115.0999999999999</v>
      </c>
    </row>
    <row r="70" spans="1:6" x14ac:dyDescent="0.35">
      <c r="A70" s="39">
        <v>41338</v>
      </c>
      <c r="B70" s="40" t="s">
        <v>436</v>
      </c>
      <c r="C70" s="41">
        <v>29</v>
      </c>
      <c r="D70" s="41">
        <v>470</v>
      </c>
      <c r="E70" s="41">
        <f t="shared" si="4"/>
        <v>13630</v>
      </c>
      <c r="F70" s="42">
        <f t="shared" si="5"/>
        <v>1226.7</v>
      </c>
    </row>
    <row r="71" spans="1:6" x14ac:dyDescent="0.35">
      <c r="A71" s="39">
        <v>41338</v>
      </c>
      <c r="B71" s="40" t="s">
        <v>437</v>
      </c>
      <c r="C71" s="41">
        <v>14</v>
      </c>
      <c r="D71" s="41">
        <v>422</v>
      </c>
      <c r="E71" s="41">
        <f t="shared" si="4"/>
        <v>5908</v>
      </c>
      <c r="F71" s="42">
        <f t="shared" si="5"/>
        <v>472.64</v>
      </c>
    </row>
    <row r="72" spans="1:6" x14ac:dyDescent="0.35">
      <c r="A72" s="39">
        <v>41338</v>
      </c>
      <c r="B72" s="40" t="s">
        <v>438</v>
      </c>
      <c r="C72" s="41">
        <v>15</v>
      </c>
      <c r="D72" s="41">
        <v>399</v>
      </c>
      <c r="E72" s="41">
        <f t="shared" si="4"/>
        <v>5985</v>
      </c>
      <c r="F72" s="42">
        <f t="shared" si="5"/>
        <v>957.6</v>
      </c>
    </row>
    <row r="73" spans="1:6" x14ac:dyDescent="0.35">
      <c r="A73" s="39">
        <v>41338</v>
      </c>
      <c r="B73" s="40" t="s">
        <v>439</v>
      </c>
      <c r="C73" s="41">
        <v>12</v>
      </c>
      <c r="D73" s="41">
        <v>400</v>
      </c>
      <c r="E73" s="41">
        <f t="shared" si="4"/>
        <v>4800</v>
      </c>
      <c r="F73" s="42">
        <f t="shared" si="5"/>
        <v>672.00000000000011</v>
      </c>
    </row>
    <row r="74" spans="1:6" x14ac:dyDescent="0.35">
      <c r="A74" s="39">
        <v>41338</v>
      </c>
      <c r="B74" s="40" t="s">
        <v>431</v>
      </c>
      <c r="C74" s="41">
        <v>8</v>
      </c>
      <c r="D74" s="41">
        <v>500</v>
      </c>
      <c r="E74" s="41">
        <f t="shared" si="4"/>
        <v>4000</v>
      </c>
      <c r="F74" s="42">
        <f t="shared" si="5"/>
        <v>400</v>
      </c>
    </row>
    <row r="75" spans="1:6" x14ac:dyDescent="0.35">
      <c r="A75" s="39">
        <v>41338</v>
      </c>
      <c r="B75" s="40" t="s">
        <v>427</v>
      </c>
      <c r="C75" s="41">
        <v>19</v>
      </c>
      <c r="D75" s="41">
        <v>475</v>
      </c>
      <c r="E75" s="41">
        <f t="shared" si="4"/>
        <v>9025</v>
      </c>
      <c r="F75" s="42">
        <f t="shared" si="5"/>
        <v>1444</v>
      </c>
    </row>
    <row r="76" spans="1:6" x14ac:dyDescent="0.35">
      <c r="A76" s="39">
        <v>41338</v>
      </c>
      <c r="B76" s="40" t="s">
        <v>426</v>
      </c>
      <c r="C76" s="41">
        <v>14</v>
      </c>
      <c r="D76" s="41">
        <v>387</v>
      </c>
      <c r="E76" s="41">
        <f t="shared" si="4"/>
        <v>5418</v>
      </c>
      <c r="F76" s="42">
        <f t="shared" si="5"/>
        <v>325.08</v>
      </c>
    </row>
    <row r="77" spans="1:6" x14ac:dyDescent="0.35">
      <c r="A77" s="39">
        <v>41339</v>
      </c>
      <c r="B77" s="40" t="s">
        <v>441</v>
      </c>
      <c r="C77" s="41">
        <v>24</v>
      </c>
      <c r="D77" s="41">
        <v>462</v>
      </c>
      <c r="E77" s="41">
        <f t="shared" si="4"/>
        <v>11088</v>
      </c>
      <c r="F77" s="42">
        <f t="shared" si="5"/>
        <v>1108.8</v>
      </c>
    </row>
    <row r="78" spans="1:6" x14ac:dyDescent="0.35">
      <c r="A78" s="39">
        <v>41339</v>
      </c>
      <c r="B78" s="40" t="s">
        <v>428</v>
      </c>
      <c r="C78" s="41">
        <v>13</v>
      </c>
      <c r="D78" s="41">
        <v>452</v>
      </c>
      <c r="E78" s="41">
        <f t="shared" si="4"/>
        <v>5876</v>
      </c>
      <c r="F78" s="42">
        <f t="shared" si="5"/>
        <v>411.32000000000005</v>
      </c>
    </row>
    <row r="79" spans="1:6" x14ac:dyDescent="0.35">
      <c r="A79" s="39">
        <v>41339</v>
      </c>
      <c r="B79" s="40" t="s">
        <v>430</v>
      </c>
      <c r="C79" s="41">
        <v>17</v>
      </c>
      <c r="D79" s="41">
        <v>312</v>
      </c>
      <c r="E79" s="41">
        <f t="shared" si="4"/>
        <v>5304</v>
      </c>
      <c r="F79" s="42">
        <f t="shared" si="5"/>
        <v>424.32</v>
      </c>
    </row>
    <row r="80" spans="1:6" x14ac:dyDescent="0.35">
      <c r="A80" s="39">
        <v>41339</v>
      </c>
      <c r="B80" s="40" t="s">
        <v>429</v>
      </c>
      <c r="C80" s="41">
        <v>15</v>
      </c>
      <c r="D80" s="41">
        <v>400</v>
      </c>
      <c r="E80" s="41">
        <f t="shared" si="4"/>
        <v>6000</v>
      </c>
      <c r="F80" s="42">
        <f t="shared" si="5"/>
        <v>660</v>
      </c>
    </row>
    <row r="81" spans="1:6" x14ac:dyDescent="0.35">
      <c r="A81" s="39">
        <v>41339</v>
      </c>
      <c r="B81" s="40" t="s">
        <v>438</v>
      </c>
      <c r="C81" s="41">
        <v>23</v>
      </c>
      <c r="D81" s="41">
        <v>405</v>
      </c>
      <c r="E81" s="41">
        <f t="shared" si="4"/>
        <v>9315</v>
      </c>
      <c r="F81" s="42">
        <f t="shared" si="5"/>
        <v>1490.4</v>
      </c>
    </row>
    <row r="82" spans="1:6" x14ac:dyDescent="0.35">
      <c r="A82" s="39">
        <v>41339</v>
      </c>
      <c r="B82" s="40" t="s">
        <v>430</v>
      </c>
      <c r="C82" s="41">
        <v>16</v>
      </c>
      <c r="D82" s="41">
        <v>329</v>
      </c>
      <c r="E82" s="41">
        <f t="shared" si="4"/>
        <v>5264</v>
      </c>
      <c r="F82" s="42">
        <f t="shared" si="5"/>
        <v>421.12</v>
      </c>
    </row>
    <row r="83" spans="1:6" x14ac:dyDescent="0.35">
      <c r="A83" s="39">
        <v>41339</v>
      </c>
      <c r="B83" s="40" t="s">
        <v>433</v>
      </c>
      <c r="C83" s="41">
        <v>7</v>
      </c>
      <c r="D83" s="41">
        <v>429</v>
      </c>
      <c r="E83" s="41">
        <f t="shared" si="4"/>
        <v>3003</v>
      </c>
      <c r="F83" s="42">
        <f t="shared" si="5"/>
        <v>240.24</v>
      </c>
    </row>
    <row r="84" spans="1:6" x14ac:dyDescent="0.35">
      <c r="A84" s="39">
        <v>41339</v>
      </c>
      <c r="B84" s="40" t="s">
        <v>432</v>
      </c>
      <c r="C84" s="41">
        <v>19</v>
      </c>
      <c r="D84" s="41">
        <v>456</v>
      </c>
      <c r="E84" s="41">
        <f t="shared" si="4"/>
        <v>8664</v>
      </c>
      <c r="F84" s="42">
        <f t="shared" si="5"/>
        <v>866.40000000000009</v>
      </c>
    </row>
  </sheetData>
  <mergeCells count="2">
    <mergeCell ref="A1:F2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'Q24'!Criteria</vt:lpstr>
      <vt:lpstr>'Q24'!Extract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2026-07-31T06:08:18Z</dcterms:modified>
</cp:coreProperties>
</file>